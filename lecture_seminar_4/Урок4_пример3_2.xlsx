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4. Лекция №4\"/>
    </mc:Choice>
  </mc:AlternateContent>
  <xr:revisionPtr revIDLastSave="0" documentId="13_ncr:1_{F563F03A-5315-4693-A07D-ADF6A1556C2C}" xr6:coauthVersionLast="47" xr6:coauthVersionMax="47" xr10:uidLastSave="{00000000-0000-0000-0000-000000000000}"/>
  <bookViews>
    <workbookView xWindow="-12" yWindow="-12" windowWidth="11520" windowHeight="12384" activeTab="2" xr2:uid="{00000000-000D-0000-FFFF-FFFF00000000}"/>
  </bookViews>
  <sheets>
    <sheet name="WEST" sheetId="1" r:id="rId1"/>
    <sheet name="Лист1" sheetId="4" r:id="rId2"/>
    <sheet name="Лист2" sheetId="5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5" l="1"/>
  <c r="D2" i="5"/>
  <c r="E2" i="5"/>
  <c r="C3" i="5"/>
  <c r="D3" i="5"/>
  <c r="E3" i="5"/>
  <c r="C4" i="5"/>
  <c r="C5" i="5"/>
  <c r="C6" i="5"/>
  <c r="D4" i="5"/>
  <c r="D5" i="5"/>
  <c r="D6" i="5"/>
  <c r="D7" i="5" s="1"/>
  <c r="E4" i="5"/>
  <c r="E7" i="5" s="1"/>
  <c r="E5" i="5"/>
  <c r="E6" i="5"/>
  <c r="C7" i="5"/>
  <c r="C8" i="5"/>
  <c r="C9" i="5"/>
  <c r="C18" i="5" s="1"/>
  <c r="C10" i="5"/>
  <c r="C11" i="5"/>
  <c r="C12" i="5"/>
  <c r="D8" i="5"/>
  <c r="D18" i="5" s="1"/>
  <c r="D9" i="5"/>
  <c r="D10" i="5"/>
  <c r="D11" i="5"/>
  <c r="D12" i="5"/>
  <c r="E8" i="5"/>
  <c r="E18" i="5" s="1"/>
  <c r="E9" i="5"/>
  <c r="E10" i="5"/>
  <c r="E11" i="5"/>
  <c r="E12" i="5"/>
  <c r="C13" i="5"/>
  <c r="C14" i="5"/>
  <c r="C15" i="5"/>
  <c r="C16" i="5"/>
  <c r="C17" i="5"/>
  <c r="D13" i="5"/>
  <c r="D14" i="5"/>
  <c r="D15" i="5"/>
  <c r="D16" i="5"/>
  <c r="D17" i="5"/>
  <c r="E13" i="5"/>
  <c r="E14" i="5"/>
  <c r="E15" i="5"/>
  <c r="E16" i="5"/>
  <c r="E17" i="5"/>
  <c r="C19" i="5"/>
  <c r="C24" i="5" s="1"/>
  <c r="C20" i="5"/>
  <c r="D19" i="5"/>
  <c r="D24" i="5" s="1"/>
  <c r="D20" i="5"/>
  <c r="E19" i="5"/>
  <c r="E20" i="5"/>
  <c r="C21" i="5"/>
  <c r="C22" i="5"/>
  <c r="C23" i="5"/>
  <c r="D21" i="5"/>
  <c r="D22" i="5"/>
  <c r="D23" i="5"/>
  <c r="E21" i="5"/>
  <c r="E22" i="5"/>
  <c r="E23" i="5"/>
  <c r="E24" i="5"/>
  <c r="C25" i="5"/>
  <c r="C30" i="5" s="1"/>
  <c r="D25" i="5"/>
  <c r="E25" i="5"/>
  <c r="E30" i="5" s="1"/>
  <c r="C26" i="5"/>
  <c r="C27" i="5"/>
  <c r="C28" i="5"/>
  <c r="C29" i="5"/>
  <c r="D26" i="5"/>
  <c r="D27" i="5"/>
  <c r="D30" i="5" s="1"/>
  <c r="D28" i="5"/>
  <c r="D29" i="5"/>
  <c r="E26" i="5"/>
  <c r="E27" i="5"/>
  <c r="E28" i="5"/>
  <c r="E29" i="5"/>
  <c r="C31" i="5"/>
  <c r="C32" i="5"/>
  <c r="C33" i="5"/>
  <c r="C34" i="5"/>
  <c r="D31" i="5"/>
  <c r="D39" i="5" s="1"/>
  <c r="D32" i="5"/>
  <c r="D33" i="5"/>
  <c r="D34" i="5"/>
  <c r="E31" i="5"/>
  <c r="E39" i="5" s="1"/>
  <c r="E32" i="5"/>
  <c r="E33" i="5"/>
  <c r="E34" i="5"/>
  <c r="C35" i="5"/>
  <c r="C39" i="5" s="1"/>
  <c r="C36" i="5"/>
  <c r="C37" i="5"/>
  <c r="C38" i="5"/>
  <c r="D35" i="5"/>
  <c r="D36" i="5"/>
  <c r="D37" i="5"/>
  <c r="D38" i="5"/>
  <c r="E35" i="5"/>
  <c r="E36" i="5"/>
  <c r="E37" i="5"/>
  <c r="E38" i="5"/>
  <c r="C40" i="5"/>
  <c r="C41" i="5"/>
  <c r="C44" i="5" s="1"/>
  <c r="C42" i="5"/>
  <c r="C43" i="5"/>
  <c r="D40" i="5"/>
  <c r="D41" i="5"/>
  <c r="D42" i="5"/>
  <c r="D43" i="5"/>
  <c r="E40" i="5"/>
  <c r="E44" i="5" s="1"/>
  <c r="E41" i="5"/>
  <c r="E42" i="5"/>
  <c r="E43" i="5"/>
  <c r="D44" i="5"/>
  <c r="C45" i="5"/>
  <c r="D45" i="5"/>
  <c r="E45" i="5"/>
  <c r="E49" i="5" s="1"/>
  <c r="C46" i="5"/>
  <c r="C47" i="5"/>
  <c r="C49" i="5" s="1"/>
  <c r="C48" i="5"/>
  <c r="D46" i="5"/>
  <c r="D49" i="5" s="1"/>
  <c r="D47" i="5"/>
  <c r="D48" i="5"/>
  <c r="E46" i="5"/>
  <c r="E47" i="5"/>
  <c r="E48" i="5"/>
  <c r="C2" i="4"/>
  <c r="C3" i="4" s="1"/>
  <c r="D2" i="4"/>
  <c r="D3" i="4" s="1"/>
  <c r="E2" i="4"/>
  <c r="E3" i="4"/>
  <c r="C4" i="4"/>
  <c r="C5" i="4"/>
  <c r="C6" i="4"/>
  <c r="D4" i="4"/>
  <c r="D5" i="4"/>
  <c r="D6" i="4"/>
  <c r="E4" i="4"/>
  <c r="E5" i="4"/>
  <c r="E6" i="4"/>
  <c r="C8" i="4"/>
  <c r="C9" i="4"/>
  <c r="C10" i="4"/>
  <c r="C11" i="4"/>
  <c r="C12" i="4"/>
  <c r="D8" i="4"/>
  <c r="D9" i="4"/>
  <c r="D10" i="4"/>
  <c r="D11" i="4"/>
  <c r="D12" i="4"/>
  <c r="E8" i="4"/>
  <c r="E18" i="4" s="1"/>
  <c r="E9" i="4"/>
  <c r="E10" i="4"/>
  <c r="E11" i="4"/>
  <c r="E12" i="4"/>
  <c r="C13" i="4"/>
  <c r="C14" i="4"/>
  <c r="C15" i="4"/>
  <c r="C16" i="4"/>
  <c r="C17" i="4"/>
  <c r="D13" i="4"/>
  <c r="D14" i="4"/>
  <c r="D15" i="4"/>
  <c r="D16" i="4"/>
  <c r="D17" i="4"/>
  <c r="E13" i="4"/>
  <c r="E14" i="4"/>
  <c r="E15" i="4"/>
  <c r="E16" i="4"/>
  <c r="E17" i="4"/>
  <c r="C19" i="4"/>
  <c r="C20" i="4"/>
  <c r="D19" i="4"/>
  <c r="D20" i="4"/>
  <c r="E19" i="4"/>
  <c r="E24" i="4" s="1"/>
  <c r="E20" i="4"/>
  <c r="C21" i="4"/>
  <c r="C22" i="4"/>
  <c r="C23" i="4"/>
  <c r="D21" i="4"/>
  <c r="D22" i="4"/>
  <c r="D23" i="4"/>
  <c r="E21" i="4"/>
  <c r="E22" i="4"/>
  <c r="E23" i="4"/>
  <c r="C25" i="4"/>
  <c r="D25" i="4"/>
  <c r="E25" i="4"/>
  <c r="E30" i="4" s="1"/>
  <c r="C26" i="4"/>
  <c r="C27" i="4"/>
  <c r="C28" i="4"/>
  <c r="C29" i="4"/>
  <c r="D26" i="4"/>
  <c r="D27" i="4"/>
  <c r="D28" i="4"/>
  <c r="D29" i="4"/>
  <c r="E26" i="4"/>
  <c r="E27" i="4"/>
  <c r="E28" i="4"/>
  <c r="E29" i="4"/>
  <c r="C31" i="4"/>
  <c r="C32" i="4"/>
  <c r="C33" i="4"/>
  <c r="C34" i="4"/>
  <c r="D31" i="4"/>
  <c r="D39" i="4" s="1"/>
  <c r="D32" i="4"/>
  <c r="D33" i="4"/>
  <c r="D34" i="4"/>
  <c r="E31" i="4"/>
  <c r="E32" i="4"/>
  <c r="E33" i="4"/>
  <c r="E34" i="4"/>
  <c r="C35" i="4"/>
  <c r="C36" i="4"/>
  <c r="C37" i="4"/>
  <c r="C38" i="4"/>
  <c r="D35" i="4"/>
  <c r="D36" i="4"/>
  <c r="D37" i="4"/>
  <c r="D38" i="4"/>
  <c r="E35" i="4"/>
  <c r="E36" i="4"/>
  <c r="E37" i="4"/>
  <c r="E38" i="4"/>
  <c r="C40" i="4"/>
  <c r="C41" i="4"/>
  <c r="C42" i="4"/>
  <c r="C43" i="4"/>
  <c r="D40" i="4"/>
  <c r="D44" i="4" s="1"/>
  <c r="D41" i="4"/>
  <c r="D42" i="4"/>
  <c r="D43" i="4"/>
  <c r="E40" i="4"/>
  <c r="E41" i="4"/>
  <c r="E42" i="4"/>
  <c r="E43" i="4"/>
  <c r="C44" i="4"/>
  <c r="C45" i="4"/>
  <c r="D45" i="4"/>
  <c r="E45" i="4"/>
  <c r="C46" i="4"/>
  <c r="C47" i="4"/>
  <c r="C48" i="4"/>
  <c r="C49" i="4" s="1"/>
  <c r="D46" i="4"/>
  <c r="D49" i="4" s="1"/>
  <c r="D47" i="4"/>
  <c r="D48" i="4"/>
  <c r="E46" i="4"/>
  <c r="E47" i="4"/>
  <c r="E48" i="4"/>
  <c r="E44" i="4" l="1"/>
  <c r="C39" i="4"/>
  <c r="D30" i="4"/>
  <c r="C30" i="4"/>
  <c r="C24" i="4"/>
  <c r="D18" i="4"/>
  <c r="E49" i="4"/>
  <c r="E7" i="4"/>
  <c r="C18" i="4"/>
  <c r="D24" i="4"/>
  <c r="E39" i="4"/>
  <c r="C7" i="4"/>
  <c r="D7" i="4"/>
</calcChain>
</file>

<file path=xl/sharedStrings.xml><?xml version="1.0" encoding="utf-8"?>
<sst xmlns="http://schemas.openxmlformats.org/spreadsheetml/2006/main" count="76" uniqueCount="15">
  <si>
    <t>A</t>
  </si>
  <si>
    <t>B</t>
  </si>
  <si>
    <t>D</t>
  </si>
  <si>
    <t>G</t>
  </si>
  <si>
    <t>H</t>
  </si>
  <si>
    <t>F</t>
  </si>
  <si>
    <t>C</t>
  </si>
  <si>
    <t>Продукт</t>
  </si>
  <si>
    <t>Январь</t>
  </si>
  <si>
    <t>Февраль</t>
  </si>
  <si>
    <t>Март</t>
  </si>
  <si>
    <t>Продажи Запад</t>
  </si>
  <si>
    <t>E</t>
  </si>
  <si>
    <t>Урок4_Пример3_2</t>
  </si>
  <si>
    <t>Урок4_Пример3_1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</si>
</sst>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9;&#1088;&#1086;&#1082;4_&#1087;&#1088;&#1080;&#1084;&#1077;&#1088;3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AST"/>
    </sheetNames>
    <sheetDataSet>
      <sheetData sheetId="0">
        <row r="2">
          <cell r="B2">
            <v>205</v>
          </cell>
          <cell r="C2">
            <v>263</v>
          </cell>
          <cell r="D2">
            <v>20</v>
          </cell>
        </row>
        <row r="3">
          <cell r="B3">
            <v>164</v>
          </cell>
          <cell r="C3">
            <v>17</v>
          </cell>
          <cell r="D3">
            <v>146</v>
          </cell>
        </row>
        <row r="4">
          <cell r="B4">
            <v>278</v>
          </cell>
          <cell r="C4">
            <v>177</v>
          </cell>
          <cell r="D4">
            <v>179</v>
          </cell>
        </row>
        <row r="5">
          <cell r="B5">
            <v>156</v>
          </cell>
          <cell r="C5">
            <v>214</v>
          </cell>
          <cell r="D5">
            <v>240</v>
          </cell>
        </row>
        <row r="6">
          <cell r="B6">
            <v>72</v>
          </cell>
          <cell r="C6">
            <v>134</v>
          </cell>
          <cell r="D6">
            <v>48</v>
          </cell>
        </row>
        <row r="7">
          <cell r="B7">
            <v>7</v>
          </cell>
          <cell r="C7">
            <v>256</v>
          </cell>
          <cell r="D7">
            <v>104</v>
          </cell>
        </row>
        <row r="8">
          <cell r="B8">
            <v>141</v>
          </cell>
          <cell r="C8">
            <v>87</v>
          </cell>
          <cell r="D8">
            <v>148</v>
          </cell>
        </row>
        <row r="9">
          <cell r="B9">
            <v>2</v>
          </cell>
          <cell r="C9">
            <v>15</v>
          </cell>
          <cell r="D9">
            <v>135</v>
          </cell>
        </row>
        <row r="10">
          <cell r="B10">
            <v>44</v>
          </cell>
          <cell r="C10">
            <v>47</v>
          </cell>
          <cell r="D10">
            <v>72</v>
          </cell>
        </row>
        <row r="11">
          <cell r="B11">
            <v>7</v>
          </cell>
          <cell r="C11">
            <v>81</v>
          </cell>
          <cell r="D11">
            <v>2</v>
          </cell>
        </row>
        <row r="12">
          <cell r="B12">
            <v>25</v>
          </cell>
          <cell r="C12">
            <v>120</v>
          </cell>
          <cell r="D12">
            <v>171</v>
          </cell>
        </row>
        <row r="13">
          <cell r="B13">
            <v>197</v>
          </cell>
          <cell r="C13">
            <v>90</v>
          </cell>
          <cell r="D13">
            <v>124</v>
          </cell>
        </row>
        <row r="14">
          <cell r="B14">
            <v>221</v>
          </cell>
          <cell r="C14">
            <v>121</v>
          </cell>
          <cell r="D14">
            <v>48</v>
          </cell>
        </row>
        <row r="15">
          <cell r="B15">
            <v>84</v>
          </cell>
          <cell r="C15">
            <v>103</v>
          </cell>
          <cell r="D15">
            <v>134</v>
          </cell>
        </row>
        <row r="16">
          <cell r="B16">
            <v>13</v>
          </cell>
          <cell r="C16">
            <v>250</v>
          </cell>
          <cell r="D16">
            <v>51</v>
          </cell>
        </row>
        <row r="17">
          <cell r="B17">
            <v>-5</v>
          </cell>
          <cell r="C17">
            <v>159</v>
          </cell>
          <cell r="D17">
            <v>70</v>
          </cell>
        </row>
        <row r="18">
          <cell r="B18">
            <v>136</v>
          </cell>
          <cell r="C18">
            <v>152</v>
          </cell>
          <cell r="D18">
            <v>28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&#1059;&#1088;&#1086;&#1082;4_&#1087;&#1088;&#1080;&#1084;&#1077;&#1088;3_1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&#1059;&#1088;&#1086;&#1082;4_&#1087;&#1088;&#1080;&#1084;&#1077;&#1088;3_1.xls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externalLinkPath" Target="&#1059;&#1088;&#1086;&#1082;4_&#1087;&#1088;&#1080;&#1084;&#1077;&#1088;3_1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4"/>
  <sheetViews>
    <sheetView topLeftCell="A10" zoomScale="150" zoomScaleNormal="150" workbookViewId="0">
      <selection activeCell="F4" sqref="F4"/>
    </sheetView>
  </sheetViews>
  <sheetFormatPr defaultColWidth="9.109375" defaultRowHeight="13.2" x14ac:dyDescent="0.25"/>
  <cols>
    <col min="1" max="2" width="9.109375" style="1"/>
    <col min="3" max="3" width="10.44140625" style="1" customWidth="1"/>
    <col min="4" max="5" width="9.109375" style="1"/>
    <col min="6" max="6" width="18.6640625" style="1" customWidth="1"/>
    <col min="7" max="16384" width="9.109375" style="1"/>
  </cols>
  <sheetData>
    <row r="1" spans="1:6" x14ac:dyDescent="0.25">
      <c r="A1" s="3" t="s">
        <v>7</v>
      </c>
      <c r="B1" s="3" t="s">
        <v>8</v>
      </c>
      <c r="C1" s="3" t="s">
        <v>9</v>
      </c>
      <c r="D1" s="3" t="s">
        <v>10</v>
      </c>
      <c r="F1" s="2" t="s">
        <v>11</v>
      </c>
    </row>
    <row r="2" spans="1:6" x14ac:dyDescent="0.25">
      <c r="A2" s="1" t="s">
        <v>0</v>
      </c>
      <c r="B2" s="1">
        <v>173</v>
      </c>
      <c r="C2" s="1">
        <v>1</v>
      </c>
      <c r="D2" s="1">
        <v>256</v>
      </c>
    </row>
    <row r="3" spans="1:6" x14ac:dyDescent="0.25">
      <c r="A3" s="1" t="s">
        <v>0</v>
      </c>
      <c r="B3" s="1">
        <v>208</v>
      </c>
      <c r="C3" s="1">
        <v>201</v>
      </c>
      <c r="D3" s="1">
        <v>224</v>
      </c>
    </row>
    <row r="4" spans="1:6" x14ac:dyDescent="0.25">
      <c r="A4" s="1" t="s">
        <v>1</v>
      </c>
      <c r="B4" s="1">
        <v>176</v>
      </c>
      <c r="C4" s="1">
        <v>33</v>
      </c>
      <c r="D4" s="1">
        <v>350</v>
      </c>
    </row>
    <row r="5" spans="1:6" x14ac:dyDescent="0.25">
      <c r="A5" s="1" t="s">
        <v>1</v>
      </c>
      <c r="B5" s="1">
        <v>190</v>
      </c>
      <c r="C5" s="1">
        <v>249</v>
      </c>
      <c r="D5" s="1">
        <v>215</v>
      </c>
    </row>
    <row r="6" spans="1:6" x14ac:dyDescent="0.25">
      <c r="A6" s="1" t="s">
        <v>2</v>
      </c>
      <c r="B6" s="1">
        <v>162</v>
      </c>
      <c r="C6" s="1">
        <v>74</v>
      </c>
      <c r="D6" s="1">
        <v>156</v>
      </c>
    </row>
    <row r="7" spans="1:6" x14ac:dyDescent="0.25">
      <c r="A7" s="1" t="s">
        <v>2</v>
      </c>
      <c r="B7" s="1">
        <v>90</v>
      </c>
      <c r="C7" s="1">
        <v>150</v>
      </c>
      <c r="D7" s="1">
        <v>170</v>
      </c>
    </row>
    <row r="8" spans="1:6" x14ac:dyDescent="0.25">
      <c r="A8" s="1" t="s">
        <v>2</v>
      </c>
      <c r="B8" s="1">
        <v>112</v>
      </c>
      <c r="C8" s="1">
        <v>284</v>
      </c>
      <c r="D8" s="1">
        <v>141</v>
      </c>
    </row>
    <row r="9" spans="1:6" x14ac:dyDescent="0.25">
      <c r="A9" s="1" t="s">
        <v>3</v>
      </c>
      <c r="B9" s="1">
        <v>154</v>
      </c>
      <c r="C9" s="1">
        <v>217</v>
      </c>
      <c r="D9" s="1">
        <v>113</v>
      </c>
    </row>
    <row r="10" spans="1:6" x14ac:dyDescent="0.25">
      <c r="A10" s="1" t="s">
        <v>3</v>
      </c>
      <c r="B10" s="1">
        <v>152</v>
      </c>
      <c r="C10" s="1">
        <v>200</v>
      </c>
      <c r="D10" s="1">
        <v>275</v>
      </c>
    </row>
    <row r="11" spans="1:6" x14ac:dyDescent="0.25">
      <c r="A11" s="1" t="s">
        <v>3</v>
      </c>
      <c r="B11" s="1">
        <v>277</v>
      </c>
      <c r="C11" s="1">
        <v>183</v>
      </c>
      <c r="D11" s="1">
        <v>372</v>
      </c>
    </row>
    <row r="12" spans="1:6" x14ac:dyDescent="0.25">
      <c r="A12" s="1" t="s">
        <v>4</v>
      </c>
      <c r="B12" s="1">
        <v>131</v>
      </c>
      <c r="C12" s="1">
        <v>71</v>
      </c>
      <c r="D12" s="1">
        <v>266</v>
      </c>
    </row>
    <row r="13" spans="1:6" x14ac:dyDescent="0.25">
      <c r="A13" s="1" t="s">
        <v>5</v>
      </c>
      <c r="B13" s="1">
        <v>294</v>
      </c>
      <c r="C13" s="1">
        <v>211</v>
      </c>
      <c r="D13" s="1">
        <v>249</v>
      </c>
    </row>
    <row r="14" spans="1:6" x14ac:dyDescent="0.25">
      <c r="A14" s="1" t="s">
        <v>5</v>
      </c>
      <c r="B14" s="1">
        <v>146</v>
      </c>
      <c r="C14" s="1">
        <v>125</v>
      </c>
      <c r="D14" s="1">
        <v>5</v>
      </c>
    </row>
    <row r="15" spans="1:6" x14ac:dyDescent="0.25">
      <c r="A15" s="1" t="s">
        <v>0</v>
      </c>
      <c r="B15" s="1">
        <v>115</v>
      </c>
      <c r="C15" s="1">
        <v>214</v>
      </c>
      <c r="D15" s="1">
        <v>141</v>
      </c>
    </row>
    <row r="16" spans="1:6" x14ac:dyDescent="0.25">
      <c r="A16" s="1" t="s">
        <v>5</v>
      </c>
      <c r="B16" s="1">
        <v>157</v>
      </c>
      <c r="C16" s="1">
        <v>241</v>
      </c>
      <c r="D16" s="1">
        <v>73</v>
      </c>
    </row>
    <row r="17" spans="1:4" x14ac:dyDescent="0.25">
      <c r="A17" s="1" t="s">
        <v>0</v>
      </c>
      <c r="B17" s="1">
        <v>125</v>
      </c>
      <c r="C17" s="1">
        <v>227</v>
      </c>
      <c r="D17" s="1">
        <v>135</v>
      </c>
    </row>
    <row r="18" spans="1:4" x14ac:dyDescent="0.25">
      <c r="A18" s="1" t="s">
        <v>0</v>
      </c>
      <c r="B18" s="1">
        <v>314</v>
      </c>
      <c r="C18" s="1">
        <v>189</v>
      </c>
      <c r="D18" s="1">
        <v>180</v>
      </c>
    </row>
    <row r="19" spans="1:4" x14ac:dyDescent="0.25">
      <c r="A19" s="1" t="s">
        <v>6</v>
      </c>
      <c r="B19" s="1">
        <v>189</v>
      </c>
      <c r="C19" s="1">
        <v>154</v>
      </c>
      <c r="D19" s="1">
        <v>101</v>
      </c>
    </row>
    <row r="20" spans="1:4" x14ac:dyDescent="0.25">
      <c r="A20" s="1" t="s">
        <v>6</v>
      </c>
      <c r="B20" s="1">
        <v>313</v>
      </c>
      <c r="C20" s="1">
        <v>182</v>
      </c>
      <c r="D20" s="1">
        <v>68</v>
      </c>
    </row>
    <row r="21" spans="1:4" x14ac:dyDescent="0.25">
      <c r="A21" s="1" t="s">
        <v>6</v>
      </c>
      <c r="B21" s="1">
        <v>389</v>
      </c>
      <c r="C21" s="1">
        <v>247</v>
      </c>
      <c r="D21" s="1">
        <v>257</v>
      </c>
    </row>
    <row r="22" spans="1:4" x14ac:dyDescent="0.25">
      <c r="A22" s="1" t="s">
        <v>1</v>
      </c>
      <c r="B22" s="1">
        <v>353</v>
      </c>
      <c r="C22" s="1">
        <v>151</v>
      </c>
      <c r="D22" s="1">
        <v>99</v>
      </c>
    </row>
    <row r="23" spans="1:4" x14ac:dyDescent="0.25">
      <c r="A23" s="1" t="s">
        <v>6</v>
      </c>
      <c r="B23" s="1">
        <v>62</v>
      </c>
      <c r="C23" s="1">
        <v>162</v>
      </c>
      <c r="D23" s="1">
        <v>238</v>
      </c>
    </row>
    <row r="24" spans="1:4" x14ac:dyDescent="0.25">
      <c r="A24" s="1" t="s">
        <v>2</v>
      </c>
      <c r="B24" s="1">
        <v>173</v>
      </c>
      <c r="C24" s="1">
        <v>153</v>
      </c>
      <c r="D24" s="1">
        <v>270</v>
      </c>
    </row>
  </sheetData>
  <dataConsolidate topLabels="1" link="1">
    <dataRefs count="2">
      <dataRef ref="A1:D18" sheet="EAST" r:id="rId1"/>
      <dataRef ref="A1:D24" sheet="WEST"/>
    </dataRefs>
  </dataConsolidate>
  <phoneticPr fontId="0" type="noConversion"/>
  <printOptions headings="1" gridLines="1"/>
  <pageMargins left="0.75" right="0.75" top="1" bottom="1" header="0.5" footer="0.5"/>
  <pageSetup orientation="portrait" horizontalDpi="300" verticalDpi="3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994D-85D8-417C-84AA-4E2FBF045DB4}">
  <dimension ref="A1:E49"/>
  <sheetViews>
    <sheetView topLeftCell="A4" zoomScaleNormal="100" workbookViewId="0">
      <selection activeCell="H62" sqref="H62"/>
    </sheetView>
  </sheetViews>
  <sheetFormatPr defaultRowHeight="13.2" outlineLevelRow="1" x14ac:dyDescent="0.25"/>
  <cols>
    <col min="1" max="1" width="2.88671875" customWidth="1"/>
    <col min="2" max="2" width="23.33203125" customWidth="1"/>
    <col min="4" max="4" width="20.109375" customWidth="1"/>
    <col min="5" max="5" width="15.88671875" customWidth="1"/>
  </cols>
  <sheetData>
    <row r="1" spans="1:5" x14ac:dyDescent="0.25">
      <c r="C1" t="s">
        <v>8</v>
      </c>
      <c r="D1" t="s">
        <v>9</v>
      </c>
      <c r="E1" t="s">
        <v>10</v>
      </c>
    </row>
    <row r="2" spans="1:5" hidden="1" outlineLevel="1" x14ac:dyDescent="0.25">
      <c r="B2" t="s">
        <v>13</v>
      </c>
      <c r="C2">
        <f>WEST!$B$12</f>
        <v>131</v>
      </c>
      <c r="D2">
        <f>WEST!$C$12</f>
        <v>71</v>
      </c>
      <c r="E2">
        <f>WEST!$D$12</f>
        <v>266</v>
      </c>
    </row>
    <row r="3" spans="1:5" collapsed="1" x14ac:dyDescent="0.25">
      <c r="A3" t="s">
        <v>4</v>
      </c>
      <c r="C3">
        <f>SUM(C2)</f>
        <v>131</v>
      </c>
      <c r="D3">
        <f>SUM(D2)</f>
        <v>71</v>
      </c>
      <c r="E3">
        <f>SUM(E2)</f>
        <v>266</v>
      </c>
    </row>
    <row r="4" spans="1:5" outlineLevel="1" x14ac:dyDescent="0.25">
      <c r="B4" t="s">
        <v>13</v>
      </c>
      <c r="C4">
        <f>WEST!$B$13</f>
        <v>294</v>
      </c>
      <c r="D4">
        <f>WEST!$C$13</f>
        <v>211</v>
      </c>
      <c r="E4">
        <f>WEST!$D$13</f>
        <v>249</v>
      </c>
    </row>
    <row r="5" spans="1:5" outlineLevel="1" collapsed="1" x14ac:dyDescent="0.25">
      <c r="C5">
        <f>WEST!$B$14</f>
        <v>146</v>
      </c>
      <c r="D5">
        <f>WEST!$C$14</f>
        <v>125</v>
      </c>
      <c r="E5">
        <f>WEST!$D$14</f>
        <v>5</v>
      </c>
    </row>
    <row r="6" spans="1:5" outlineLevel="1" collapsed="1" x14ac:dyDescent="0.25">
      <c r="C6">
        <f>WEST!$B$16</f>
        <v>157</v>
      </c>
      <c r="D6">
        <f>WEST!$C$16</f>
        <v>241</v>
      </c>
      <c r="E6">
        <f>WEST!$D$16</f>
        <v>73</v>
      </c>
    </row>
    <row r="7" spans="1:5" x14ac:dyDescent="0.25">
      <c r="A7" t="s">
        <v>5</v>
      </c>
      <c r="C7">
        <f>SUM(C4:C6)</f>
        <v>597</v>
      </c>
      <c r="D7">
        <f>SUM(D4:D6)</f>
        <v>577</v>
      </c>
      <c r="E7">
        <f>SUM(E4:E6)</f>
        <v>327</v>
      </c>
    </row>
    <row r="8" spans="1:5" hidden="1" outlineLevel="1" x14ac:dyDescent="0.25">
      <c r="B8" t="s">
        <v>14</v>
      </c>
      <c r="C8">
        <f>[1]EAST!$B$2</f>
        <v>205</v>
      </c>
      <c r="D8">
        <f>[1]EAST!$C$2</f>
        <v>263</v>
      </c>
      <c r="E8">
        <f>[1]EAST!$D$2</f>
        <v>20</v>
      </c>
    </row>
    <row r="9" spans="1:5" hidden="1" outlineLevel="1" collapsed="1" x14ac:dyDescent="0.25">
      <c r="C9">
        <f>[1]EAST!$B$8</f>
        <v>141</v>
      </c>
      <c r="D9">
        <f>[1]EAST!$C$8</f>
        <v>87</v>
      </c>
      <c r="E9">
        <f>[1]EAST!$D$8</f>
        <v>148</v>
      </c>
    </row>
    <row r="10" spans="1:5" hidden="1" outlineLevel="1" collapsed="1" x14ac:dyDescent="0.25">
      <c r="C10">
        <f>[1]EAST!$B$9</f>
        <v>2</v>
      </c>
      <c r="D10">
        <f>[1]EAST!$C$9</f>
        <v>15</v>
      </c>
      <c r="E10">
        <f>[1]EAST!$D$9</f>
        <v>135</v>
      </c>
    </row>
    <row r="11" spans="1:5" hidden="1" outlineLevel="1" collapsed="1" x14ac:dyDescent="0.25">
      <c r="C11">
        <f>[1]EAST!$B$10</f>
        <v>44</v>
      </c>
      <c r="D11">
        <f>[1]EAST!$C$10</f>
        <v>47</v>
      </c>
      <c r="E11">
        <f>[1]EAST!$D$10</f>
        <v>72</v>
      </c>
    </row>
    <row r="12" spans="1:5" hidden="1" outlineLevel="1" collapsed="1" x14ac:dyDescent="0.25">
      <c r="C12">
        <f>[1]EAST!$B$15</f>
        <v>84</v>
      </c>
      <c r="D12">
        <f>[1]EAST!$C$15</f>
        <v>103</v>
      </c>
      <c r="E12">
        <f>[1]EAST!$D$15</f>
        <v>134</v>
      </c>
    </row>
    <row r="13" spans="1:5" hidden="1" outlineLevel="1" collapsed="1" x14ac:dyDescent="0.25">
      <c r="B13" t="s">
        <v>13</v>
      </c>
      <c r="C13">
        <f>WEST!$B$2</f>
        <v>173</v>
      </c>
      <c r="D13">
        <f>WEST!$C$2</f>
        <v>1</v>
      </c>
      <c r="E13">
        <f>WEST!$D$2</f>
        <v>256</v>
      </c>
    </row>
    <row r="14" spans="1:5" hidden="1" outlineLevel="1" collapsed="1" x14ac:dyDescent="0.25">
      <c r="C14">
        <f>WEST!$B$3</f>
        <v>208</v>
      </c>
      <c r="D14">
        <f>WEST!$C$3</f>
        <v>201</v>
      </c>
      <c r="E14">
        <f>WEST!$D$3</f>
        <v>224</v>
      </c>
    </row>
    <row r="15" spans="1:5" hidden="1" outlineLevel="1" collapsed="1" x14ac:dyDescent="0.25">
      <c r="C15">
        <f>WEST!$B$15</f>
        <v>115</v>
      </c>
      <c r="D15">
        <f>WEST!$C$15</f>
        <v>214</v>
      </c>
      <c r="E15">
        <f>WEST!$D$15</f>
        <v>141</v>
      </c>
    </row>
    <row r="16" spans="1:5" hidden="1" outlineLevel="1" collapsed="1" x14ac:dyDescent="0.25">
      <c r="C16">
        <f>WEST!$B$17</f>
        <v>125</v>
      </c>
      <c r="D16">
        <f>WEST!$C$17</f>
        <v>227</v>
      </c>
      <c r="E16">
        <f>WEST!$D$17</f>
        <v>135</v>
      </c>
    </row>
    <row r="17" spans="1:5" hidden="1" outlineLevel="1" collapsed="1" x14ac:dyDescent="0.25">
      <c r="C17">
        <f>WEST!$B$18</f>
        <v>314</v>
      </c>
      <c r="D17">
        <f>WEST!$C$18</f>
        <v>189</v>
      </c>
      <c r="E17">
        <f>WEST!$D$18</f>
        <v>180</v>
      </c>
    </row>
    <row r="18" spans="1:5" collapsed="1" x14ac:dyDescent="0.25">
      <c r="A18" t="s">
        <v>0</v>
      </c>
      <c r="C18">
        <f>SUM(C8:C17)</f>
        <v>1411</v>
      </c>
      <c r="D18">
        <f>SUM(D8:D17)</f>
        <v>1347</v>
      </c>
      <c r="E18">
        <f>SUM(E8:E17)</f>
        <v>1445</v>
      </c>
    </row>
    <row r="19" spans="1:5" hidden="1" outlineLevel="1" x14ac:dyDescent="0.25">
      <c r="B19" t="s">
        <v>14</v>
      </c>
      <c r="C19">
        <f>[1]EAST!$B$3</f>
        <v>164</v>
      </c>
      <c r="D19">
        <f>[1]EAST!$C$3</f>
        <v>17</v>
      </c>
      <c r="E19">
        <f>[1]EAST!$D$3</f>
        <v>146</v>
      </c>
    </row>
    <row r="20" spans="1:5" hidden="1" outlineLevel="1" collapsed="1" x14ac:dyDescent="0.25">
      <c r="C20">
        <f>[1]EAST!$B$11</f>
        <v>7</v>
      </c>
      <c r="D20">
        <f>[1]EAST!$C$11</f>
        <v>81</v>
      </c>
      <c r="E20">
        <f>[1]EAST!$D$11</f>
        <v>2</v>
      </c>
    </row>
    <row r="21" spans="1:5" hidden="1" outlineLevel="1" collapsed="1" x14ac:dyDescent="0.25">
      <c r="B21" t="s">
        <v>13</v>
      </c>
      <c r="C21">
        <f>WEST!$B$4</f>
        <v>176</v>
      </c>
      <c r="D21">
        <f>WEST!$C$4</f>
        <v>33</v>
      </c>
      <c r="E21">
        <f>WEST!$D$4</f>
        <v>350</v>
      </c>
    </row>
    <row r="22" spans="1:5" hidden="1" outlineLevel="1" collapsed="1" x14ac:dyDescent="0.25">
      <c r="C22">
        <f>WEST!$B$5</f>
        <v>190</v>
      </c>
      <c r="D22">
        <f>WEST!$C$5</f>
        <v>249</v>
      </c>
      <c r="E22">
        <f>WEST!$D$5</f>
        <v>215</v>
      </c>
    </row>
    <row r="23" spans="1:5" hidden="1" outlineLevel="1" collapsed="1" x14ac:dyDescent="0.25">
      <c r="C23">
        <f>WEST!$B$22</f>
        <v>353</v>
      </c>
      <c r="D23">
        <f>WEST!$C$22</f>
        <v>151</v>
      </c>
      <c r="E23">
        <f>WEST!$D$22</f>
        <v>99</v>
      </c>
    </row>
    <row r="24" spans="1:5" collapsed="1" x14ac:dyDescent="0.25">
      <c r="A24" t="s">
        <v>1</v>
      </c>
      <c r="C24">
        <f>SUM(C19:C23)</f>
        <v>890</v>
      </c>
      <c r="D24">
        <f>SUM(D19:D23)</f>
        <v>531</v>
      </c>
      <c r="E24">
        <f>SUM(E19:E23)</f>
        <v>812</v>
      </c>
    </row>
    <row r="25" spans="1:5" hidden="1" outlineLevel="1" x14ac:dyDescent="0.25">
      <c r="B25" t="s">
        <v>14</v>
      </c>
      <c r="C25">
        <f>[1]EAST!$B$4</f>
        <v>278</v>
      </c>
      <c r="D25">
        <f>[1]EAST!$C$4</f>
        <v>177</v>
      </c>
      <c r="E25">
        <f>[1]EAST!$D$4</f>
        <v>179</v>
      </c>
    </row>
    <row r="26" spans="1:5" hidden="1" outlineLevel="1" collapsed="1" x14ac:dyDescent="0.25">
      <c r="B26" t="s">
        <v>13</v>
      </c>
      <c r="C26">
        <f>WEST!$B$19</f>
        <v>189</v>
      </c>
      <c r="D26">
        <f>WEST!$C$19</f>
        <v>154</v>
      </c>
      <c r="E26">
        <f>WEST!$D$19</f>
        <v>101</v>
      </c>
    </row>
    <row r="27" spans="1:5" hidden="1" outlineLevel="1" collapsed="1" x14ac:dyDescent="0.25">
      <c r="C27">
        <f>WEST!$B$20</f>
        <v>313</v>
      </c>
      <c r="D27">
        <f>WEST!$C$20</f>
        <v>182</v>
      </c>
      <c r="E27">
        <f>WEST!$D$20</f>
        <v>68</v>
      </c>
    </row>
    <row r="28" spans="1:5" hidden="1" outlineLevel="1" collapsed="1" x14ac:dyDescent="0.25">
      <c r="C28">
        <f>WEST!$B$21</f>
        <v>389</v>
      </c>
      <c r="D28">
        <f>WEST!$C$21</f>
        <v>247</v>
      </c>
      <c r="E28">
        <f>WEST!$D$21</f>
        <v>257</v>
      </c>
    </row>
    <row r="29" spans="1:5" hidden="1" outlineLevel="1" collapsed="1" x14ac:dyDescent="0.25">
      <c r="C29">
        <f>WEST!$B$23</f>
        <v>62</v>
      </c>
      <c r="D29">
        <f>WEST!$C$23</f>
        <v>162</v>
      </c>
      <c r="E29">
        <f>WEST!$D$23</f>
        <v>238</v>
      </c>
    </row>
    <row r="30" spans="1:5" collapsed="1" x14ac:dyDescent="0.25">
      <c r="A30" t="s">
        <v>6</v>
      </c>
      <c r="C30">
        <f>SUM(C25:C29)</f>
        <v>1231</v>
      </c>
      <c r="D30">
        <f>SUM(D25:D29)</f>
        <v>922</v>
      </c>
      <c r="E30">
        <f>SUM(E25:E29)</f>
        <v>843</v>
      </c>
    </row>
    <row r="31" spans="1:5" hidden="1" outlineLevel="1" x14ac:dyDescent="0.25">
      <c r="B31" t="s">
        <v>14</v>
      </c>
      <c r="C31">
        <f>[1]EAST!$B$5</f>
        <v>156</v>
      </c>
      <c r="D31">
        <f>[1]EAST!$C$5</f>
        <v>214</v>
      </c>
      <c r="E31">
        <f>[1]EAST!$D$5</f>
        <v>240</v>
      </c>
    </row>
    <row r="32" spans="1:5" hidden="1" outlineLevel="1" collapsed="1" x14ac:dyDescent="0.25">
      <c r="C32">
        <f>[1]EAST!$B$6</f>
        <v>72</v>
      </c>
      <c r="D32">
        <f>[1]EAST!$C$6</f>
        <v>134</v>
      </c>
      <c r="E32">
        <f>[1]EAST!$D$6</f>
        <v>48</v>
      </c>
    </row>
    <row r="33" spans="1:5" hidden="1" outlineLevel="1" collapsed="1" x14ac:dyDescent="0.25">
      <c r="C33">
        <f>[1]EAST!$B$7</f>
        <v>7</v>
      </c>
      <c r="D33">
        <f>[1]EAST!$C$7</f>
        <v>256</v>
      </c>
      <c r="E33">
        <f>[1]EAST!$D$7</f>
        <v>104</v>
      </c>
    </row>
    <row r="34" spans="1:5" hidden="1" outlineLevel="1" collapsed="1" x14ac:dyDescent="0.25">
      <c r="C34">
        <f>[1]EAST!$B$17</f>
        <v>-5</v>
      </c>
      <c r="D34">
        <f>[1]EAST!$C$17</f>
        <v>159</v>
      </c>
      <c r="E34">
        <f>[1]EAST!$D$17</f>
        <v>70</v>
      </c>
    </row>
    <row r="35" spans="1:5" hidden="1" outlineLevel="1" collapsed="1" x14ac:dyDescent="0.25">
      <c r="B35" t="s">
        <v>13</v>
      </c>
      <c r="C35">
        <f>WEST!$B$6</f>
        <v>162</v>
      </c>
      <c r="D35">
        <f>WEST!$C$6</f>
        <v>74</v>
      </c>
      <c r="E35">
        <f>WEST!$D$6</f>
        <v>156</v>
      </c>
    </row>
    <row r="36" spans="1:5" hidden="1" outlineLevel="1" collapsed="1" x14ac:dyDescent="0.25">
      <c r="C36">
        <f>WEST!$B$7</f>
        <v>90</v>
      </c>
      <c r="D36">
        <f>WEST!$C$7</f>
        <v>150</v>
      </c>
      <c r="E36">
        <f>WEST!$D$7</f>
        <v>170</v>
      </c>
    </row>
    <row r="37" spans="1:5" hidden="1" outlineLevel="1" collapsed="1" x14ac:dyDescent="0.25">
      <c r="C37">
        <f>WEST!$B$8</f>
        <v>112</v>
      </c>
      <c r="D37">
        <f>WEST!$C$8</f>
        <v>284</v>
      </c>
      <c r="E37">
        <f>WEST!$D$8</f>
        <v>141</v>
      </c>
    </row>
    <row r="38" spans="1:5" hidden="1" outlineLevel="1" collapsed="1" x14ac:dyDescent="0.25">
      <c r="C38">
        <f>WEST!$B$24</f>
        <v>173</v>
      </c>
      <c r="D38">
        <f>WEST!$C$24</f>
        <v>153</v>
      </c>
      <c r="E38">
        <f>WEST!$D$24</f>
        <v>270</v>
      </c>
    </row>
    <row r="39" spans="1:5" collapsed="1" x14ac:dyDescent="0.25">
      <c r="A39" t="s">
        <v>2</v>
      </c>
      <c r="C39">
        <f>SUM(C31:C38)</f>
        <v>767</v>
      </c>
      <c r="D39">
        <f>SUM(D31:D38)</f>
        <v>1424</v>
      </c>
      <c r="E39">
        <f>SUM(E31:E38)</f>
        <v>1199</v>
      </c>
    </row>
    <row r="40" spans="1:5" hidden="1" outlineLevel="1" x14ac:dyDescent="0.25">
      <c r="B40" t="s">
        <v>14</v>
      </c>
      <c r="C40">
        <f>[1]EAST!$B$12</f>
        <v>25</v>
      </c>
      <c r="D40">
        <f>[1]EAST!$C$12</f>
        <v>120</v>
      </c>
      <c r="E40">
        <f>[1]EAST!$D$12</f>
        <v>171</v>
      </c>
    </row>
    <row r="41" spans="1:5" hidden="1" outlineLevel="1" collapsed="1" x14ac:dyDescent="0.25">
      <c r="C41">
        <f>[1]EAST!$B$13</f>
        <v>197</v>
      </c>
      <c r="D41">
        <f>[1]EAST!$C$13</f>
        <v>90</v>
      </c>
      <c r="E41">
        <f>[1]EAST!$D$13</f>
        <v>124</v>
      </c>
    </row>
    <row r="42" spans="1:5" hidden="1" outlineLevel="1" collapsed="1" x14ac:dyDescent="0.25">
      <c r="C42">
        <f>[1]EAST!$B$14</f>
        <v>221</v>
      </c>
      <c r="D42">
        <f>[1]EAST!$C$14</f>
        <v>121</v>
      </c>
      <c r="E42">
        <f>[1]EAST!$D$14</f>
        <v>48</v>
      </c>
    </row>
    <row r="43" spans="1:5" hidden="1" outlineLevel="1" collapsed="1" x14ac:dyDescent="0.25">
      <c r="C43">
        <f>[1]EAST!$B$18</f>
        <v>136</v>
      </c>
      <c r="D43">
        <f>[1]EAST!$C$18</f>
        <v>152</v>
      </c>
      <c r="E43">
        <f>[1]EAST!$D$18</f>
        <v>28</v>
      </c>
    </row>
    <row r="44" spans="1:5" collapsed="1" x14ac:dyDescent="0.25">
      <c r="A44" t="s">
        <v>12</v>
      </c>
      <c r="C44">
        <f>SUM(C40:C43)</f>
        <v>579</v>
      </c>
      <c r="D44">
        <f>SUM(D40:D43)</f>
        <v>483</v>
      </c>
      <c r="E44">
        <f>SUM(E40:E43)</f>
        <v>371</v>
      </c>
    </row>
    <row r="45" spans="1:5" hidden="1" outlineLevel="1" x14ac:dyDescent="0.25">
      <c r="B45" t="s">
        <v>14</v>
      </c>
      <c r="C45">
        <f>[1]EAST!$B$16</f>
        <v>13</v>
      </c>
      <c r="D45">
        <f>[1]EAST!$C$16</f>
        <v>250</v>
      </c>
      <c r="E45">
        <f>[1]EAST!$D$16</f>
        <v>51</v>
      </c>
    </row>
    <row r="46" spans="1:5" hidden="1" outlineLevel="1" collapsed="1" x14ac:dyDescent="0.25">
      <c r="B46" t="s">
        <v>13</v>
      </c>
      <c r="C46">
        <f>WEST!$B$9</f>
        <v>154</v>
      </c>
      <c r="D46">
        <f>WEST!$C$9</f>
        <v>217</v>
      </c>
      <c r="E46">
        <f>WEST!$D$9</f>
        <v>113</v>
      </c>
    </row>
    <row r="47" spans="1:5" hidden="1" outlineLevel="1" collapsed="1" x14ac:dyDescent="0.25">
      <c r="C47">
        <f>WEST!$B$10</f>
        <v>152</v>
      </c>
      <c r="D47">
        <f>WEST!$C$10</f>
        <v>200</v>
      </c>
      <c r="E47">
        <f>WEST!$D$10</f>
        <v>275</v>
      </c>
    </row>
    <row r="48" spans="1:5" hidden="1" outlineLevel="1" collapsed="1" x14ac:dyDescent="0.25">
      <c r="C48">
        <f>WEST!$B$11</f>
        <v>277</v>
      </c>
      <c r="D48">
        <f>WEST!$C$11</f>
        <v>183</v>
      </c>
      <c r="E48">
        <f>WEST!$D$11</f>
        <v>372</v>
      </c>
    </row>
    <row r="49" spans="1:5" collapsed="1" x14ac:dyDescent="0.25">
      <c r="A49" t="s">
        <v>3</v>
      </c>
      <c r="C49">
        <f>SUM(C45:C48)</f>
        <v>596</v>
      </c>
      <c r="D49">
        <f>SUM(D45:D48)</f>
        <v>850</v>
      </c>
      <c r="E49">
        <f>SUM(E45:E48)</f>
        <v>811</v>
      </c>
    </row>
  </sheetData>
  <dataConsolidate topLabels="1" link="1">
    <dataRefs count="2">
      <dataRef ref="A1:D18" sheet="EAST" r:id="rId1"/>
      <dataRef ref="A1:D24" sheet="WEST"/>
    </dataRefs>
  </dataConsolidate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C5A72-E5D3-4D03-9B74-5BD662F3C5C5}">
  <dimension ref="A1:E49"/>
  <sheetViews>
    <sheetView tabSelected="1" workbookViewId="0">
      <selection activeCell="C30" sqref="C30"/>
    </sheetView>
  </sheetViews>
  <sheetFormatPr defaultRowHeight="13.2" outlineLevelRow="1" x14ac:dyDescent="0.25"/>
  <cols>
    <col min="1" max="1" width="4.77734375" customWidth="1"/>
    <col min="2" max="2" width="13.33203125" customWidth="1"/>
  </cols>
  <sheetData>
    <row r="1" spans="1:5" x14ac:dyDescent="0.25">
      <c r="A1" s="4"/>
      <c r="B1" s="4"/>
      <c r="C1" s="4" t="s">
        <v>8</v>
      </c>
      <c r="D1" s="4" t="s">
        <v>9</v>
      </c>
      <c r="E1" s="4" t="s">
        <v>10</v>
      </c>
    </row>
    <row r="2" spans="1:5" outlineLevel="1" x14ac:dyDescent="0.25">
      <c r="A2" s="4"/>
      <c r="B2" s="4" t="s">
        <v>13</v>
      </c>
      <c r="C2" s="4">
        <f>WEST!$B$12</f>
        <v>131</v>
      </c>
      <c r="D2" s="4">
        <f>WEST!$C$12</f>
        <v>71</v>
      </c>
      <c r="E2" s="4">
        <f>WEST!$D$12</f>
        <v>266</v>
      </c>
    </row>
    <row r="3" spans="1:5" x14ac:dyDescent="0.25">
      <c r="A3" s="4" t="s">
        <v>4</v>
      </c>
      <c r="B3" s="4"/>
      <c r="C3" s="4">
        <f>SUM(C2)</f>
        <v>131</v>
      </c>
      <c r="D3" s="4">
        <f>SUM(D2)</f>
        <v>71</v>
      </c>
      <c r="E3" s="4">
        <f>SUM(E2)</f>
        <v>266</v>
      </c>
    </row>
    <row r="4" spans="1:5" outlineLevel="1" x14ac:dyDescent="0.25">
      <c r="A4" s="4"/>
      <c r="B4" s="4" t="s">
        <v>13</v>
      </c>
      <c r="C4" s="4">
        <f>WEST!$B$13</f>
        <v>294</v>
      </c>
      <c r="D4" s="4">
        <f>WEST!$C$13</f>
        <v>211</v>
      </c>
      <c r="E4" s="4">
        <f>WEST!$D$13</f>
        <v>249</v>
      </c>
    </row>
    <row r="5" spans="1:5" outlineLevel="1" collapsed="1" x14ac:dyDescent="0.25">
      <c r="A5" s="4"/>
      <c r="B5" s="4"/>
      <c r="C5" s="4">
        <f>WEST!$B$14</f>
        <v>146</v>
      </c>
      <c r="D5" s="4">
        <f>WEST!$C$14</f>
        <v>125</v>
      </c>
      <c r="E5" s="4">
        <f>WEST!$D$14</f>
        <v>5</v>
      </c>
    </row>
    <row r="6" spans="1:5" outlineLevel="1" collapsed="1" x14ac:dyDescent="0.25">
      <c r="A6" s="4"/>
      <c r="B6" s="4"/>
      <c r="C6" s="4">
        <f>WEST!$B$16</f>
        <v>157</v>
      </c>
      <c r="D6" s="4">
        <f>WEST!$C$16</f>
        <v>241</v>
      </c>
      <c r="E6" s="4">
        <f>WEST!$D$16</f>
        <v>73</v>
      </c>
    </row>
    <row r="7" spans="1:5" x14ac:dyDescent="0.25">
      <c r="A7" s="4" t="s">
        <v>5</v>
      </c>
      <c r="B7" s="4"/>
      <c r="C7" s="4">
        <f>SUM(C4:C6)</f>
        <v>597</v>
      </c>
      <c r="D7" s="4">
        <f>SUM(D4:D6)</f>
        <v>577</v>
      </c>
      <c r="E7" s="4">
        <f>SUM(E4:E6)</f>
        <v>327</v>
      </c>
    </row>
    <row r="8" spans="1:5" hidden="1" outlineLevel="1" x14ac:dyDescent="0.25">
      <c r="A8" s="4"/>
      <c r="B8" s="4" t="s">
        <v>14</v>
      </c>
      <c r="C8" s="4">
        <f>[1]EAST!$B$2</f>
        <v>205</v>
      </c>
      <c r="D8" s="4">
        <f>[1]EAST!$C$2</f>
        <v>263</v>
      </c>
      <c r="E8" s="4">
        <f>[1]EAST!$D$2</f>
        <v>20</v>
      </c>
    </row>
    <row r="9" spans="1:5" hidden="1" outlineLevel="1" collapsed="1" x14ac:dyDescent="0.25">
      <c r="A9" s="4"/>
      <c r="B9" s="4"/>
      <c r="C9" s="4">
        <f>[1]EAST!$B$8</f>
        <v>141</v>
      </c>
      <c r="D9" s="4">
        <f>[1]EAST!$C$8</f>
        <v>87</v>
      </c>
      <c r="E9" s="4">
        <f>[1]EAST!$D$8</f>
        <v>148</v>
      </c>
    </row>
    <row r="10" spans="1:5" hidden="1" outlineLevel="1" collapsed="1" x14ac:dyDescent="0.25">
      <c r="A10" s="4"/>
      <c r="B10" s="4"/>
      <c r="C10" s="4">
        <f>[1]EAST!$B$9</f>
        <v>2</v>
      </c>
      <c r="D10" s="4">
        <f>[1]EAST!$C$9</f>
        <v>15</v>
      </c>
      <c r="E10" s="4">
        <f>[1]EAST!$D$9</f>
        <v>135</v>
      </c>
    </row>
    <row r="11" spans="1:5" hidden="1" outlineLevel="1" collapsed="1" x14ac:dyDescent="0.25">
      <c r="A11" s="4"/>
      <c r="B11" s="4"/>
      <c r="C11" s="4">
        <f>[1]EAST!$B$10</f>
        <v>44</v>
      </c>
      <c r="D11" s="4">
        <f>[1]EAST!$C$10</f>
        <v>47</v>
      </c>
      <c r="E11" s="4">
        <f>[1]EAST!$D$10</f>
        <v>72</v>
      </c>
    </row>
    <row r="12" spans="1:5" hidden="1" outlineLevel="1" collapsed="1" x14ac:dyDescent="0.25">
      <c r="A12" s="4"/>
      <c r="B12" s="4"/>
      <c r="C12" s="4">
        <f>[1]EAST!$B$15</f>
        <v>84</v>
      </c>
      <c r="D12" s="4">
        <f>[1]EAST!$C$15</f>
        <v>103</v>
      </c>
      <c r="E12" s="4">
        <f>[1]EAST!$D$15</f>
        <v>134</v>
      </c>
    </row>
    <row r="13" spans="1:5" hidden="1" outlineLevel="1" collapsed="1" x14ac:dyDescent="0.25">
      <c r="A13" s="4"/>
      <c r="B13" s="4" t="s">
        <v>13</v>
      </c>
      <c r="C13" s="4">
        <f>WEST!$B$2</f>
        <v>173</v>
      </c>
      <c r="D13" s="4">
        <f>WEST!$C$2</f>
        <v>1</v>
      </c>
      <c r="E13" s="4">
        <f>WEST!$D$2</f>
        <v>256</v>
      </c>
    </row>
    <row r="14" spans="1:5" hidden="1" outlineLevel="1" collapsed="1" x14ac:dyDescent="0.25">
      <c r="A14" s="4"/>
      <c r="B14" s="4"/>
      <c r="C14" s="4">
        <f>WEST!$B$3</f>
        <v>208</v>
      </c>
      <c r="D14" s="4">
        <f>WEST!$C$3</f>
        <v>201</v>
      </c>
      <c r="E14" s="4">
        <f>WEST!$D$3</f>
        <v>224</v>
      </c>
    </row>
    <row r="15" spans="1:5" hidden="1" outlineLevel="1" collapsed="1" x14ac:dyDescent="0.25">
      <c r="A15" s="4"/>
      <c r="B15" s="4"/>
      <c r="C15" s="4">
        <f>WEST!$B$15</f>
        <v>115</v>
      </c>
      <c r="D15" s="4">
        <f>WEST!$C$15</f>
        <v>214</v>
      </c>
      <c r="E15" s="4">
        <f>WEST!$D$15</f>
        <v>141</v>
      </c>
    </row>
    <row r="16" spans="1:5" hidden="1" outlineLevel="1" collapsed="1" x14ac:dyDescent="0.25">
      <c r="A16" s="4"/>
      <c r="B16" s="4"/>
      <c r="C16" s="4">
        <f>WEST!$B$17</f>
        <v>125</v>
      </c>
      <c r="D16" s="4">
        <f>WEST!$C$17</f>
        <v>227</v>
      </c>
      <c r="E16" s="4">
        <f>WEST!$D$17</f>
        <v>135</v>
      </c>
    </row>
    <row r="17" spans="1:5" hidden="1" outlineLevel="1" collapsed="1" x14ac:dyDescent="0.25">
      <c r="A17" s="4"/>
      <c r="B17" s="4"/>
      <c r="C17" s="4">
        <f>WEST!$B$18</f>
        <v>314</v>
      </c>
      <c r="D17" s="4">
        <f>WEST!$C$18</f>
        <v>189</v>
      </c>
      <c r="E17" s="4">
        <f>WEST!$D$18</f>
        <v>180</v>
      </c>
    </row>
    <row r="18" spans="1:5" collapsed="1" x14ac:dyDescent="0.25">
      <c r="A18" s="4" t="s">
        <v>0</v>
      </c>
      <c r="B18" s="4"/>
      <c r="C18" s="4">
        <f>SUM(C8:C17)</f>
        <v>1411</v>
      </c>
      <c r="D18" s="4">
        <f>SUM(D8:D17)</f>
        <v>1347</v>
      </c>
      <c r="E18" s="4">
        <f>SUM(E8:E17)</f>
        <v>1445</v>
      </c>
    </row>
    <row r="19" spans="1:5" hidden="1" outlineLevel="1" x14ac:dyDescent="0.25">
      <c r="A19" s="4"/>
      <c r="B19" s="4" t="s">
        <v>14</v>
      </c>
      <c r="C19" s="4">
        <f>[1]EAST!$B$3</f>
        <v>164</v>
      </c>
      <c r="D19" s="4">
        <f>[1]EAST!$C$3</f>
        <v>17</v>
      </c>
      <c r="E19" s="4">
        <f>[1]EAST!$D$3</f>
        <v>146</v>
      </c>
    </row>
    <row r="20" spans="1:5" hidden="1" outlineLevel="1" collapsed="1" x14ac:dyDescent="0.25">
      <c r="A20" s="4"/>
      <c r="B20" s="4"/>
      <c r="C20" s="4">
        <f>[1]EAST!$B$11</f>
        <v>7</v>
      </c>
      <c r="D20" s="4">
        <f>[1]EAST!$C$11</f>
        <v>81</v>
      </c>
      <c r="E20" s="4">
        <f>[1]EAST!$D$11</f>
        <v>2</v>
      </c>
    </row>
    <row r="21" spans="1:5" hidden="1" outlineLevel="1" collapsed="1" x14ac:dyDescent="0.25">
      <c r="A21" s="4"/>
      <c r="B21" s="4" t="s">
        <v>13</v>
      </c>
      <c r="C21" s="4">
        <f>WEST!$B$4</f>
        <v>176</v>
      </c>
      <c r="D21" s="4">
        <f>WEST!$C$4</f>
        <v>33</v>
      </c>
      <c r="E21" s="4">
        <f>WEST!$D$4</f>
        <v>350</v>
      </c>
    </row>
    <row r="22" spans="1:5" hidden="1" outlineLevel="1" collapsed="1" x14ac:dyDescent="0.25">
      <c r="A22" s="4"/>
      <c r="B22" s="4"/>
      <c r="C22" s="4">
        <f>WEST!$B$5</f>
        <v>190</v>
      </c>
      <c r="D22" s="4">
        <f>WEST!$C$5</f>
        <v>249</v>
      </c>
      <c r="E22" s="4">
        <f>WEST!$D$5</f>
        <v>215</v>
      </c>
    </row>
    <row r="23" spans="1:5" hidden="1" outlineLevel="1" collapsed="1" x14ac:dyDescent="0.25">
      <c r="A23" s="4"/>
      <c r="B23" s="4"/>
      <c r="C23" s="4">
        <f>WEST!$B$22</f>
        <v>353</v>
      </c>
      <c r="D23" s="4">
        <f>WEST!$C$22</f>
        <v>151</v>
      </c>
      <c r="E23" s="4">
        <f>WEST!$D$22</f>
        <v>99</v>
      </c>
    </row>
    <row r="24" spans="1:5" collapsed="1" x14ac:dyDescent="0.25">
      <c r="A24" s="4" t="s">
        <v>1</v>
      </c>
      <c r="B24" s="4"/>
      <c r="C24" s="4">
        <f>SUM(C19:C23)</f>
        <v>890</v>
      </c>
      <c r="D24" s="4">
        <f>SUM(D19:D23)</f>
        <v>531</v>
      </c>
      <c r="E24" s="4">
        <f>SUM(E19:E23)</f>
        <v>812</v>
      </c>
    </row>
    <row r="25" spans="1:5" hidden="1" outlineLevel="1" x14ac:dyDescent="0.25">
      <c r="A25" s="4"/>
      <c r="B25" s="4" t="s">
        <v>14</v>
      </c>
      <c r="C25" s="4">
        <f>[1]EAST!$B$4</f>
        <v>278</v>
      </c>
      <c r="D25" s="4">
        <f>[1]EAST!$C$4</f>
        <v>177</v>
      </c>
      <c r="E25" s="4">
        <f>[1]EAST!$D$4</f>
        <v>179</v>
      </c>
    </row>
    <row r="26" spans="1:5" hidden="1" outlineLevel="1" collapsed="1" x14ac:dyDescent="0.25">
      <c r="A26" s="4"/>
      <c r="B26" s="4" t="s">
        <v>13</v>
      </c>
      <c r="C26" s="4">
        <f>WEST!$B$19</f>
        <v>189</v>
      </c>
      <c r="D26" s="4">
        <f>WEST!$C$19</f>
        <v>154</v>
      </c>
      <c r="E26" s="4">
        <f>WEST!$D$19</f>
        <v>101</v>
      </c>
    </row>
    <row r="27" spans="1:5" hidden="1" outlineLevel="1" collapsed="1" x14ac:dyDescent="0.25">
      <c r="A27" s="4"/>
      <c r="B27" s="4"/>
      <c r="C27" s="4">
        <f>WEST!$B$20</f>
        <v>313</v>
      </c>
      <c r="D27" s="4">
        <f>WEST!$C$20</f>
        <v>182</v>
      </c>
      <c r="E27" s="4">
        <f>WEST!$D$20</f>
        <v>68</v>
      </c>
    </row>
    <row r="28" spans="1:5" hidden="1" outlineLevel="1" collapsed="1" x14ac:dyDescent="0.25">
      <c r="A28" s="4"/>
      <c r="B28" s="4"/>
      <c r="C28" s="4">
        <f>WEST!$B$21</f>
        <v>389</v>
      </c>
      <c r="D28" s="4">
        <f>WEST!$C$21</f>
        <v>247</v>
      </c>
      <c r="E28" s="4">
        <f>WEST!$D$21</f>
        <v>257</v>
      </c>
    </row>
    <row r="29" spans="1:5" hidden="1" outlineLevel="1" collapsed="1" x14ac:dyDescent="0.25">
      <c r="A29" s="4"/>
      <c r="B29" s="4"/>
      <c r="C29" s="4">
        <f>WEST!$B$23</f>
        <v>62</v>
      </c>
      <c r="D29" s="4">
        <f>WEST!$C$23</f>
        <v>162</v>
      </c>
      <c r="E29" s="4">
        <f>WEST!$D$23</f>
        <v>238</v>
      </c>
    </row>
    <row r="30" spans="1:5" collapsed="1" x14ac:dyDescent="0.25">
      <c r="A30" s="4" t="s">
        <v>6</v>
      </c>
      <c r="B30" s="4"/>
      <c r="C30" s="4">
        <f>SUM(C25:C29)</f>
        <v>1231</v>
      </c>
      <c r="D30" s="4">
        <f>SUM(D25:D29)</f>
        <v>922</v>
      </c>
      <c r="E30" s="4">
        <f>SUM(E25:E29)</f>
        <v>843</v>
      </c>
    </row>
    <row r="31" spans="1:5" hidden="1" outlineLevel="1" x14ac:dyDescent="0.25">
      <c r="A31" s="4"/>
      <c r="B31" s="4" t="s">
        <v>14</v>
      </c>
      <c r="C31" s="4">
        <f>[1]EAST!$B$5</f>
        <v>156</v>
      </c>
      <c r="D31" s="4">
        <f>[1]EAST!$C$5</f>
        <v>214</v>
      </c>
      <c r="E31" s="4">
        <f>[1]EAST!$D$5</f>
        <v>240</v>
      </c>
    </row>
    <row r="32" spans="1:5" hidden="1" outlineLevel="1" collapsed="1" x14ac:dyDescent="0.25">
      <c r="A32" s="4"/>
      <c r="B32" s="4"/>
      <c r="C32" s="4">
        <f>[1]EAST!$B$6</f>
        <v>72</v>
      </c>
      <c r="D32" s="4">
        <f>[1]EAST!$C$6</f>
        <v>134</v>
      </c>
      <c r="E32" s="4">
        <f>[1]EAST!$D$6</f>
        <v>48</v>
      </c>
    </row>
    <row r="33" spans="1:5" hidden="1" outlineLevel="1" collapsed="1" x14ac:dyDescent="0.25">
      <c r="A33" s="4"/>
      <c r="B33" s="4"/>
      <c r="C33" s="4">
        <f>[1]EAST!$B$7</f>
        <v>7</v>
      </c>
      <c r="D33" s="4">
        <f>[1]EAST!$C$7</f>
        <v>256</v>
      </c>
      <c r="E33" s="4">
        <f>[1]EAST!$D$7</f>
        <v>104</v>
      </c>
    </row>
    <row r="34" spans="1:5" hidden="1" outlineLevel="1" collapsed="1" x14ac:dyDescent="0.25">
      <c r="A34" s="4"/>
      <c r="B34" s="4"/>
      <c r="C34" s="4">
        <f>[1]EAST!$B$17</f>
        <v>-5</v>
      </c>
      <c r="D34" s="4">
        <f>[1]EAST!$C$17</f>
        <v>159</v>
      </c>
      <c r="E34" s="4">
        <f>[1]EAST!$D$17</f>
        <v>70</v>
      </c>
    </row>
    <row r="35" spans="1:5" hidden="1" outlineLevel="1" collapsed="1" x14ac:dyDescent="0.25">
      <c r="A35" s="4"/>
      <c r="B35" s="4" t="s">
        <v>13</v>
      </c>
      <c r="C35" s="4">
        <f>WEST!$B$6</f>
        <v>162</v>
      </c>
      <c r="D35" s="4">
        <f>WEST!$C$6</f>
        <v>74</v>
      </c>
      <c r="E35" s="4">
        <f>WEST!$D$6</f>
        <v>156</v>
      </c>
    </row>
    <row r="36" spans="1:5" hidden="1" outlineLevel="1" collapsed="1" x14ac:dyDescent="0.25">
      <c r="A36" s="4"/>
      <c r="B36" s="4"/>
      <c r="C36" s="4">
        <f>WEST!$B$7</f>
        <v>90</v>
      </c>
      <c r="D36" s="4">
        <f>WEST!$C$7</f>
        <v>150</v>
      </c>
      <c r="E36" s="4">
        <f>WEST!$D$7</f>
        <v>170</v>
      </c>
    </row>
    <row r="37" spans="1:5" hidden="1" outlineLevel="1" collapsed="1" x14ac:dyDescent="0.25">
      <c r="A37" s="4"/>
      <c r="B37" s="4"/>
      <c r="C37" s="4">
        <f>WEST!$B$8</f>
        <v>112</v>
      </c>
      <c r="D37" s="4">
        <f>WEST!$C$8</f>
        <v>284</v>
      </c>
      <c r="E37" s="4">
        <f>WEST!$D$8</f>
        <v>141</v>
      </c>
    </row>
    <row r="38" spans="1:5" hidden="1" outlineLevel="1" collapsed="1" x14ac:dyDescent="0.25">
      <c r="A38" s="4"/>
      <c r="B38" s="4"/>
      <c r="C38" s="4">
        <f>WEST!$B$24</f>
        <v>173</v>
      </c>
      <c r="D38" s="4">
        <f>WEST!$C$24</f>
        <v>153</v>
      </c>
      <c r="E38" s="4">
        <f>WEST!$D$24</f>
        <v>270</v>
      </c>
    </row>
    <row r="39" spans="1:5" collapsed="1" x14ac:dyDescent="0.25">
      <c r="A39" s="4" t="s">
        <v>2</v>
      </c>
      <c r="B39" s="4"/>
      <c r="C39" s="4">
        <f>SUM(C31:C38)</f>
        <v>767</v>
      </c>
      <c r="D39" s="4">
        <f>SUM(D31:D38)</f>
        <v>1424</v>
      </c>
      <c r="E39" s="4">
        <f>SUM(E31:E38)</f>
        <v>1199</v>
      </c>
    </row>
    <row r="40" spans="1:5" hidden="1" outlineLevel="1" x14ac:dyDescent="0.25">
      <c r="A40" s="4"/>
      <c r="B40" s="4" t="s">
        <v>14</v>
      </c>
      <c r="C40" s="4">
        <f>[1]EAST!$B$12</f>
        <v>25</v>
      </c>
      <c r="D40" s="4">
        <f>[1]EAST!$C$12</f>
        <v>120</v>
      </c>
      <c r="E40" s="4">
        <f>[1]EAST!$D$12</f>
        <v>171</v>
      </c>
    </row>
    <row r="41" spans="1:5" hidden="1" outlineLevel="1" collapsed="1" x14ac:dyDescent="0.25">
      <c r="A41" s="4"/>
      <c r="B41" s="4"/>
      <c r="C41" s="4">
        <f>[1]EAST!$B$13</f>
        <v>197</v>
      </c>
      <c r="D41" s="4">
        <f>[1]EAST!$C$13</f>
        <v>90</v>
      </c>
      <c r="E41" s="4">
        <f>[1]EAST!$D$13</f>
        <v>124</v>
      </c>
    </row>
    <row r="42" spans="1:5" hidden="1" outlineLevel="1" collapsed="1" x14ac:dyDescent="0.25">
      <c r="A42" s="4"/>
      <c r="B42" s="4"/>
      <c r="C42" s="4">
        <f>[1]EAST!$B$14</f>
        <v>221</v>
      </c>
      <c r="D42" s="4">
        <f>[1]EAST!$C$14</f>
        <v>121</v>
      </c>
      <c r="E42" s="4">
        <f>[1]EAST!$D$14</f>
        <v>48</v>
      </c>
    </row>
    <row r="43" spans="1:5" hidden="1" outlineLevel="1" collapsed="1" x14ac:dyDescent="0.25">
      <c r="A43" s="4"/>
      <c r="B43" s="4"/>
      <c r="C43" s="4">
        <f>[1]EAST!$B$18</f>
        <v>136</v>
      </c>
      <c r="D43" s="4">
        <f>[1]EAST!$C$18</f>
        <v>152</v>
      </c>
      <c r="E43" s="4">
        <f>[1]EAST!$D$18</f>
        <v>28</v>
      </c>
    </row>
    <row r="44" spans="1:5" collapsed="1" x14ac:dyDescent="0.25">
      <c r="A44" s="4" t="s">
        <v>12</v>
      </c>
      <c r="B44" s="4"/>
      <c r="C44" s="4">
        <f>SUM(C40:C43)</f>
        <v>579</v>
      </c>
      <c r="D44" s="4">
        <f>SUM(D40:D43)</f>
        <v>483</v>
      </c>
      <c r="E44" s="4">
        <f>SUM(E40:E43)</f>
        <v>371</v>
      </c>
    </row>
    <row r="45" spans="1:5" hidden="1" outlineLevel="1" x14ac:dyDescent="0.25">
      <c r="A45" s="4"/>
      <c r="B45" s="4" t="s">
        <v>14</v>
      </c>
      <c r="C45" s="4">
        <f>[1]EAST!$B$16</f>
        <v>13</v>
      </c>
      <c r="D45" s="4">
        <f>[1]EAST!$C$16</f>
        <v>250</v>
      </c>
      <c r="E45" s="4">
        <f>[1]EAST!$D$16</f>
        <v>51</v>
      </c>
    </row>
    <row r="46" spans="1:5" hidden="1" outlineLevel="1" collapsed="1" x14ac:dyDescent="0.25">
      <c r="A46" s="4"/>
      <c r="B46" s="4" t="s">
        <v>13</v>
      </c>
      <c r="C46" s="4">
        <f>WEST!$B$9</f>
        <v>154</v>
      </c>
      <c r="D46" s="4">
        <f>WEST!$C$9</f>
        <v>217</v>
      </c>
      <c r="E46" s="4">
        <f>WEST!$D$9</f>
        <v>113</v>
      </c>
    </row>
    <row r="47" spans="1:5" hidden="1" outlineLevel="1" collapsed="1" x14ac:dyDescent="0.25">
      <c r="A47" s="4"/>
      <c r="B47" s="4"/>
      <c r="C47" s="4">
        <f>WEST!$B$10</f>
        <v>152</v>
      </c>
      <c r="D47" s="4">
        <f>WEST!$C$10</f>
        <v>200</v>
      </c>
      <c r="E47" s="4">
        <f>WEST!$D$10</f>
        <v>275</v>
      </c>
    </row>
    <row r="48" spans="1:5" hidden="1" outlineLevel="1" collapsed="1" x14ac:dyDescent="0.25">
      <c r="A48" s="4"/>
      <c r="B48" s="4"/>
      <c r="C48" s="4">
        <f>WEST!$B$11</f>
        <v>277</v>
      </c>
      <c r="D48" s="4">
        <f>WEST!$C$11</f>
        <v>183</v>
      </c>
      <c r="E48" s="4">
        <f>WEST!$D$11</f>
        <v>372</v>
      </c>
    </row>
    <row r="49" spans="1:5" collapsed="1" x14ac:dyDescent="0.25">
      <c r="A49" s="4" t="s">
        <v>3</v>
      </c>
      <c r="B49" s="4"/>
      <c r="C49" s="4">
        <f>SUM(C45:C48)</f>
        <v>596</v>
      </c>
      <c r="D49" s="4">
        <f>SUM(D45:D48)</f>
        <v>850</v>
      </c>
      <c r="E49" s="4">
        <f>SUM(E45:E48)</f>
        <v>811</v>
      </c>
    </row>
  </sheetData>
  <dataConsolidate leftLabels="1" topLabels="1" link="1">
    <dataRefs count="2">
      <dataRef ref="A1:D18" sheet="EAST" r:id="rId1"/>
      <dataRef ref="A1:D24" sheet="WEST"/>
    </dataRefs>
  </dataConsolidate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Props1.xml><?xml version="1.0" encoding="utf-8"?>
<ds:datastoreItem xmlns:ds="http://schemas.openxmlformats.org/officeDocument/2006/customXml" ds:itemID="{67FD4F81-0024-4FC4-AED7-7BC38176B6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3D497817-E01E-491A-9BF9-1A4D909643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90DEFD-34B2-4C5D-AB67-0AC04D6FE7A5}">
  <ds:schemaRefs>
    <ds:schemaRef ds:uri="http://schemas.microsoft.com/office/2006/metadata/properties"/>
    <ds:schemaRef ds:uri="d1607db4-bd3f-4f82-a312-bf7e283d0a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WEST</vt:lpstr>
      <vt:lpstr>Лист1</vt:lpstr>
      <vt:lpstr>Лист2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Irene Zernova</dc:creator>
  <cp:keywords/>
  <dc:description/>
  <cp:lastModifiedBy>Андрей</cp:lastModifiedBy>
  <cp:revision/>
  <dcterms:created xsi:type="dcterms:W3CDTF">2007-02-23T00:26:28Z</dcterms:created>
  <dcterms:modified xsi:type="dcterms:W3CDTF">2023-05-30T01:03:01Z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