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4.1. Семинар №4\"/>
    </mc:Choice>
  </mc:AlternateContent>
  <xr:revisionPtr revIDLastSave="0" documentId="13_ncr:1_{AB18CC0A-4763-46BD-8923-4209DA5289D8}" xr6:coauthVersionLast="47" xr6:coauthVersionMax="47" xr10:uidLastSave="{00000000-0000-0000-0000-000000000000}"/>
  <bookViews>
    <workbookView xWindow="-108" yWindow="-108" windowWidth="23256" windowHeight="12576" activeTab="4" xr2:uid="{BDBFC175-F7F4-4BBE-B620-B2326AB12B31}"/>
  </bookViews>
  <sheets>
    <sheet name="Данные" sheetId="2" r:id="rId1"/>
    <sheet name="Задание №1" sheetId="1" r:id="rId2"/>
    <sheet name="Задание №2.1" sheetId="3" r:id="rId3"/>
    <sheet name="Задание №2.2" sheetId="4" r:id="rId4"/>
    <sheet name="Задание №3" sheetId="5" r:id="rId5"/>
  </sheets>
  <definedNames>
    <definedName name="_xlnm._FilterDatabase" localSheetId="0" hidden="1">Данные!$G$4:$J$2004</definedName>
    <definedName name="_xlnm._FilterDatabase" localSheetId="1" hidden="1">'Задание №1'!$G$17:$J$2017</definedName>
    <definedName name="_xlnm._FilterDatabase" localSheetId="2" hidden="1">'Задание №2.1'!$G$4:$J$2004</definedName>
    <definedName name="_xlnm._FilterDatabase" localSheetId="4" hidden="1">'Задание №3'!$C$4:$F$2004</definedName>
  </definedNames>
  <calcPr calcId="191029"/>
  <pivotCaches>
    <pivotCache cacheId="2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05" i="5" l="1"/>
  <c r="G1657" i="5"/>
  <c r="G1607" i="5"/>
  <c r="G1316" i="5"/>
  <c r="G1178" i="5"/>
  <c r="G822" i="5"/>
  <c r="G784" i="5"/>
  <c r="G774" i="5"/>
  <c r="G743" i="5"/>
  <c r="G434" i="5"/>
  <c r="G337" i="5"/>
  <c r="G265" i="5"/>
  <c r="G209" i="5"/>
  <c r="G143" i="5"/>
  <c r="G57" i="5"/>
  <c r="J2005" i="3"/>
  <c r="K110" i="1"/>
  <c r="K70" i="1"/>
  <c r="K67" i="1"/>
  <c r="K63" i="1"/>
  <c r="K60" i="1"/>
  <c r="K58" i="1"/>
  <c r="K57" i="1"/>
  <c r="K56" i="1"/>
  <c r="K55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J2018" i="1"/>
  <c r="J2021" i="1"/>
</calcChain>
</file>

<file path=xl/sharedStrings.xml><?xml version="1.0" encoding="utf-8"?>
<sst xmlns="http://schemas.openxmlformats.org/spreadsheetml/2006/main" count="24042" uniqueCount="2100">
  <si>
    <t>Citigroup</t>
  </si>
  <si>
    <t>General Electric</t>
  </si>
  <si>
    <t>Bank of America</t>
  </si>
  <si>
    <t>American Intl Group</t>
  </si>
  <si>
    <t>HSBC Group</t>
  </si>
  <si>
    <t>ExxonMobil</t>
  </si>
  <si>
    <t>Royal Dutch/Shell Group</t>
  </si>
  <si>
    <t>BP</t>
  </si>
  <si>
    <t>JPMorgan Chase</t>
  </si>
  <si>
    <t>UBS</t>
  </si>
  <si>
    <t>ING Group</t>
  </si>
  <si>
    <t>Toyota Motor</t>
  </si>
  <si>
    <t>Wal-Mart Stores</t>
  </si>
  <si>
    <t>Royal Bank of Scotland</t>
  </si>
  <si>
    <t>Total</t>
  </si>
  <si>
    <t>Chevron</t>
  </si>
  <si>
    <t>BNP Paribas</t>
  </si>
  <si>
    <t>Berkshire Hathaway</t>
  </si>
  <si>
    <t>Banco Santander</t>
  </si>
  <si>
    <t>Barclays</t>
  </si>
  <si>
    <t>Procter &amp; Gamble</t>
  </si>
  <si>
    <t>ConocoPhillips</t>
  </si>
  <si>
    <t>IBM</t>
  </si>
  <si>
    <t>HBOS</t>
  </si>
  <si>
    <t>Verizon Commun</t>
  </si>
  <si>
    <t>Wells Fargo</t>
  </si>
  <si>
    <t>Altria Group</t>
  </si>
  <si>
    <t>AXA Group</t>
  </si>
  <si>
    <t>Allianz Worldwide</t>
  </si>
  <si>
    <t>Credit Suisse Group</t>
  </si>
  <si>
    <t>ENI</t>
  </si>
  <si>
    <t>Nippon Tel &amp; Tel</t>
  </si>
  <si>
    <t>E.ON</t>
  </si>
  <si>
    <t>Morgan Stanley</t>
  </si>
  <si>
    <t>Pfizer</t>
  </si>
  <si>
    <t>Merrill Lynch</t>
  </si>
  <si>
    <t>Fannie Mae</t>
  </si>
  <si>
    <t>Fortis</t>
  </si>
  <si>
    <t>Deutsche Telekom</t>
  </si>
  <si>
    <t>Wachovia</t>
  </si>
  <si>
    <t>ABN-Amro Holding</t>
  </si>
  <si>
    <t>Goldman Sachs Group</t>
  </si>
  <si>
    <t>Société Générale Group</t>
  </si>
  <si>
    <t>Mizuho Financial</t>
  </si>
  <si>
    <t>DaimlerChrysler</t>
  </si>
  <si>
    <t>Crédit Agricole</t>
  </si>
  <si>
    <t>Lloyds TSB Group</t>
  </si>
  <si>
    <t>Samsung Electronics</t>
  </si>
  <si>
    <t>AT&amp;T</t>
  </si>
  <si>
    <t>Nestlé</t>
  </si>
  <si>
    <t>Petrobras-Petróleo Brasil</t>
  </si>
  <si>
    <t>PetroChina</t>
  </si>
  <si>
    <t>Gazprom</t>
  </si>
  <si>
    <t>France Telecom</t>
  </si>
  <si>
    <t>Microsoft</t>
  </si>
  <si>
    <t>Deutsche Bank Group</t>
  </si>
  <si>
    <t>Johnson &amp; Johnson</t>
  </si>
  <si>
    <t>BBVA-Banco Bilbao Vizcaya</t>
  </si>
  <si>
    <t>Sanofi-aventis</t>
  </si>
  <si>
    <t>MetLife</t>
  </si>
  <si>
    <t>Siemens Group</t>
  </si>
  <si>
    <t>Mitsubishi UFJ Finl</t>
  </si>
  <si>
    <t>Honda Motor</t>
  </si>
  <si>
    <t>Electricité de France</t>
  </si>
  <si>
    <t>China Construction Bk</t>
  </si>
  <si>
    <t>Nissan Motor</t>
  </si>
  <si>
    <t>Hewlett-Packard</t>
  </si>
  <si>
    <t>Time Warner</t>
  </si>
  <si>
    <t>Generali Group</t>
  </si>
  <si>
    <t>Zurich Financial Services</t>
  </si>
  <si>
    <t>Home Depot</t>
  </si>
  <si>
    <t>RWE Group</t>
  </si>
  <si>
    <t>Prudential Financial</t>
  </si>
  <si>
    <t>Intel</t>
  </si>
  <si>
    <t>Lehman Bros Holdings</t>
  </si>
  <si>
    <t>Telefónica</t>
  </si>
  <si>
    <t>China Pet &amp; Chem (Sinopec)</t>
  </si>
  <si>
    <t>Aviva</t>
  </si>
  <si>
    <t>ENEL</t>
  </si>
  <si>
    <t>Munich Re</t>
  </si>
  <si>
    <t>Telecom Italia</t>
  </si>
  <si>
    <t>GlaxoSmithKline</t>
  </si>
  <si>
    <t>Novartis Group</t>
  </si>
  <si>
    <t>Royal Bank of Canada</t>
  </si>
  <si>
    <t>UniCredit</t>
  </si>
  <si>
    <t>Natl Australia Bank</t>
  </si>
  <si>
    <t>Unilever</t>
  </si>
  <si>
    <t>American Express</t>
  </si>
  <si>
    <t>Deutsche Post</t>
  </si>
  <si>
    <t>Suez Group</t>
  </si>
  <si>
    <t>BMW-Bayerische Motor</t>
  </si>
  <si>
    <t>Washington Mutual</t>
  </si>
  <si>
    <t>Boeing</t>
  </si>
  <si>
    <t>Manulife Financial</t>
  </si>
  <si>
    <t>Renault Group</t>
  </si>
  <si>
    <t>Statoil Group</t>
  </si>
  <si>
    <t>Roche Group</t>
  </si>
  <si>
    <t>Aegon</t>
  </si>
  <si>
    <t>Tokyo Electric Power</t>
  </si>
  <si>
    <t>Sprint Nextel</t>
  </si>
  <si>
    <t>BHP Billiton</t>
  </si>
  <si>
    <t>US Bancorp</t>
  </si>
  <si>
    <t>UnitedHealth Group</t>
  </si>
  <si>
    <t>KBC Group</t>
  </si>
  <si>
    <t>Tyco International</t>
  </si>
  <si>
    <t>Dow Chemical</t>
  </si>
  <si>
    <t>Sony</t>
  </si>
  <si>
    <t>United Technologies</t>
  </si>
  <si>
    <t>United Parcel Service</t>
  </si>
  <si>
    <t>Banca Intesa</t>
  </si>
  <si>
    <t>Allstate</t>
  </si>
  <si>
    <t>China Mobile (HK)</t>
  </si>
  <si>
    <t>Commonwealth Bank</t>
  </si>
  <si>
    <t>Volkswagen Group</t>
  </si>
  <si>
    <t>WellPoint</t>
  </si>
  <si>
    <t>Anglo American</t>
  </si>
  <si>
    <t>Cisco Systems</t>
  </si>
  <si>
    <t>Walt Disney</t>
  </si>
  <si>
    <t>Carrefour</t>
  </si>
  <si>
    <t>BASF Group</t>
  </si>
  <si>
    <t>Dexia</t>
  </si>
  <si>
    <t>Tesco</t>
  </si>
  <si>
    <t>Merck &amp; Co</t>
  </si>
  <si>
    <t>Motorola</t>
  </si>
  <si>
    <t>Hartford Finl Service</t>
  </si>
  <si>
    <t>Mitsubishi</t>
  </si>
  <si>
    <t>Caterpillar</t>
  </si>
  <si>
    <t>PepsiCo</t>
  </si>
  <si>
    <t>Repsol-YPF</t>
  </si>
  <si>
    <t>News Corp</t>
  </si>
  <si>
    <t>BellSouth</t>
  </si>
  <si>
    <t>Valero Energy</t>
  </si>
  <si>
    <t>Ford Motor</t>
  </si>
  <si>
    <t>Bank of Nova Scotia</t>
  </si>
  <si>
    <t>Philips Group</t>
  </si>
  <si>
    <t>BT Group</t>
  </si>
  <si>
    <t>Swiss Re Group</t>
  </si>
  <si>
    <t>Target</t>
  </si>
  <si>
    <t>Lukoil Holding</t>
  </si>
  <si>
    <t>Canon</t>
  </si>
  <si>
    <t>Endesa Group</t>
  </si>
  <si>
    <t>Nokia</t>
  </si>
  <si>
    <t>Toronto-Dominion Bank</t>
  </si>
  <si>
    <t>Coca-Cola</t>
  </si>
  <si>
    <t>Mxller-Maersk</t>
  </si>
  <si>
    <t>Dell</t>
  </si>
  <si>
    <t>Saudi Basic Inds</t>
  </si>
  <si>
    <t>Danske Bank Group</t>
  </si>
  <si>
    <t>St Paul Travelers</t>
  </si>
  <si>
    <t>Korea Electric Power</t>
  </si>
  <si>
    <t>EADS</t>
  </si>
  <si>
    <t>Sanpaolo IMI</t>
  </si>
  <si>
    <t>Wyeth</t>
  </si>
  <si>
    <t>Arcelor</t>
  </si>
  <si>
    <t>Hutchison Whampoa</t>
  </si>
  <si>
    <t>Nordea Bank</t>
  </si>
  <si>
    <t>Commerzbank</t>
  </si>
  <si>
    <t>Rio Tinto</t>
  </si>
  <si>
    <t>Abbott Laboratories</t>
  </si>
  <si>
    <t>China Telecom</t>
  </si>
  <si>
    <t>Countrywide Financial</t>
  </si>
  <si>
    <t>Lowe's Cos</t>
  </si>
  <si>
    <t>Sun Life Financial</t>
  </si>
  <si>
    <t>Prudential</t>
  </si>
  <si>
    <t>AstraZeneca</t>
  </si>
  <si>
    <t>Comcast</t>
  </si>
  <si>
    <t>Bank of Montreal</t>
  </si>
  <si>
    <t>Hyundai Motor</t>
  </si>
  <si>
    <t>EI du Pont de Nemours</t>
  </si>
  <si>
    <t>Resona Holdings</t>
  </si>
  <si>
    <t>Nippon Steel</t>
  </si>
  <si>
    <t>British Amer Tobacco</t>
  </si>
  <si>
    <t>Marathon Oil</t>
  </si>
  <si>
    <t>Banco do Brasil</t>
  </si>
  <si>
    <t>Gaz de France</t>
  </si>
  <si>
    <t>Norsk Hydro</t>
  </si>
  <si>
    <t>McDonald's</t>
  </si>
  <si>
    <t>Vivendi Universal</t>
  </si>
  <si>
    <t>Saint-Gobain</t>
  </si>
  <si>
    <t>Lockheed Martin</t>
  </si>
  <si>
    <t>Aetna</t>
  </si>
  <si>
    <t>Honeywell</t>
  </si>
  <si>
    <t>Old Mutual</t>
  </si>
  <si>
    <t>Mittal Steel</t>
  </si>
  <si>
    <t>Banco Bradesco</t>
  </si>
  <si>
    <t>Mitsui &amp; Co</t>
  </si>
  <si>
    <t>EnCana</t>
  </si>
  <si>
    <t>Duke Energy</t>
  </si>
  <si>
    <t>LM Ericsson</t>
  </si>
  <si>
    <t>Bristol-Myers Squibb</t>
  </si>
  <si>
    <t>Amgen</t>
  </si>
  <si>
    <t>East Japan Railway</t>
  </si>
  <si>
    <t>Telstra</t>
  </si>
  <si>
    <t>SunTrust Banks</t>
  </si>
  <si>
    <t>Legal &amp; General Group</t>
  </si>
  <si>
    <t>3M</t>
  </si>
  <si>
    <t>National Grid</t>
  </si>
  <si>
    <t>Freddie Mac</t>
  </si>
  <si>
    <t>Matsushita Electric Indl</t>
  </si>
  <si>
    <t>Bayer Group</t>
  </si>
  <si>
    <t>Capital One Financial</t>
  </si>
  <si>
    <t>Peugeot Groupe</t>
  </si>
  <si>
    <t>UES of Russia</t>
  </si>
  <si>
    <t>Occidental Petroleum</t>
  </si>
  <si>
    <t>Millea Holdings</t>
  </si>
  <si>
    <t>Cardinal Health</t>
  </si>
  <si>
    <t>L'Oréal Group</t>
  </si>
  <si>
    <t>Northrop Grumman</t>
  </si>
  <si>
    <t>National City</t>
  </si>
  <si>
    <t>Alcoa</t>
  </si>
  <si>
    <t>Metro AG</t>
  </si>
  <si>
    <t>JFE Holdings</t>
  </si>
  <si>
    <t>Eli Lilly &amp; Co</t>
  </si>
  <si>
    <t>Posco</t>
  </si>
  <si>
    <t>Volvo Group</t>
  </si>
  <si>
    <t>Aflac</t>
  </si>
  <si>
    <t>Dominion Resources</t>
  </si>
  <si>
    <t>FedEx</t>
  </si>
  <si>
    <t>Loews</t>
  </si>
  <si>
    <t>Denso</t>
  </si>
  <si>
    <t>CNP Assurances</t>
  </si>
  <si>
    <t>BCE</t>
  </si>
  <si>
    <t>Iberdrola</t>
  </si>
  <si>
    <t>Nomura Holdings</t>
  </si>
  <si>
    <t>Seven &amp; I Holdings</t>
  </si>
  <si>
    <t>Exelon</t>
  </si>
  <si>
    <t>KDDI</t>
  </si>
  <si>
    <t>Federated Dept Stores</t>
  </si>
  <si>
    <t>Southern Co</t>
  </si>
  <si>
    <t>Standard Chartered Group</t>
  </si>
  <si>
    <t>Chubb</t>
  </si>
  <si>
    <t>Walgreen</t>
  </si>
  <si>
    <t>Bouygues</t>
  </si>
  <si>
    <t>Hitachi</t>
  </si>
  <si>
    <t>Carnival</t>
  </si>
  <si>
    <t>ThyssenKrupp Group</t>
  </si>
  <si>
    <t>Bear Stearns Cos</t>
  </si>
  <si>
    <t>Oracle</t>
  </si>
  <si>
    <t>Deere &amp; Co</t>
  </si>
  <si>
    <t>Cendant</t>
  </si>
  <si>
    <t>Cemex</t>
  </si>
  <si>
    <t>Schlumberger</t>
  </si>
  <si>
    <t>Diageo</t>
  </si>
  <si>
    <t>Devon Energy</t>
  </si>
  <si>
    <t>Bank of New York</t>
  </si>
  <si>
    <t>First Data</t>
  </si>
  <si>
    <t>Burlington Northern</t>
  </si>
  <si>
    <t>Cigna</t>
  </si>
  <si>
    <t>Chubu Electric Power</t>
  </si>
  <si>
    <t>Takeda Pharmaceutical</t>
  </si>
  <si>
    <t>Kansai Electric Power</t>
  </si>
  <si>
    <t>Lafarge</t>
  </si>
  <si>
    <t>HCA</t>
  </si>
  <si>
    <t>Oil &amp; Natural Gas</t>
  </si>
  <si>
    <t>Centrica</t>
  </si>
  <si>
    <t>Halliburton</t>
  </si>
  <si>
    <t>BAE Systems</t>
  </si>
  <si>
    <t>Vinci Group</t>
  </si>
  <si>
    <t>Surgutneftegas</t>
  </si>
  <si>
    <t>PPR</t>
  </si>
  <si>
    <t>Svenska Handelsbanken</t>
  </si>
  <si>
    <t>Costco Wholesale</t>
  </si>
  <si>
    <t>SEB-Skand Enskilda</t>
  </si>
  <si>
    <t>BB&amp;T</t>
  </si>
  <si>
    <t>Allied Irish Banks</t>
  </si>
  <si>
    <t>General Dynamics</t>
  </si>
  <si>
    <t>Royal KPN</t>
  </si>
  <si>
    <t>Sumitomo</t>
  </si>
  <si>
    <t>Union Pacific</t>
  </si>
  <si>
    <t>Medtronic</t>
  </si>
  <si>
    <t>Emerson Electric</t>
  </si>
  <si>
    <t>International Paper</t>
  </si>
  <si>
    <t>Danone</t>
  </si>
  <si>
    <t>Mitsui Sumitomo Ins</t>
  </si>
  <si>
    <t>Archer Daniels</t>
  </si>
  <si>
    <t>Central Japan Railway</t>
  </si>
  <si>
    <t>Fifth Third Bancorp</t>
  </si>
  <si>
    <t>Genworth Financial</t>
  </si>
  <si>
    <t>Anheuser-Busch Cos</t>
  </si>
  <si>
    <t>ACE</t>
  </si>
  <si>
    <t>Apple Computer</t>
  </si>
  <si>
    <t>Texas Instruments</t>
  </si>
  <si>
    <t>Standard Bank Group</t>
  </si>
  <si>
    <t>Kookmin Bank</t>
  </si>
  <si>
    <t>CVS</t>
  </si>
  <si>
    <t>Sears Holdings</t>
  </si>
  <si>
    <t>TXU</t>
  </si>
  <si>
    <t>Bridgestone</t>
  </si>
  <si>
    <t>PNC Financial Services</t>
  </si>
  <si>
    <t>Golden West Finl</t>
  </si>
  <si>
    <t>Nippon Oil</t>
  </si>
  <si>
    <t>Power Corp of Canada</t>
  </si>
  <si>
    <t>Bank of Ireland</t>
  </si>
  <si>
    <t>Woori Finance Holdings</t>
  </si>
  <si>
    <t>Reliance Industries</t>
  </si>
  <si>
    <t>McKesson</t>
  </si>
  <si>
    <t>América Telecom</t>
  </si>
  <si>
    <t>BG Group</t>
  </si>
  <si>
    <t>SLM</t>
  </si>
  <si>
    <t>Kimberly-Clark</t>
  </si>
  <si>
    <t>SK Corp</t>
  </si>
  <si>
    <t>Vale do Rio Doce</t>
  </si>
  <si>
    <t>Raytheon</t>
  </si>
  <si>
    <t>Erste Bank</t>
  </si>
  <si>
    <t>TeliaSonera Group</t>
  </si>
  <si>
    <t>Petro-Canada</t>
  </si>
  <si>
    <t>State Bank of India Group</t>
  </si>
  <si>
    <t>Indian Oil</t>
  </si>
  <si>
    <t>Japan Tobacco</t>
  </si>
  <si>
    <t>Fuji Photo Film</t>
  </si>
  <si>
    <t>LG Electronics</t>
  </si>
  <si>
    <t>Mitsubishi Electric</t>
  </si>
  <si>
    <t>Alcatel</t>
  </si>
  <si>
    <t>InBev</t>
  </si>
  <si>
    <t>Weyerhaeuser</t>
  </si>
  <si>
    <t>Türkiye Is Bankasi</t>
  </si>
  <si>
    <t>Cathay Financial</t>
  </si>
  <si>
    <t>ABB Group</t>
  </si>
  <si>
    <t>Aeon</t>
  </si>
  <si>
    <t>Progressive</t>
  </si>
  <si>
    <t>Best Buy</t>
  </si>
  <si>
    <t>FöreningsSparbanken</t>
  </si>
  <si>
    <t>Toshiba</t>
  </si>
  <si>
    <t>Automatic Data</t>
  </si>
  <si>
    <t>Sharp</t>
  </si>
  <si>
    <t>Edison International</t>
  </si>
  <si>
    <t>Alltel</t>
  </si>
  <si>
    <t>Christian Dior</t>
  </si>
  <si>
    <t>Schneider Electric</t>
  </si>
  <si>
    <t>Sberbank</t>
  </si>
  <si>
    <t>Itochu</t>
  </si>
  <si>
    <t>Burlington Resources</t>
  </si>
  <si>
    <t>Henkel Group</t>
  </si>
  <si>
    <t>NEC</t>
  </si>
  <si>
    <t>Shinhan Financial</t>
  </si>
  <si>
    <t>Taiwan Semiconductor</t>
  </si>
  <si>
    <t>Areva Group</t>
  </si>
  <si>
    <t>Principal Financial</t>
  </si>
  <si>
    <t>DnB NOR</t>
  </si>
  <si>
    <t>Johnson Controls</t>
  </si>
  <si>
    <t>Waste Management</t>
  </si>
  <si>
    <t>FirstEnergy</t>
  </si>
  <si>
    <t>Orix</t>
  </si>
  <si>
    <t>FPL Group</t>
  </si>
  <si>
    <t>Amerada Hess</t>
  </si>
  <si>
    <t>Monte dei Paschi</t>
  </si>
  <si>
    <t>State Street</t>
  </si>
  <si>
    <t>Cadbury Schweppes</t>
  </si>
  <si>
    <t>Caremark Rx</t>
  </si>
  <si>
    <t>Viacom</t>
  </si>
  <si>
    <t>Air Liquide Group</t>
  </si>
  <si>
    <t>Singapore Telecom</t>
  </si>
  <si>
    <t>T &amp; D Holdings</t>
  </si>
  <si>
    <t>Anadarko Petroleum</t>
  </si>
  <si>
    <t>Norfolk Southern</t>
  </si>
  <si>
    <t>KeyCorp</t>
  </si>
  <si>
    <t>KT</t>
  </si>
  <si>
    <t>FirstRand</t>
  </si>
  <si>
    <t>American Electric</t>
  </si>
  <si>
    <t>CRH</t>
  </si>
  <si>
    <t>Apache</t>
  </si>
  <si>
    <t>EMC</t>
  </si>
  <si>
    <t>Xerox</t>
  </si>
  <si>
    <t>General Mills</t>
  </si>
  <si>
    <t>PG&amp;E</t>
  </si>
  <si>
    <t>Pub Svc Enterprise</t>
  </si>
  <si>
    <t>SABMiller</t>
  </si>
  <si>
    <t>PTT Public Company</t>
  </si>
  <si>
    <t>Capitalia</t>
  </si>
  <si>
    <t>Sumitomo Metal Inds</t>
  </si>
  <si>
    <t>Itaúsa</t>
  </si>
  <si>
    <t>Entergy</t>
  </si>
  <si>
    <t>CIC Group</t>
  </si>
  <si>
    <t>Saudi Telecom</t>
  </si>
  <si>
    <t>Regions Financial</t>
  </si>
  <si>
    <t>Kyushu Electric Power</t>
  </si>
  <si>
    <t>SAP</t>
  </si>
  <si>
    <t>Holcim</t>
  </si>
  <si>
    <t>Thomson Corp</t>
  </si>
  <si>
    <t>Natexis Banques</t>
  </si>
  <si>
    <t>OMV Group</t>
  </si>
  <si>
    <t>Sempra Energy</t>
  </si>
  <si>
    <t>Illinois Tool Works</t>
  </si>
  <si>
    <t>Unibanco Group</t>
  </si>
  <si>
    <t>Husky Energy</t>
  </si>
  <si>
    <t>Eurohypo</t>
  </si>
  <si>
    <t>Sasol</t>
  </si>
  <si>
    <t>Qualcomm</t>
  </si>
  <si>
    <t>Akzo Nobel Group</t>
  </si>
  <si>
    <t>Suncor Energy</t>
  </si>
  <si>
    <t>Ricoh</t>
  </si>
  <si>
    <t>Fujitsu</t>
  </si>
  <si>
    <t>Canadian Natural Res</t>
  </si>
  <si>
    <t>Vodafone</t>
  </si>
  <si>
    <t>Canadian National</t>
  </si>
  <si>
    <t>Medco Health</t>
  </si>
  <si>
    <t>JC Penney</t>
  </si>
  <si>
    <t>Tohoku Electric Power</t>
  </si>
  <si>
    <t>Continental</t>
  </si>
  <si>
    <t>Hon Hai Precision Ind</t>
  </si>
  <si>
    <t>Brookfield Asset Mgmt</t>
  </si>
  <si>
    <t>Centex</t>
  </si>
  <si>
    <t>Sysco</t>
  </si>
  <si>
    <t>NIKE</t>
  </si>
  <si>
    <t>Banco Popular Español</t>
  </si>
  <si>
    <t>Investor</t>
  </si>
  <si>
    <t>Carso Global Telecom</t>
  </si>
  <si>
    <t>CSX</t>
  </si>
  <si>
    <t>Scottish &amp; Southern</t>
  </si>
  <si>
    <t>Sumitomo Mitsui Financial</t>
  </si>
  <si>
    <t>Michelin Group</t>
  </si>
  <si>
    <t>Reed Elsevier</t>
  </si>
  <si>
    <t>Accenture</t>
  </si>
  <si>
    <t>Aon</t>
  </si>
  <si>
    <t>Baxter International</t>
  </si>
  <si>
    <t>Cnooc</t>
  </si>
  <si>
    <t>Consolidated Edison</t>
  </si>
  <si>
    <t>GUS</t>
  </si>
  <si>
    <t>EnBW-Energie Baden</t>
  </si>
  <si>
    <t>Colgate-Palmolive</t>
  </si>
  <si>
    <t>Swiss Life Holding</t>
  </si>
  <si>
    <t>Telenor</t>
  </si>
  <si>
    <t>Constellation Energy</t>
  </si>
  <si>
    <t>Swisscom</t>
  </si>
  <si>
    <t>Norilsk Nickel</t>
  </si>
  <si>
    <t>Mitsubishi Chemical</t>
  </si>
  <si>
    <t>Formosa Petrochemical</t>
  </si>
  <si>
    <t>Sampo</t>
  </si>
  <si>
    <t>Paccar</t>
  </si>
  <si>
    <t>EDP-Energias de Portugal</t>
  </si>
  <si>
    <t>Omnicom Group</t>
  </si>
  <si>
    <t>Shin-Etsu Chemical</t>
  </si>
  <si>
    <t>DR Horton</t>
  </si>
  <si>
    <t>Google</t>
  </si>
  <si>
    <t>Safeway</t>
  </si>
  <si>
    <t>Wolseley</t>
  </si>
  <si>
    <t>Ameriprise Financial</t>
  </si>
  <si>
    <t>WPP</t>
  </si>
  <si>
    <t>Progress Energy</t>
  </si>
  <si>
    <t>ACS Group</t>
  </si>
  <si>
    <t>Finmeccanica</t>
  </si>
  <si>
    <t>Pulte Homes</t>
  </si>
  <si>
    <t>TNT</t>
  </si>
  <si>
    <t>CIT Group</t>
  </si>
  <si>
    <t>Lagardère SCA</t>
  </si>
  <si>
    <t>AES</t>
  </si>
  <si>
    <t>Gap</t>
  </si>
  <si>
    <t>Gannett</t>
  </si>
  <si>
    <t>Sanlam</t>
  </si>
  <si>
    <t>George Weston</t>
  </si>
  <si>
    <t>Sara Lee</t>
  </si>
  <si>
    <t>BCP-Bco Com Português</t>
  </si>
  <si>
    <t>Masco</t>
  </si>
  <si>
    <t>TDC Group</t>
  </si>
  <si>
    <t>China Netcom Group</t>
  </si>
  <si>
    <t>Asahi Glass</t>
  </si>
  <si>
    <t>Coca-Cola Enterprises</t>
  </si>
  <si>
    <t>NTPC</t>
  </si>
  <si>
    <t>Charles Schwab</t>
  </si>
  <si>
    <t>Reynolds American</t>
  </si>
  <si>
    <t>Grupo Ferrovial</t>
  </si>
  <si>
    <t>Hana Financial Group</t>
  </si>
  <si>
    <t>Albertsons</t>
  </si>
  <si>
    <t>Lincoln National</t>
  </si>
  <si>
    <t>Kellogg</t>
  </si>
  <si>
    <t>Chunghwa Telecom</t>
  </si>
  <si>
    <t>Applied Materials</t>
  </si>
  <si>
    <t>Yahoo</t>
  </si>
  <si>
    <t>Sunoco</t>
  </si>
  <si>
    <t>Fortum</t>
  </si>
  <si>
    <t>Lennar</t>
  </si>
  <si>
    <t>United Overseas Bank</t>
  </si>
  <si>
    <t>Hypo Real Estate</t>
  </si>
  <si>
    <t>Cepsa</t>
  </si>
  <si>
    <t>Northern Rock</t>
  </si>
  <si>
    <t>Suzuki Motor</t>
  </si>
  <si>
    <t>Deutsche Lufthansa</t>
  </si>
  <si>
    <t>Ingersoll-Rand</t>
  </si>
  <si>
    <t>Lucent Technologies</t>
  </si>
  <si>
    <t>Komatsu</t>
  </si>
  <si>
    <t>Kingfisher</t>
  </si>
  <si>
    <t>Mitsui Trust</t>
  </si>
  <si>
    <t>Tokyo Gas</t>
  </si>
  <si>
    <t>Marubeni</t>
  </si>
  <si>
    <t>Gas Natural SDG</t>
  </si>
  <si>
    <t>Marks &amp; Spencer</t>
  </si>
  <si>
    <t>Rolls-Royce</t>
  </si>
  <si>
    <t>Sumitomo Chemical</t>
  </si>
  <si>
    <t>ConAgra Foods</t>
  </si>
  <si>
    <t>BOC Hong Kong</t>
  </si>
  <si>
    <t>Veolia Environnement</t>
  </si>
  <si>
    <t>Daiwa Securities</t>
  </si>
  <si>
    <t>Kohl's</t>
  </si>
  <si>
    <t>Computer Sciences</t>
  </si>
  <si>
    <t>Mitsubishi Estate</t>
  </si>
  <si>
    <t>Staples</t>
  </si>
  <si>
    <t>Altadis</t>
  </si>
  <si>
    <t>TransCanada</t>
  </si>
  <si>
    <t>Eletrobrás</t>
  </si>
  <si>
    <t>Kerr-McGee</t>
  </si>
  <si>
    <t>Dai Nippon Printing</t>
  </si>
  <si>
    <t>Clear Channel Commun</t>
  </si>
  <si>
    <t>Phelps Dodge</t>
  </si>
  <si>
    <t>Marsh &amp; McLennan</t>
  </si>
  <si>
    <t>Xstrata</t>
  </si>
  <si>
    <t>Williams Cos</t>
  </si>
  <si>
    <t>Portugal Telecom</t>
  </si>
  <si>
    <t>Directv Group</t>
  </si>
  <si>
    <t>Kyocera</t>
  </si>
  <si>
    <t>Mellon Financial</t>
  </si>
  <si>
    <t>National Bank of Greece</t>
  </si>
  <si>
    <t>MAN</t>
  </si>
  <si>
    <t>Kobe Steel</t>
  </si>
  <si>
    <t>Alliance &amp; Leicester</t>
  </si>
  <si>
    <t>Toyota Industries</t>
  </si>
  <si>
    <t>Air France-KLM Group</t>
  </si>
  <si>
    <t>Kubota</t>
  </si>
  <si>
    <t>Sabanci Group</t>
  </si>
  <si>
    <t>Ebay</t>
  </si>
  <si>
    <t>China Shenhua Energy</t>
  </si>
  <si>
    <t>General Motors</t>
  </si>
  <si>
    <t>Porsche</t>
  </si>
  <si>
    <t>DBS Group</t>
  </si>
  <si>
    <t>Canadian Imperial Bank</t>
  </si>
  <si>
    <t>Nucor</t>
  </si>
  <si>
    <t>Akbank</t>
  </si>
  <si>
    <t>St George Bank</t>
  </si>
  <si>
    <t>Magna International</t>
  </si>
  <si>
    <t>Danaher</t>
  </si>
  <si>
    <t>Falconbridge</t>
  </si>
  <si>
    <t>Saudi Electricity</t>
  </si>
  <si>
    <t>National Bank of Canada</t>
  </si>
  <si>
    <t>UnumProvident</t>
  </si>
  <si>
    <t>MOL</t>
  </si>
  <si>
    <t>Mitsui Fudosan</t>
  </si>
  <si>
    <t>AMP</t>
  </si>
  <si>
    <t>Irish Life &amp; Permanent</t>
  </si>
  <si>
    <t>Degussa</t>
  </si>
  <si>
    <t>West Japan Railway</t>
  </si>
  <si>
    <t>M&amp;T Bank</t>
  </si>
  <si>
    <t>Solvay Group</t>
  </si>
  <si>
    <t>Fiat Group</t>
  </si>
  <si>
    <t>North Fork Bancorp</t>
  </si>
  <si>
    <t>Linde</t>
  </si>
  <si>
    <t>Fondiaria-SAI</t>
  </si>
  <si>
    <t>Nippon Yusen</t>
  </si>
  <si>
    <t>Vattenfall Europe</t>
  </si>
  <si>
    <t>Sun Hung Kai Properties</t>
  </si>
  <si>
    <t>BAA</t>
  </si>
  <si>
    <t>Imperial Tobacco Group</t>
  </si>
  <si>
    <t>China Unicom</t>
  </si>
  <si>
    <t>Reckitt Benckiser</t>
  </si>
  <si>
    <t>Hynix Semiconductor</t>
  </si>
  <si>
    <t>Unión Fenosa</t>
  </si>
  <si>
    <t>PPL</t>
  </si>
  <si>
    <t>Praxair</t>
  </si>
  <si>
    <t>Sumitomo Electric</t>
  </si>
  <si>
    <t>Wm Morrison Supermarkets</t>
  </si>
  <si>
    <t>Kirin Brewery</t>
  </si>
  <si>
    <t>Woolworths</t>
  </si>
  <si>
    <t>Aisin Seiki</t>
  </si>
  <si>
    <t>Depfa Bank</t>
  </si>
  <si>
    <t>Mazda Motor</t>
  </si>
  <si>
    <t>Mitsui OSK Lines</t>
  </si>
  <si>
    <t>Corus Group</t>
  </si>
  <si>
    <t>Marriott Intl</t>
  </si>
  <si>
    <t>Friends Provident</t>
  </si>
  <si>
    <t>Air Prods &amp; Chems</t>
  </si>
  <si>
    <t>HJ Heinz</t>
  </si>
  <si>
    <t>Telus</t>
  </si>
  <si>
    <t>Singapore Airlines</t>
  </si>
  <si>
    <t>TUI Group</t>
  </si>
  <si>
    <t>Jardine Matheson</t>
  </si>
  <si>
    <t>Baker Hughes</t>
  </si>
  <si>
    <t>Eaton</t>
  </si>
  <si>
    <t>Ladbrokes</t>
  </si>
  <si>
    <t>Richemont</t>
  </si>
  <si>
    <t>Ameren</t>
  </si>
  <si>
    <t>EchoStar Commun</t>
  </si>
  <si>
    <t>British Airways</t>
  </si>
  <si>
    <t>DTE Energy</t>
  </si>
  <si>
    <t>Telkom</t>
  </si>
  <si>
    <t>Southwest Airlines</t>
  </si>
  <si>
    <t>Agilent Technologies</t>
  </si>
  <si>
    <t>Nan Ya Plastic</t>
  </si>
  <si>
    <t>Schering-Plough</t>
  </si>
  <si>
    <t>AmerisourceBergen</t>
  </si>
  <si>
    <t>Unipol</t>
  </si>
  <si>
    <t>Macquarie Bank</t>
  </si>
  <si>
    <t>Comerica</t>
  </si>
  <si>
    <t>Merck</t>
  </si>
  <si>
    <t>Cheung Kong</t>
  </si>
  <si>
    <t>Xcel Energy</t>
  </si>
  <si>
    <t>Nippon Mining</t>
  </si>
  <si>
    <t>Assoc British Foods</t>
  </si>
  <si>
    <t>Chugoku Electric Power</t>
  </si>
  <si>
    <t>Suncorp-Metway</t>
  </si>
  <si>
    <t>Syngenta</t>
  </si>
  <si>
    <t>Franklin Resources</t>
  </si>
  <si>
    <t>Northern Trust</t>
  </si>
  <si>
    <t>Mitsubishi Heavy Inds</t>
  </si>
  <si>
    <t>Asahi Kasei</t>
  </si>
  <si>
    <t>Korea Exchange Bank</t>
  </si>
  <si>
    <t>CBS</t>
  </si>
  <si>
    <t>Aiful</t>
  </si>
  <si>
    <t>BPVN Group</t>
  </si>
  <si>
    <t>Chesapeake Energy</t>
  </si>
  <si>
    <t>Bank of Communications</t>
  </si>
  <si>
    <t>UPM-Kymmene</t>
  </si>
  <si>
    <t>Corning</t>
  </si>
  <si>
    <t>Orkla</t>
  </si>
  <si>
    <t>Adecco</t>
  </si>
  <si>
    <t>Nintendo</t>
  </si>
  <si>
    <t>Bunge</t>
  </si>
  <si>
    <t>Fortune Brands</t>
  </si>
  <si>
    <t>MGM Mirage</t>
  </si>
  <si>
    <t>Ahold</t>
  </si>
  <si>
    <t>Heineken Holding</t>
  </si>
  <si>
    <t>US Steel</t>
  </si>
  <si>
    <t>Nationwide Financial</t>
  </si>
  <si>
    <t>AmSouth Bancorp</t>
  </si>
  <si>
    <t>Accor</t>
  </si>
  <si>
    <t>Boston Scientific</t>
  </si>
  <si>
    <t>Lyondell Chemical</t>
  </si>
  <si>
    <t>BPU Banca</t>
  </si>
  <si>
    <t>Hannover Re</t>
  </si>
  <si>
    <t>Fidelity National Finl</t>
  </si>
  <si>
    <t>Enbridge</t>
  </si>
  <si>
    <t>Al Rajhi Bank</t>
  </si>
  <si>
    <t>Kroger</t>
  </si>
  <si>
    <t>Nikko Cordial</t>
  </si>
  <si>
    <t>Cez</t>
  </si>
  <si>
    <t>Alcan</t>
  </si>
  <si>
    <t>L-3 Communications</t>
  </si>
  <si>
    <t>EFG Eurobank Ergasias</t>
  </si>
  <si>
    <t>Rohm and Haas</t>
  </si>
  <si>
    <t>PPG Industries</t>
  </si>
  <si>
    <t>Sovereign Bancorp</t>
  </si>
  <si>
    <t>Celesio</t>
  </si>
  <si>
    <t>Toppan Printing</t>
  </si>
  <si>
    <t>China Steel</t>
  </si>
  <si>
    <t>Toray Industries</t>
  </si>
  <si>
    <t>Sandvik</t>
  </si>
  <si>
    <t>Autostrade</t>
  </si>
  <si>
    <t>Monsanto</t>
  </si>
  <si>
    <t>Nexen</t>
  </si>
  <si>
    <t>Koç Group</t>
  </si>
  <si>
    <t>TJX Cos</t>
  </si>
  <si>
    <t>Icici Bank</t>
  </si>
  <si>
    <t>Inditex</t>
  </si>
  <si>
    <t>Jefferson-Pilot</t>
  </si>
  <si>
    <t>IAC/InterActiveCorp</t>
  </si>
  <si>
    <t>Simon Property Group</t>
  </si>
  <si>
    <t>Campbell Soup</t>
  </si>
  <si>
    <t>Assurant</t>
  </si>
  <si>
    <t>McGraw-Hill Cos</t>
  </si>
  <si>
    <t>Pearson</t>
  </si>
  <si>
    <t>Atlas Copco</t>
  </si>
  <si>
    <t>Marshall &amp; Ilsley</t>
  </si>
  <si>
    <t>Kao</t>
  </si>
  <si>
    <t>IFIL</t>
  </si>
  <si>
    <t>Acom</t>
  </si>
  <si>
    <t>Femsa</t>
  </si>
  <si>
    <t>Coles Myer</t>
  </si>
  <si>
    <t>BOC Group</t>
  </si>
  <si>
    <t>Belgacom</t>
  </si>
  <si>
    <t>Scottish Power</t>
  </si>
  <si>
    <t>Baoshan Iron &amp; Steel</t>
  </si>
  <si>
    <t>Novo Nordisk</t>
  </si>
  <si>
    <t>Daiwa House Industry</t>
  </si>
  <si>
    <t>Banca Antonveneta</t>
  </si>
  <si>
    <t>Seagate Technology</t>
  </si>
  <si>
    <t>H&amp;M Hennes &amp; Mauritz</t>
  </si>
  <si>
    <t>Toyota Tsusho</t>
  </si>
  <si>
    <t>Qantas Airways</t>
  </si>
  <si>
    <t>Tokyu</t>
  </si>
  <si>
    <t>Yum Brands</t>
  </si>
  <si>
    <t>Oji Paper</t>
  </si>
  <si>
    <t>Mediobanca</t>
  </si>
  <si>
    <t>Murphy Oil</t>
  </si>
  <si>
    <t>CLP Holdings</t>
  </si>
  <si>
    <t>Starwood Hotels</t>
  </si>
  <si>
    <t>Anglo Irish Bank</t>
  </si>
  <si>
    <t>Industrial Bank of Korea</t>
  </si>
  <si>
    <t>Pepsi Bottling Group</t>
  </si>
  <si>
    <t>Safeco</t>
  </si>
  <si>
    <t>United Microelectronics</t>
  </si>
  <si>
    <t>Tribune</t>
  </si>
  <si>
    <t>Hanson</t>
  </si>
  <si>
    <t>Japan Airlines</t>
  </si>
  <si>
    <t>Scania</t>
  </si>
  <si>
    <t>Harrah's Entertain</t>
  </si>
  <si>
    <t>Osaka Gas</t>
  </si>
  <si>
    <t>Talisman Energy</t>
  </si>
  <si>
    <t>Schering Group</t>
  </si>
  <si>
    <t>XTO Energy</t>
  </si>
  <si>
    <t>Inco</t>
  </si>
  <si>
    <t>OTP Bank</t>
  </si>
  <si>
    <t>Cinergy</t>
  </si>
  <si>
    <t>Delhaize Group</t>
  </si>
  <si>
    <t>Parker-Hannifin</t>
  </si>
  <si>
    <t>FCC Group</t>
  </si>
  <si>
    <t>STMicroelectronics</t>
  </si>
  <si>
    <t>Electronic Data Sys</t>
  </si>
  <si>
    <t>Thales</t>
  </si>
  <si>
    <t>Skanska</t>
  </si>
  <si>
    <t>Imperial Chemical Inds</t>
  </si>
  <si>
    <t>Mega Financial Holding</t>
  </si>
  <si>
    <t>Newmont Mining</t>
  </si>
  <si>
    <t>PKN Orlen</t>
  </si>
  <si>
    <t>Teva Pharmaceutical Inds</t>
  </si>
  <si>
    <t>DSM</t>
  </si>
  <si>
    <t>EOG Resources</t>
  </si>
  <si>
    <t>Bank Hapoalim</t>
  </si>
  <si>
    <t>Alpha Bank</t>
  </si>
  <si>
    <t>Banco de Sabadell</t>
  </si>
  <si>
    <t>Inpex</t>
  </si>
  <si>
    <t>Becton, Dickinson</t>
  </si>
  <si>
    <t>J Sainsbury</t>
  </si>
  <si>
    <t>Express Scripts</t>
  </si>
  <si>
    <t>Textron</t>
  </si>
  <si>
    <t>XL Capital</t>
  </si>
  <si>
    <t>Seiko Epson</t>
  </si>
  <si>
    <t>Bank of Yokohama</t>
  </si>
  <si>
    <t>Alstom</t>
  </si>
  <si>
    <t>AutoNation</t>
  </si>
  <si>
    <t>ASF Group</t>
  </si>
  <si>
    <t>Severstal</t>
  </si>
  <si>
    <t>S-Oil</t>
  </si>
  <si>
    <t>Sacyr Vallehermoso</t>
  </si>
  <si>
    <t>Avon Products</t>
  </si>
  <si>
    <t>Limited Brands</t>
  </si>
  <si>
    <t>Royal Caribbean</t>
  </si>
  <si>
    <t>Daiichi Sankyo</t>
  </si>
  <si>
    <t>Yamaha Motor</t>
  </si>
  <si>
    <t>American Standard</t>
  </si>
  <si>
    <t>Pernod Ricard</t>
  </si>
  <si>
    <t>AU Optronics</t>
  </si>
  <si>
    <t>Harley-Davidson</t>
  </si>
  <si>
    <t>KeySpan</t>
  </si>
  <si>
    <t>Synovus Finl</t>
  </si>
  <si>
    <t>Riyad Bank</t>
  </si>
  <si>
    <t>Stora Enso</t>
  </si>
  <si>
    <t>Shinsei Bank</t>
  </si>
  <si>
    <t>Teck Cominco</t>
  </si>
  <si>
    <t>Tyson Foods</t>
  </si>
  <si>
    <t>Ashland</t>
  </si>
  <si>
    <t>Pitney Bowes</t>
  </si>
  <si>
    <t>KB Home</t>
  </si>
  <si>
    <t>Qwest Communications</t>
  </si>
  <si>
    <t>Transocean</t>
  </si>
  <si>
    <t>Sekisui House</t>
  </si>
  <si>
    <t>Steel Authority of India</t>
  </si>
  <si>
    <t>Takefuji</t>
  </si>
  <si>
    <t>Nippon Express</t>
  </si>
  <si>
    <t>WR Berkley</t>
  </si>
  <si>
    <t>Showa Shell Sekiyu</t>
  </si>
  <si>
    <t>Royal &amp; Sun Alliance</t>
  </si>
  <si>
    <t>Novolipetsk Steel</t>
  </si>
  <si>
    <t>Fubon Financial</t>
  </si>
  <si>
    <t>Tenaga Nasional</t>
  </si>
  <si>
    <t>Corporation Mapfre</t>
  </si>
  <si>
    <t>Tenaris</t>
  </si>
  <si>
    <t>Whirlpool</t>
  </si>
  <si>
    <t>Softbank</t>
  </si>
  <si>
    <t>Grupo Carso</t>
  </si>
  <si>
    <t>Promise</t>
  </si>
  <si>
    <t>Tatneft</t>
  </si>
  <si>
    <t>Cincinnati Financial</t>
  </si>
  <si>
    <t>Mitsubishi Motors</t>
  </si>
  <si>
    <t>Secom</t>
  </si>
  <si>
    <t>Popular</t>
  </si>
  <si>
    <t>Edison</t>
  </si>
  <si>
    <t>All Nippon Airways</t>
  </si>
  <si>
    <t>British Sky Broadcasting</t>
  </si>
  <si>
    <t>Raiffeisen Intl Bank</t>
  </si>
  <si>
    <t>Banca Naz del Lavoro</t>
  </si>
  <si>
    <t>Isuzu Motors</t>
  </si>
  <si>
    <t>Formosa Chems &amp; Fibre</t>
  </si>
  <si>
    <t>Ajinomoto</t>
  </si>
  <si>
    <t>Bank Leumi Group</t>
  </si>
  <si>
    <t>China Merchants Bank</t>
  </si>
  <si>
    <t>NiSource</t>
  </si>
  <si>
    <t>Obayashi</t>
  </si>
  <si>
    <t>Electrolux Group</t>
  </si>
  <si>
    <t>Neste Oil</t>
  </si>
  <si>
    <t>PKO Bank Polski</t>
  </si>
  <si>
    <t>Swire Pacific</t>
  </si>
  <si>
    <t>Weatherford Intl</t>
  </si>
  <si>
    <t>Onex</t>
  </si>
  <si>
    <t>Hellenic Telecom</t>
  </si>
  <si>
    <t>E-Trade Financial</t>
  </si>
  <si>
    <t>Grupo Mexico</t>
  </si>
  <si>
    <t>Scottish &amp; Newcastle</t>
  </si>
  <si>
    <t>Sun Microsystems</t>
  </si>
  <si>
    <t>Tokyo Electron</t>
  </si>
  <si>
    <t>Starbucks</t>
  </si>
  <si>
    <t>Stryker</t>
  </si>
  <si>
    <t>Boots Group</t>
  </si>
  <si>
    <t>Humana</t>
  </si>
  <si>
    <t>DSG International Plc</t>
  </si>
  <si>
    <t>Formosa Plastics</t>
  </si>
  <si>
    <t>MTN Group</t>
  </si>
  <si>
    <t>MBIA</t>
  </si>
  <si>
    <t>Sistema JSFC</t>
  </si>
  <si>
    <t>Equity Residential</t>
  </si>
  <si>
    <t>Gallaher Group</t>
  </si>
  <si>
    <t>Bankgesellschaft Berlin</t>
  </si>
  <si>
    <t>Kintetsu</t>
  </si>
  <si>
    <t>Office Depot</t>
  </si>
  <si>
    <t>Henderson Land</t>
  </si>
  <si>
    <t>Bradford &amp; Bingley</t>
  </si>
  <si>
    <t>Fanuc</t>
  </si>
  <si>
    <t>Dover</t>
  </si>
  <si>
    <t>Brambles Group</t>
  </si>
  <si>
    <t>Legg Mason</t>
  </si>
  <si>
    <t>Pirelli &amp; C</t>
  </si>
  <si>
    <t>Compass Group</t>
  </si>
  <si>
    <t>SCA-Svenska Cellulosa</t>
  </si>
  <si>
    <t>Siam Cement</t>
  </si>
  <si>
    <t>Acciona</t>
  </si>
  <si>
    <t>ITT Industries</t>
  </si>
  <si>
    <t>Astellas Pharma</t>
  </si>
  <si>
    <t>Abertis</t>
  </si>
  <si>
    <t>Asahi Breweries</t>
  </si>
  <si>
    <t>Zions Bancorp</t>
  </si>
  <si>
    <t>Fresenius</t>
  </si>
  <si>
    <t>Nordstrom</t>
  </si>
  <si>
    <t>Usiminas</t>
  </si>
  <si>
    <t>Telekom Austria</t>
  </si>
  <si>
    <t>Eisai</t>
  </si>
  <si>
    <t>Electric Power Devel</t>
  </si>
  <si>
    <t>Adidas-Salomon</t>
  </si>
  <si>
    <t>Telekom Malaysia</t>
  </si>
  <si>
    <t>Cathay Pacific Airways</t>
  </si>
  <si>
    <t>Nortel Networks</t>
  </si>
  <si>
    <t>Shimizu</t>
  </si>
  <si>
    <t>Public Power</t>
  </si>
  <si>
    <t>Hanwha</t>
  </si>
  <si>
    <t>Hongkong Land Holdings</t>
  </si>
  <si>
    <t>CSN-Cia Siderurgica</t>
  </si>
  <si>
    <t>Taisei</t>
  </si>
  <si>
    <t>Alliance UniChem</t>
  </si>
  <si>
    <t>Murata Manufacturing</t>
  </si>
  <si>
    <t>Arab Bank</t>
  </si>
  <si>
    <t>GKN</t>
  </si>
  <si>
    <t>Ambac Financial Group</t>
  </si>
  <si>
    <t>Cummins</t>
  </si>
  <si>
    <t>HeidelbergCement</t>
  </si>
  <si>
    <t>Huaneng Power Intl</t>
  </si>
  <si>
    <t>Kinder Morgan</t>
  </si>
  <si>
    <t>Vornado Realty</t>
  </si>
  <si>
    <t>Fisher Scientific</t>
  </si>
  <si>
    <t>Samsung Fire &amp; Marine</t>
  </si>
  <si>
    <t>Yamato Transport</t>
  </si>
  <si>
    <t>Grupo Financiero Banorte</t>
  </si>
  <si>
    <t>Peabody Energy</t>
  </si>
  <si>
    <t>Zimmer Holdings</t>
  </si>
  <si>
    <t>Telekom Indonesia</t>
  </si>
  <si>
    <t>Aluminum Corp of China</t>
  </si>
  <si>
    <t>Tele Norte Leste</t>
  </si>
  <si>
    <t>Hyundai Mobis</t>
  </si>
  <si>
    <t>Eastman Kodak</t>
  </si>
  <si>
    <t>Freeport Copper</t>
  </si>
  <si>
    <t>Nippon Paper Group</t>
  </si>
  <si>
    <t>Toll Brothers</t>
  </si>
  <si>
    <t>Hilton Hotels</t>
  </si>
  <si>
    <t>First Horizon National</t>
  </si>
  <si>
    <t>Quest Diagnostics</t>
  </si>
  <si>
    <t>Wesfarmers</t>
  </si>
  <si>
    <t>Sanyo Electric</t>
  </si>
  <si>
    <t>Pepco Holdings</t>
  </si>
  <si>
    <t>Verbund</t>
  </si>
  <si>
    <t>MTR</t>
  </si>
  <si>
    <t>Nabors Industries</t>
  </si>
  <si>
    <t>Guidant</t>
  </si>
  <si>
    <t>Grupo Modelo</t>
  </si>
  <si>
    <t>Ternium</t>
  </si>
  <si>
    <t>Antarchile</t>
  </si>
  <si>
    <t>Publicis Groupe</t>
  </si>
  <si>
    <t>Kajima</t>
  </si>
  <si>
    <t>InterContinental Hotels</t>
  </si>
  <si>
    <t>Sodexho Alliance</t>
  </si>
  <si>
    <t>Chiba Bank</t>
  </si>
  <si>
    <t>JS Group</t>
  </si>
  <si>
    <t>AMR</t>
  </si>
  <si>
    <t>Coventry Health Care</t>
  </si>
  <si>
    <t>H&amp;R Block</t>
  </si>
  <si>
    <t>TDK</t>
  </si>
  <si>
    <t>Amazon.com</t>
  </si>
  <si>
    <t>Samsung SDI</t>
  </si>
  <si>
    <t>Genuine Parts</t>
  </si>
  <si>
    <t>Sumitomo Realty &amp; Dev</t>
  </si>
  <si>
    <t>Credit Saison</t>
  </si>
  <si>
    <t>Asustek Computer</t>
  </si>
  <si>
    <t>Oneok</t>
  </si>
  <si>
    <t>Dassault Aviation</t>
  </si>
  <si>
    <t>Black &amp; Decker</t>
  </si>
  <si>
    <t>Chinatrust Financial</t>
  </si>
  <si>
    <t>White Mountains Ins</t>
  </si>
  <si>
    <t>Flextronics Intl</t>
  </si>
  <si>
    <t>Rockwell Automation</t>
  </si>
  <si>
    <t>Dean Foods</t>
  </si>
  <si>
    <t>Cable &amp; Wireless</t>
  </si>
  <si>
    <t>Shizuoka Bank</t>
  </si>
  <si>
    <t>Daiei</t>
  </si>
  <si>
    <t>Unibail</t>
  </si>
  <si>
    <t>Man Group</t>
  </si>
  <si>
    <t>MISC</t>
  </si>
  <si>
    <t>Daikin Industries</t>
  </si>
  <si>
    <t>Südzucker</t>
  </si>
  <si>
    <t>Banca Popolare Italiana</t>
  </si>
  <si>
    <t>Mohawk Industries</t>
  </si>
  <si>
    <t>Foster's Group</t>
  </si>
  <si>
    <t>Freescale Semiconductor</t>
  </si>
  <si>
    <t>Luxottica Group</t>
  </si>
  <si>
    <t>Canadian Pacific Railway</t>
  </si>
  <si>
    <t>CenterPoint Energy</t>
  </si>
  <si>
    <t>Cosmo Oil</t>
  </si>
  <si>
    <t>Tesoro</t>
  </si>
  <si>
    <t>Bâloise Group</t>
  </si>
  <si>
    <t>NCR</t>
  </si>
  <si>
    <t>Grupo Televisa</t>
  </si>
  <si>
    <t>Rohm</t>
  </si>
  <si>
    <t>TD Ameritrade Holding</t>
  </si>
  <si>
    <t>Bombardier</t>
  </si>
  <si>
    <t>Securitas</t>
  </si>
  <si>
    <t>Hokkaido Electric Power</t>
  </si>
  <si>
    <t>Smiths Group</t>
  </si>
  <si>
    <t>Bangkok Bank</t>
  </si>
  <si>
    <t>Conseco</t>
  </si>
  <si>
    <t>Supervalu</t>
  </si>
  <si>
    <t>Symantec</t>
  </si>
  <si>
    <t>Bed Bath &amp; Beyond</t>
  </si>
  <si>
    <t>Goodyear</t>
  </si>
  <si>
    <t>Torchmark</t>
  </si>
  <si>
    <t>Türkiye Garanti Bankasi</t>
  </si>
  <si>
    <t>Archstone-Smith</t>
  </si>
  <si>
    <t>Eiffage</t>
  </si>
  <si>
    <t>ProLogis</t>
  </si>
  <si>
    <t>UAL</t>
  </si>
  <si>
    <t>Rogers Communications</t>
  </si>
  <si>
    <t>CA</t>
  </si>
  <si>
    <t>First American</t>
  </si>
  <si>
    <t>OPAP</t>
  </si>
  <si>
    <t>Wm Wrigley Jr</t>
  </si>
  <si>
    <t>Hershey</t>
  </si>
  <si>
    <t>VF</t>
  </si>
  <si>
    <t>Compass Bancshares</t>
  </si>
  <si>
    <t>Hyundai Heavy Industries</t>
  </si>
  <si>
    <t>El Paso</t>
  </si>
  <si>
    <t>VNU</t>
  </si>
  <si>
    <t>Genzyme</t>
  </si>
  <si>
    <t>Shinsegae</t>
  </si>
  <si>
    <t>Korean Air</t>
  </si>
  <si>
    <t>Old Republic Intl</t>
  </si>
  <si>
    <t>Avaya</t>
  </si>
  <si>
    <t>Voestalpine</t>
  </si>
  <si>
    <t>Quanta Computer</t>
  </si>
  <si>
    <t>Remgro</t>
  </si>
  <si>
    <t>UCB</t>
  </si>
  <si>
    <t>Turkcell</t>
  </si>
  <si>
    <t>Advanced Micro</t>
  </si>
  <si>
    <t>Shikoku Electric Power</t>
  </si>
  <si>
    <t>AutoZone</t>
  </si>
  <si>
    <t>National Oilwell Varco</t>
  </si>
  <si>
    <t>Public Bank</t>
  </si>
  <si>
    <t>Chi Mei Optoelectronics</t>
  </si>
  <si>
    <t>Huntington Bancshs</t>
  </si>
  <si>
    <t>Potash of Saskatchewan</t>
  </si>
  <si>
    <t>Woodside Petroleum</t>
  </si>
  <si>
    <t>Deutsche Boerse</t>
  </si>
  <si>
    <t>Liberty Global</t>
  </si>
  <si>
    <t>KarstadtQuelle Group</t>
  </si>
  <si>
    <t>SKF Group</t>
  </si>
  <si>
    <t>Hongkong Electric</t>
  </si>
  <si>
    <t>Fiserv</t>
  </si>
  <si>
    <t>Rinker Group</t>
  </si>
  <si>
    <t>Yamada Denki</t>
  </si>
  <si>
    <t>Severn Trent</t>
  </si>
  <si>
    <t>Temple-Inland</t>
  </si>
  <si>
    <t>Nitto Denko</t>
  </si>
  <si>
    <t>Taylor Woodrow</t>
  </si>
  <si>
    <t>Sherwin-Williams</t>
  </si>
  <si>
    <t>Wharf (Holdings)</t>
  </si>
  <si>
    <t>Liberty International</t>
  </si>
  <si>
    <t>Barrick Gold</t>
  </si>
  <si>
    <t>Hankyu Holdings</t>
  </si>
  <si>
    <t>Kaupthing Bank</t>
  </si>
  <si>
    <t>Finatis</t>
  </si>
  <si>
    <t>Reuters Group</t>
  </si>
  <si>
    <t>Storebrand</t>
  </si>
  <si>
    <t>Affiliated Computer</t>
  </si>
  <si>
    <t>ITV</t>
  </si>
  <si>
    <t>Sojitz</t>
  </si>
  <si>
    <t>Mosaic</t>
  </si>
  <si>
    <t>Manpower</t>
  </si>
  <si>
    <t>Hudson City Bancorp</t>
  </si>
  <si>
    <t>Aramark</t>
  </si>
  <si>
    <t>Hammerson</t>
  </si>
  <si>
    <t>LG Chem</t>
  </si>
  <si>
    <t>Tele2</t>
  </si>
  <si>
    <t>Beiersdorf</t>
  </si>
  <si>
    <t>Metalurgica Gerdau</t>
  </si>
  <si>
    <t>Eastman Chemical</t>
  </si>
  <si>
    <t>Gilead Sciences</t>
  </si>
  <si>
    <t>Sega Sammy Holdings</t>
  </si>
  <si>
    <t>New World Development</t>
  </si>
  <si>
    <t>Bank of East Asia</t>
  </si>
  <si>
    <t>Next</t>
  </si>
  <si>
    <t>Bank of Fukuoka</t>
  </si>
  <si>
    <t>Land Securities Group</t>
  </si>
  <si>
    <t>Fuji Heavy Inds</t>
  </si>
  <si>
    <t>Infineon Technologies</t>
  </si>
  <si>
    <t>Commerce Bancorp</t>
  </si>
  <si>
    <t>Kawasaki Kisen Kaisha</t>
  </si>
  <si>
    <t>Yara International</t>
  </si>
  <si>
    <t>Rexam</t>
  </si>
  <si>
    <t>General Growth Prop</t>
  </si>
  <si>
    <t>Hoya</t>
  </si>
  <si>
    <t>Noble Energy</t>
  </si>
  <si>
    <t>Hokuriku Electric Power</t>
  </si>
  <si>
    <t>Scana</t>
  </si>
  <si>
    <t>First Financial Holding</t>
  </si>
  <si>
    <t>Cooper Industries</t>
  </si>
  <si>
    <t>Joyo Bank</t>
  </si>
  <si>
    <t>Constellation Brands</t>
  </si>
  <si>
    <t>Hua Nan Financial</t>
  </si>
  <si>
    <t>IKB</t>
  </si>
  <si>
    <t>Kawasaki Heavy Inds</t>
  </si>
  <si>
    <t>Forest Labs</t>
  </si>
  <si>
    <t>Konica Minolta</t>
  </si>
  <si>
    <t>Tüpras-Türkiye Petrol</t>
  </si>
  <si>
    <t>Persimmon</t>
  </si>
  <si>
    <t>RR Donnelley &amp; Sons</t>
  </si>
  <si>
    <t>Wiener Stadtische</t>
  </si>
  <si>
    <t>Banca Popolare di Milano</t>
  </si>
  <si>
    <t>Boston Properties</t>
  </si>
  <si>
    <t>Swatch Group</t>
  </si>
  <si>
    <t>Equity Office Prop</t>
  </si>
  <si>
    <t>Coca-Cola Femsa</t>
  </si>
  <si>
    <t>Dentsu</t>
  </si>
  <si>
    <t>W&amp;W-Wüstenrot</t>
  </si>
  <si>
    <t>Delphi</t>
  </si>
  <si>
    <t>Nidec</t>
  </si>
  <si>
    <t>Bank Mandiri</t>
  </si>
  <si>
    <t>Navistar Intl</t>
  </si>
  <si>
    <t>Sumitomo Metal Mining</t>
  </si>
  <si>
    <t>St Jude Medical</t>
  </si>
  <si>
    <t>Embraer</t>
  </si>
  <si>
    <t>Clorox</t>
  </si>
  <si>
    <t>Jabil Circuit</t>
  </si>
  <si>
    <t>Telecom of New Zealand</t>
  </si>
  <si>
    <t>Korea Gas</t>
  </si>
  <si>
    <t>ALFA</t>
  </si>
  <si>
    <t>Banca Lombarda Group</t>
  </si>
  <si>
    <t>SES Global</t>
  </si>
  <si>
    <t>Thomson</t>
  </si>
  <si>
    <t>Fluor</t>
  </si>
  <si>
    <t>Adobe Systems</t>
  </si>
  <si>
    <t>Arrow Electronics</t>
  </si>
  <si>
    <t>CapitaLand</t>
  </si>
  <si>
    <t>Consol Energy</t>
  </si>
  <si>
    <t>Samsung</t>
  </si>
  <si>
    <t>Ingram Micro</t>
  </si>
  <si>
    <t>Shoppers Drug Mart</t>
  </si>
  <si>
    <t>Estee Lauder Cos</t>
  </si>
  <si>
    <t>Keppel</t>
  </si>
  <si>
    <t>Capgemini Group</t>
  </si>
  <si>
    <t>Bharat Petroleum</t>
  </si>
  <si>
    <t>Citic Pacific</t>
  </si>
  <si>
    <t>Wisconsin Energy</t>
  </si>
  <si>
    <t>Omnicare</t>
  </si>
  <si>
    <t>Delta Air Lines</t>
  </si>
  <si>
    <t>Salzgitter</t>
  </si>
  <si>
    <t>Dollar General</t>
  </si>
  <si>
    <t>Olympus</t>
  </si>
  <si>
    <t>GlobalSantaFe</t>
  </si>
  <si>
    <t>Bluescope Steel</t>
  </si>
  <si>
    <t>Mattel</t>
  </si>
  <si>
    <t>Bankinter</t>
  </si>
  <si>
    <t>NVR</t>
  </si>
  <si>
    <t>Sonae SGPS</t>
  </si>
  <si>
    <t>BJ Services</t>
  </si>
  <si>
    <t>Randstad Holding</t>
  </si>
  <si>
    <t>Omron</t>
  </si>
  <si>
    <t>Juniper Networks</t>
  </si>
  <si>
    <t>Moody's</t>
  </si>
  <si>
    <t>BPER-Emilia Romagna</t>
  </si>
  <si>
    <t>Broadcom</t>
  </si>
  <si>
    <t>Leucadia National</t>
  </si>
  <si>
    <t>Mediolanum</t>
  </si>
  <si>
    <t>Nikon</t>
  </si>
  <si>
    <t>SPX</t>
  </si>
  <si>
    <t>Huntsman</t>
  </si>
  <si>
    <t>Banco BPI</t>
  </si>
  <si>
    <t>Bidvest Group</t>
  </si>
  <si>
    <t>Ishikawajima-Harima</t>
  </si>
  <si>
    <t>Energy East</t>
  </si>
  <si>
    <t>Teijin</t>
  </si>
  <si>
    <t>Smith International</t>
  </si>
  <si>
    <t>Altana</t>
  </si>
  <si>
    <t>GS Holdings</t>
  </si>
  <si>
    <t>Cattolica Assicurazioni</t>
  </si>
  <si>
    <t>Investec</t>
  </si>
  <si>
    <t>Cemig</t>
  </si>
  <si>
    <t>Uniqa</t>
  </si>
  <si>
    <t>Calpine</t>
  </si>
  <si>
    <t>Whitbread</t>
  </si>
  <si>
    <t>New York Community</t>
  </si>
  <si>
    <t>Goodrich</t>
  </si>
  <si>
    <t>Health Net</t>
  </si>
  <si>
    <t>TRW Automotive Hldgs</t>
  </si>
  <si>
    <t>WW Grainger</t>
  </si>
  <si>
    <t>Associated Banc-Corp</t>
  </si>
  <si>
    <t>Schindler Holding</t>
  </si>
  <si>
    <t>Furukawa Electric</t>
  </si>
  <si>
    <t>Bank Central Asia</t>
  </si>
  <si>
    <t>Everest Re Group</t>
  </si>
  <si>
    <t>Allied Waste Inds</t>
  </si>
  <si>
    <t>Cablevision NY Group</t>
  </si>
  <si>
    <t>Ecolab</t>
  </si>
  <si>
    <t>Hanjin Shipping</t>
  </si>
  <si>
    <t>Tata Steel</t>
  </si>
  <si>
    <t>Sekisui Chemical</t>
  </si>
  <si>
    <t>Canadian Tire</t>
  </si>
  <si>
    <t>Impala Platinum Holdings</t>
  </si>
  <si>
    <t>Hachijuni Bank</t>
  </si>
  <si>
    <t>Neptune Orient Lines</t>
  </si>
  <si>
    <t>Micron Technology</t>
  </si>
  <si>
    <t>Technip</t>
  </si>
  <si>
    <t>William Hill</t>
  </si>
  <si>
    <t>Barratt Developments</t>
  </si>
  <si>
    <t>Molson Coors Brewing</t>
  </si>
  <si>
    <t>Kasikornbank</t>
  </si>
  <si>
    <t>Australian Gas Light</t>
  </si>
  <si>
    <t>Imperial Holdings</t>
  </si>
  <si>
    <t>SMC</t>
  </si>
  <si>
    <t>Rockwell Collins</t>
  </si>
  <si>
    <t>British Land</t>
  </si>
  <si>
    <t>Rite Aid</t>
  </si>
  <si>
    <t>Darden Restaurants</t>
  </si>
  <si>
    <t>Tobu Railway</t>
  </si>
  <si>
    <t>Astra International</t>
  </si>
  <si>
    <t>Tata Consultancy Svcs</t>
  </si>
  <si>
    <t>Public Storage</t>
  </si>
  <si>
    <t>Taiheiyo Cement</t>
  </si>
  <si>
    <t>Hochtief</t>
  </si>
  <si>
    <t>George Wimpey</t>
  </si>
  <si>
    <t>Autoliv</t>
  </si>
  <si>
    <t>ACE Aviation Holdings</t>
  </si>
  <si>
    <t>Publishing &amp; Broadcasting</t>
  </si>
  <si>
    <t>ITC</t>
  </si>
  <si>
    <t>Smithfield Foods</t>
  </si>
  <si>
    <t>MGIC Investment</t>
  </si>
  <si>
    <t>Mechel</t>
  </si>
  <si>
    <t>Mediceo Paltac Hldgs</t>
  </si>
  <si>
    <t>American Finl Group</t>
  </si>
  <si>
    <t>Infosys Technologies</t>
  </si>
  <si>
    <t>Mirant</t>
  </si>
  <si>
    <t>Marui</t>
  </si>
  <si>
    <t>Carlsberg</t>
  </si>
  <si>
    <t>Lexmark International</t>
  </si>
  <si>
    <t>Northwest Airlines</t>
  </si>
  <si>
    <t>Piraeus Bank</t>
  </si>
  <si>
    <t>Kühne &amp; Nagel Intl</t>
  </si>
  <si>
    <t>Analog Devices</t>
  </si>
  <si>
    <t>Celanese Corp</t>
  </si>
  <si>
    <t>Coca-Cola HBC</t>
  </si>
  <si>
    <t>Interpublic Group</t>
  </si>
  <si>
    <t>Hindustan Petroleum</t>
  </si>
  <si>
    <t>Pioneer Natural Res</t>
  </si>
  <si>
    <t>Bank of Kyoto</t>
  </si>
  <si>
    <t>Hokuhoku Finl Group</t>
  </si>
  <si>
    <t>Newell Rubbermaid</t>
  </si>
  <si>
    <t>KT&amp;G</t>
  </si>
  <si>
    <t>Tate &amp; Lyle Group</t>
  </si>
  <si>
    <t>Willis Group Holdings</t>
  </si>
  <si>
    <t>Takashimaya</t>
  </si>
  <si>
    <t>Italmobiliare</t>
  </si>
  <si>
    <t>Mercantile Bkshs</t>
  </si>
  <si>
    <t>Rentokil Initial</t>
  </si>
  <si>
    <t>Henderson Group</t>
  </si>
  <si>
    <t>Amcor</t>
  </si>
  <si>
    <t>Paychex</t>
  </si>
  <si>
    <t>Julius Baer Holding</t>
  </si>
  <si>
    <t>New Century Financial</t>
  </si>
  <si>
    <t>HDFC-Housing Devel</t>
  </si>
  <si>
    <t>Showa Denko</t>
  </si>
  <si>
    <t>Fairfax Financial</t>
  </si>
  <si>
    <t>Rakuten</t>
  </si>
  <si>
    <t>Valeo</t>
  </si>
  <si>
    <t>Siam Commercial Bank</t>
  </si>
  <si>
    <t>MeadWestvaco</t>
  </si>
  <si>
    <t>Odakyu Electric Railway</t>
  </si>
  <si>
    <t>Tenet Healthcare</t>
  </si>
  <si>
    <t>ASML Holding</t>
  </si>
  <si>
    <t>Brunswick</t>
  </si>
  <si>
    <t>Krung-Thai Bank</t>
  </si>
  <si>
    <t>Sapporo Hokuyo</t>
  </si>
  <si>
    <t>Tata Motors</t>
  </si>
  <si>
    <t>OKO Bank</t>
  </si>
  <si>
    <t>Rautaruukki</t>
  </si>
  <si>
    <t>Coach</t>
  </si>
  <si>
    <t>Buzzi Unicem</t>
  </si>
  <si>
    <t>Enterprise Inns</t>
  </si>
  <si>
    <t>Wipro</t>
  </si>
  <si>
    <t>Wendel Investissement</t>
  </si>
  <si>
    <t>Promina Group</t>
  </si>
  <si>
    <t>Univision Commun</t>
  </si>
  <si>
    <t>Colruyt</t>
  </si>
  <si>
    <t>Hyundai Steel</t>
  </si>
  <si>
    <t>Oil &amp; Gas Development</t>
  </si>
  <si>
    <t>Gecina</t>
  </si>
  <si>
    <t>Reliant Energy</t>
  </si>
  <si>
    <t>Shiseido</t>
  </si>
  <si>
    <t>Host Marriott</t>
  </si>
  <si>
    <t>Maxim Integrated Prods</t>
  </si>
  <si>
    <t>Electronic Arts</t>
  </si>
  <si>
    <t>YRC Worldwide</t>
  </si>
  <si>
    <t>Arch Capital Group</t>
  </si>
  <si>
    <t>Bank Rakyat Indonesia</t>
  </si>
  <si>
    <t>Washington Post</t>
  </si>
  <si>
    <t>Laboratory Corp Amer</t>
  </si>
  <si>
    <t>Fuji Television Network</t>
  </si>
  <si>
    <t>Punjab National Bank</t>
  </si>
  <si>
    <t>Marvell Technology Group</t>
  </si>
  <si>
    <t>Tomkins</t>
  </si>
  <si>
    <t>Taishin Financial Holding</t>
  </si>
  <si>
    <t>Keyence</t>
  </si>
  <si>
    <t>Bumiputra-Commerce Hldgs</t>
  </si>
  <si>
    <t>Avnet</t>
  </si>
  <si>
    <t>Allergan</t>
  </si>
  <si>
    <t>Radian Group</t>
  </si>
  <si>
    <t>Wolters Kluwer</t>
  </si>
  <si>
    <t>CH Robinson Worldwide</t>
  </si>
  <si>
    <t>Terex</t>
  </si>
  <si>
    <t>Daewoo Ship &amp; Marine</t>
  </si>
  <si>
    <t>Dogan Holding</t>
  </si>
  <si>
    <t>Biogen Idec</t>
  </si>
  <si>
    <t>Great A&amp;P Tea</t>
  </si>
  <si>
    <t>Metso</t>
  </si>
  <si>
    <t>Hong Kong &amp; China Gas</t>
  </si>
  <si>
    <t>Intl Game Technology</t>
  </si>
  <si>
    <t>Safran</t>
  </si>
  <si>
    <t>Thornburg Mortgage</t>
  </si>
  <si>
    <t>China Resources Ent</t>
  </si>
  <si>
    <t>Iberia</t>
  </si>
  <si>
    <t>Lear</t>
  </si>
  <si>
    <t>Leopalace21</t>
  </si>
  <si>
    <t>GAIL (India)</t>
  </si>
  <si>
    <t>Kimco Realty</t>
  </si>
  <si>
    <t>Avery Dennison</t>
  </si>
  <si>
    <t>Kelda Group</t>
  </si>
  <si>
    <t>Esprit Holdings</t>
  </si>
  <si>
    <t>Sumitomo Heavy Inds</t>
  </si>
  <si>
    <t>CDW</t>
  </si>
  <si>
    <t>CMS Energy</t>
  </si>
  <si>
    <t>Diamond Lease</t>
  </si>
  <si>
    <t>GPT Group</t>
  </si>
  <si>
    <t>Barloworld</t>
  </si>
  <si>
    <t>Linear Technology</t>
  </si>
  <si>
    <t>Continental Airlines</t>
  </si>
  <si>
    <t>Agricultural Bank Greece</t>
  </si>
  <si>
    <t>Helvetia Patria</t>
  </si>
  <si>
    <t>Las Vegas Sands</t>
  </si>
  <si>
    <t>Banque Nat de Belgique</t>
  </si>
  <si>
    <t>Acer</t>
  </si>
  <si>
    <t>Atos Origin</t>
  </si>
  <si>
    <t>British Energy</t>
  </si>
  <si>
    <t>Nextel Partners</t>
  </si>
  <si>
    <t>PICC Property &amp; Casualty</t>
  </si>
  <si>
    <t>Assa Abloy</t>
  </si>
  <si>
    <t>Vulcan Materials</t>
  </si>
  <si>
    <t>Ball</t>
  </si>
  <si>
    <t>International Power</t>
  </si>
  <si>
    <t>Protective Life</t>
  </si>
  <si>
    <t>Colonial BancGroup</t>
  </si>
  <si>
    <t>Canara Bank</t>
  </si>
  <si>
    <t>Synthes</t>
  </si>
  <si>
    <t>Orascom Telecom</t>
  </si>
  <si>
    <t>Taisho Pharmaceutical</t>
  </si>
  <si>
    <t>Ipsco</t>
  </si>
  <si>
    <t>Yapi ve Kredi</t>
  </si>
  <si>
    <t>BCV Group</t>
  </si>
  <si>
    <t>Quebecor</t>
  </si>
  <si>
    <t>Precision Castparts</t>
  </si>
  <si>
    <t>T Rowe Price</t>
  </si>
  <si>
    <t>Imerys</t>
  </si>
  <si>
    <t>Sinopec-Yangzi Petrochemical</t>
  </si>
  <si>
    <t>NSK</t>
  </si>
  <si>
    <t>VimpelCom</t>
  </si>
  <si>
    <t>Chicago Mercantile Exchange</t>
  </si>
  <si>
    <t>Li &amp; Fung</t>
  </si>
  <si>
    <t>Johnson Matthey</t>
  </si>
  <si>
    <t>Essilor International</t>
  </si>
  <si>
    <t>SanDisk</t>
  </si>
  <si>
    <t>Dainippon Ink &amp; Chems</t>
  </si>
  <si>
    <t>Jyske Bank</t>
  </si>
  <si>
    <t>UNY</t>
  </si>
  <si>
    <t>Antofagasta</t>
  </si>
  <si>
    <t>KLA-Tencor</t>
  </si>
  <si>
    <t>Smurfit-Stone</t>
  </si>
  <si>
    <t>American Natl Ins</t>
  </si>
  <si>
    <t>Health Management</t>
  </si>
  <si>
    <t>CenturyTel</t>
  </si>
  <si>
    <t>Slough Estates</t>
  </si>
  <si>
    <t>Stockland</t>
  </si>
  <si>
    <t>Thai Oil</t>
  </si>
  <si>
    <t>Hovnanian Enterprises</t>
  </si>
  <si>
    <t>Espirito Santo Finl</t>
  </si>
  <si>
    <t>Metrovacesa</t>
  </si>
  <si>
    <t>NOK</t>
  </si>
  <si>
    <t>Apollo-Education Group</t>
  </si>
  <si>
    <t>Bharti Tele-Ventures</t>
  </si>
  <si>
    <t>Air China</t>
  </si>
  <si>
    <t>Advanced Info Service</t>
  </si>
  <si>
    <t>Expeditors Intl</t>
  </si>
  <si>
    <t>Nürnberger Beteiligungs</t>
  </si>
  <si>
    <t>Tokyu Land</t>
  </si>
  <si>
    <t>Impac Mortgage Holding</t>
  </si>
  <si>
    <t>Advantest</t>
  </si>
  <si>
    <t>Dongkuk Steel Mill</t>
  </si>
  <si>
    <t>Daewoo Engineering</t>
  </si>
  <si>
    <t>Hormel Foods</t>
  </si>
  <si>
    <t>Visteon</t>
  </si>
  <si>
    <t>Balfour Beatty</t>
  </si>
  <si>
    <t>Avalonbay Communities</t>
  </si>
  <si>
    <t>Natl Semiconductor</t>
  </si>
  <si>
    <t>KKPC-Korea Kumho</t>
  </si>
  <si>
    <t>China Cosco Holdings</t>
  </si>
  <si>
    <t>Cintas</t>
  </si>
  <si>
    <t>American Tower</t>
  </si>
  <si>
    <t>IndyMac Bancorp</t>
  </si>
  <si>
    <t>LG Corp</t>
  </si>
  <si>
    <t>Philippine Long Dist Tele</t>
  </si>
  <si>
    <t>DaVita</t>
  </si>
  <si>
    <t>Fuji Electric Holdings</t>
  </si>
  <si>
    <t>Biomet</t>
  </si>
  <si>
    <t>Sealed Air</t>
  </si>
  <si>
    <t>Nagoya Railroad</t>
  </si>
  <si>
    <t>Toyo Seikan Kaisha</t>
  </si>
  <si>
    <t>Banca Carige</t>
  </si>
  <si>
    <t>Charter Commun</t>
  </si>
  <si>
    <t>Intuit</t>
  </si>
  <si>
    <t>Allegheny Technologies</t>
  </si>
  <si>
    <t>Finansbank</t>
  </si>
  <si>
    <t>Tomen</t>
  </si>
  <si>
    <t>Terna</t>
  </si>
  <si>
    <t>AmeriCredit</t>
  </si>
  <si>
    <t>Circuit City Stores</t>
  </si>
  <si>
    <t>Chugoku Bank</t>
  </si>
  <si>
    <t>iStar Financial</t>
  </si>
  <si>
    <t>Ryanair Holdings</t>
  </si>
  <si>
    <t>Polo Ralph Lauren</t>
  </si>
  <si>
    <t>Tosoh</t>
  </si>
  <si>
    <t>Wheelock &amp; Co</t>
  </si>
  <si>
    <t>Schroders</t>
  </si>
  <si>
    <t>UST</t>
  </si>
  <si>
    <t>Suzuken</t>
  </si>
  <si>
    <t>Noble</t>
  </si>
  <si>
    <t>Liz Claiborne</t>
  </si>
  <si>
    <t>Peninsular &amp; Oriental</t>
  </si>
  <si>
    <t>Vallourec</t>
  </si>
  <si>
    <t>Cencosud</t>
  </si>
  <si>
    <t>Expedia</t>
  </si>
  <si>
    <t>PartyGaming</t>
  </si>
  <si>
    <t>Hiroshima Bank</t>
  </si>
  <si>
    <t>Plum Creek Timber</t>
  </si>
  <si>
    <t>Grupo Bimbo</t>
  </si>
  <si>
    <t>Leggett &amp; Platt</t>
  </si>
  <si>
    <t>Brown-Forman</t>
  </si>
  <si>
    <t>Precision Drilling</t>
  </si>
  <si>
    <t>Shin Kong Financial</t>
  </si>
  <si>
    <t>Developers Diversified Realty</t>
  </si>
  <si>
    <t>City National</t>
  </si>
  <si>
    <t>Santos</t>
  </si>
  <si>
    <t>Credito Emiliano</t>
  </si>
  <si>
    <t>Hyundai Merchant Marine</t>
  </si>
  <si>
    <t>Ryland Group</t>
  </si>
  <si>
    <t>Amvescap</t>
  </si>
  <si>
    <t>Kazakhmys</t>
  </si>
  <si>
    <t>OOIL-Orient Overseas</t>
  </si>
  <si>
    <t>Dana</t>
  </si>
  <si>
    <t>Noble Group</t>
  </si>
  <si>
    <t>Wendy's International</t>
  </si>
  <si>
    <t>Israel Corp</t>
  </si>
  <si>
    <t>Western Digital</t>
  </si>
  <si>
    <t>Gunma Bank</t>
  </si>
  <si>
    <t>Network Appliance</t>
  </si>
  <si>
    <t>Toro Assicurazioni</t>
  </si>
  <si>
    <t>SSAB-Svenskt Stal</t>
  </si>
  <si>
    <t>Whole Foods Market</t>
  </si>
  <si>
    <t>Inbursa Financiero</t>
  </si>
  <si>
    <t>Erdemir</t>
  </si>
  <si>
    <t>Braskem</t>
  </si>
  <si>
    <t>Thai Petrochemical Ind</t>
  </si>
  <si>
    <t>MDC Holdings</t>
  </si>
  <si>
    <t>Knight Ridder</t>
  </si>
  <si>
    <t>Pinnacle West</t>
  </si>
  <si>
    <t>Telephone &amp; Data Sys</t>
  </si>
  <si>
    <t>Nishi-Nippon City Bank</t>
  </si>
  <si>
    <t>Couche Tard</t>
  </si>
  <si>
    <t>Harman International</t>
  </si>
  <si>
    <t>Engelhard</t>
  </si>
  <si>
    <t>Jtekt</t>
  </si>
  <si>
    <t>Triad Hospitals</t>
  </si>
  <si>
    <t>Landsbanki Islands</t>
  </si>
  <si>
    <t>Emporiki Bank of Greece</t>
  </si>
  <si>
    <t>Astoria Financial</t>
  </si>
  <si>
    <t>Ryder System</t>
  </si>
  <si>
    <t>Duke Realty</t>
  </si>
  <si>
    <t>Far Eastern Textile</t>
  </si>
  <si>
    <t>Questar</t>
  </si>
  <si>
    <t>TabCorp Holdings</t>
  </si>
  <si>
    <t>CSL</t>
  </si>
  <si>
    <t>Owens-Illinois</t>
  </si>
  <si>
    <t>Larsen &amp; Toubro</t>
  </si>
  <si>
    <t>Shinko Securities</t>
  </si>
  <si>
    <t>Xilinx</t>
  </si>
  <si>
    <t>Independence Community</t>
  </si>
  <si>
    <t>Nisshin Steel</t>
  </si>
  <si>
    <t>BanColombia</t>
  </si>
  <si>
    <t>Mitsubishi Gas Chemical</t>
  </si>
  <si>
    <t>LG Card</t>
  </si>
  <si>
    <t>Iyo Bank</t>
  </si>
  <si>
    <t>Kerry Group</t>
  </si>
  <si>
    <t>Casio Computer</t>
  </si>
  <si>
    <t>Lite-On Technology</t>
  </si>
  <si>
    <t>PartnerRe</t>
  </si>
  <si>
    <t>Hang Lung Group</t>
  </si>
  <si>
    <t>TCF Financial</t>
  </si>
  <si>
    <t>Unitrin</t>
  </si>
  <si>
    <t>Smith &amp; Nephew</t>
  </si>
  <si>
    <t>Clariant</t>
  </si>
  <si>
    <t>Chunghwa Picture Tubes</t>
  </si>
  <si>
    <t>Bank of Greece</t>
  </si>
  <si>
    <t>Kesko Group</t>
  </si>
  <si>
    <t>Sanmina-SCI</t>
  </si>
  <si>
    <t>Autodesk</t>
  </si>
  <si>
    <t>Family Dollar Stores</t>
  </si>
  <si>
    <t>Jones Apparel Group</t>
  </si>
  <si>
    <t>CMPC</t>
  </si>
  <si>
    <t>Abercrombie &amp; Fitch</t>
  </si>
  <si>
    <t>Foot Locker</t>
  </si>
  <si>
    <t>NTL</t>
  </si>
  <si>
    <t>Banca CR Firenze</t>
  </si>
  <si>
    <t>Gambro</t>
  </si>
  <si>
    <t>Allegheny Energy</t>
  </si>
  <si>
    <t>China Yangtze Power</t>
  </si>
  <si>
    <t>Maxis Communications</t>
  </si>
  <si>
    <t>Rhodia</t>
  </si>
  <si>
    <t>Sankyo</t>
  </si>
  <si>
    <t>Commerce Bancshs</t>
  </si>
  <si>
    <t>Umicore</t>
  </si>
  <si>
    <t>Research In Motion</t>
  </si>
  <si>
    <t>JSR</t>
  </si>
  <si>
    <t>Robert Half Intl</t>
  </si>
  <si>
    <t>TECO Energy</t>
  </si>
  <si>
    <t>Fremont General</t>
  </si>
  <si>
    <t>Hermès International</t>
  </si>
  <si>
    <t>Daelim Industrial</t>
  </si>
  <si>
    <t>Inchcape</t>
  </si>
  <si>
    <t>Orient</t>
  </si>
  <si>
    <t>Origin Energy</t>
  </si>
  <si>
    <t>Resolution</t>
  </si>
  <si>
    <t>Jacobs Engineering</t>
  </si>
  <si>
    <t>Aker</t>
  </si>
  <si>
    <t>Aareal Bank</t>
  </si>
  <si>
    <t>Basler Kantonalbank</t>
  </si>
  <si>
    <t>MEMC Electronic Mats</t>
  </si>
  <si>
    <t>Nvidia</t>
  </si>
  <si>
    <t>Commercial Metals</t>
  </si>
  <si>
    <t>Doosan</t>
  </si>
  <si>
    <t>Advance Auto Parts</t>
  </si>
  <si>
    <t>Hyundai Eng &amp; Const</t>
  </si>
  <si>
    <t>Newfield Exploration</t>
  </si>
  <si>
    <t>Scor</t>
  </si>
  <si>
    <t>JFE Shoji Holdings</t>
  </si>
  <si>
    <t>Solectron</t>
  </si>
  <si>
    <t>SAS Group</t>
  </si>
  <si>
    <t>VeriSign</t>
  </si>
  <si>
    <t>CR Bard</t>
  </si>
  <si>
    <t>UFJ Central Leasing</t>
  </si>
  <si>
    <t>Lend Lease</t>
  </si>
  <si>
    <t>Naspers</t>
  </si>
  <si>
    <t>Converium Holding</t>
  </si>
  <si>
    <t>ERG</t>
  </si>
  <si>
    <t>Garmin</t>
  </si>
  <si>
    <t>Hellenic Petroleum</t>
  </si>
  <si>
    <t>Kaneka</t>
  </si>
  <si>
    <t>AmerUs Group</t>
  </si>
  <si>
    <t>Credicorp</t>
  </si>
  <si>
    <t>Alfresa Holdings</t>
  </si>
  <si>
    <t>MDU Resources</t>
  </si>
  <si>
    <t>Punch Taverns</t>
  </si>
  <si>
    <t>Redwood Trust</t>
  </si>
  <si>
    <t>AMB Property</t>
  </si>
  <si>
    <t>Standard Pacific</t>
  </si>
  <si>
    <t>Tech Data</t>
  </si>
  <si>
    <t>Japan Securities Fin</t>
  </si>
  <si>
    <t>Bharat Heavy Electricals</t>
  </si>
  <si>
    <t>Metropolitan Holdings</t>
  </si>
  <si>
    <t>Sime Darby</t>
  </si>
  <si>
    <t>OfficeMax</t>
  </si>
  <si>
    <t>Samsung Heavy Industries</t>
  </si>
  <si>
    <t>Outokumpu</t>
  </si>
  <si>
    <t>HDFC Bank</t>
  </si>
  <si>
    <t>Taiwan Mobile</t>
  </si>
  <si>
    <t>Adelphia Commun</t>
  </si>
  <si>
    <t>Owens Corning</t>
  </si>
  <si>
    <t>Doral Financial</t>
  </si>
  <si>
    <t>First BanCorp</t>
  </si>
  <si>
    <t>Brisa</t>
  </si>
  <si>
    <t>OGE Energy</t>
  </si>
  <si>
    <t>Banco Pastor</t>
  </si>
  <si>
    <t>Jean Coutu Group</t>
  </si>
  <si>
    <t>Compal Electronics</t>
  </si>
  <si>
    <t>Pogo Producing</t>
  </si>
  <si>
    <t>Republic Services</t>
  </si>
  <si>
    <t>Lanxess</t>
  </si>
  <si>
    <t>Downey Financial</t>
  </si>
  <si>
    <t>Financière de l'Odet</t>
  </si>
  <si>
    <t>Taiwan Cooperative Bank</t>
  </si>
  <si>
    <t>Dongfeng Motor Group</t>
  </si>
  <si>
    <t>SGS</t>
  </si>
  <si>
    <t>Michaels Stores</t>
  </si>
  <si>
    <t>Axis Capital Holdings</t>
  </si>
  <si>
    <t>Federal-Mogul</t>
  </si>
  <si>
    <t>PCCW</t>
  </si>
  <si>
    <t>Cameco</t>
  </si>
  <si>
    <t>Falabella</t>
  </si>
  <si>
    <t>Industrial Alliance Insur</t>
  </si>
  <si>
    <t>Euler Hermes</t>
  </si>
  <si>
    <t>Oriental Land</t>
  </si>
  <si>
    <t>Mitsukoshi</t>
  </si>
  <si>
    <t>EW Scripps</t>
  </si>
  <si>
    <t>New York Times</t>
  </si>
  <si>
    <t>Bunzl</t>
  </si>
  <si>
    <t>Islandsbanki</t>
  </si>
  <si>
    <t>Ensco International</t>
  </si>
  <si>
    <t>Altera</t>
  </si>
  <si>
    <t>Evergreen Marine</t>
  </si>
  <si>
    <t>Nelnet</t>
  </si>
  <si>
    <t>Puma</t>
  </si>
  <si>
    <t>PMI Group</t>
  </si>
  <si>
    <t>Amdocs</t>
  </si>
  <si>
    <t>77 Bank</t>
  </si>
  <si>
    <t>Suruga Bank</t>
  </si>
  <si>
    <t>ArvinMeritor</t>
  </si>
  <si>
    <t>M-real</t>
  </si>
  <si>
    <t>Novelis</t>
  </si>
  <si>
    <t>Barr Pharmaceuticals</t>
  </si>
  <si>
    <t>Far EasTone Telecom</t>
  </si>
  <si>
    <t>Kesa Electricals</t>
  </si>
  <si>
    <t>SinoPac Financial Holdings</t>
  </si>
  <si>
    <t>KGHM Polska Miedz</t>
  </si>
  <si>
    <t>Ono Pharmaceutical</t>
  </si>
  <si>
    <t>Crown Holdings</t>
  </si>
  <si>
    <t>AMEC</t>
  </si>
  <si>
    <t>Fraport</t>
  </si>
  <si>
    <t>Genting</t>
  </si>
  <si>
    <t>Parmalat</t>
  </si>
  <si>
    <t>Group 4 Securicor</t>
  </si>
  <si>
    <t>Pilkington</t>
  </si>
  <si>
    <t>BOK Financial</t>
  </si>
  <si>
    <t>USG</t>
  </si>
  <si>
    <t>Orica</t>
  </si>
  <si>
    <t>Pioneer</t>
  </si>
  <si>
    <t>Royal Numico</t>
  </si>
  <si>
    <t>Acerinox</t>
  </si>
  <si>
    <t>Frontline</t>
  </si>
  <si>
    <t>Nippon Meat Packers</t>
  </si>
  <si>
    <t>Yamaguchi Bank</t>
  </si>
  <si>
    <t>Beazer Homes USA</t>
  </si>
  <si>
    <t>Dillard's</t>
  </si>
  <si>
    <t>WPS Resources</t>
  </si>
  <si>
    <t>Chang Hwa Com Bank</t>
  </si>
  <si>
    <t>Bank of Baroda</t>
  </si>
  <si>
    <t>Mitchells &amp; Butlers</t>
  </si>
  <si>
    <t>Novatek</t>
  </si>
  <si>
    <t>Hakuhodo DY Holdings</t>
  </si>
  <si>
    <t>Eramet</t>
  </si>
  <si>
    <t>Harris</t>
  </si>
  <si>
    <t>Brasil Telecom</t>
  </si>
  <si>
    <t>Phoenix Cos</t>
  </si>
  <si>
    <t>Nanto Bank</t>
  </si>
  <si>
    <t>Vedior</t>
  </si>
  <si>
    <t>American Home Mortgage</t>
  </si>
  <si>
    <t>Daishi Bank</t>
  </si>
  <si>
    <t>Chiron</t>
  </si>
  <si>
    <t>Shiga Bank</t>
  </si>
  <si>
    <t>Juroku Bank</t>
  </si>
  <si>
    <t>Tiffany &amp; Co</t>
  </si>
  <si>
    <t>Ultra Petroleum</t>
  </si>
  <si>
    <t>Performance Food</t>
  </si>
  <si>
    <t>Webster Financial</t>
  </si>
  <si>
    <t>Sumisho Lease</t>
  </si>
  <si>
    <t>BCI-Banco Credito</t>
  </si>
  <si>
    <t>Hospira</t>
  </si>
  <si>
    <t>Aracruz Celulose</t>
  </si>
  <si>
    <t>Atmos Energy</t>
  </si>
  <si>
    <t>Keio</t>
  </si>
  <si>
    <t>Hyakugo Bank</t>
  </si>
  <si>
    <t>Stanley Works</t>
  </si>
  <si>
    <t>Yamaha</t>
  </si>
  <si>
    <t>CIR</t>
  </si>
  <si>
    <t>Pilgrim's Pride</t>
  </si>
  <si>
    <t>StanCorp Financial</t>
  </si>
  <si>
    <t>Teekay Shipping</t>
  </si>
  <si>
    <t>Powerchip Semiconductor</t>
  </si>
  <si>
    <t>Check Point Software</t>
  </si>
  <si>
    <t>San-In Godo Bank</t>
  </si>
  <si>
    <t>Ross Stores</t>
  </si>
  <si>
    <t>RadioShack</t>
  </si>
  <si>
    <t>Israel Discount Bank</t>
  </si>
  <si>
    <t>SembCorp Industries</t>
  </si>
  <si>
    <t>Ogaki Kyoritsu Bank</t>
  </si>
  <si>
    <t>Link Real Estate Invest</t>
  </si>
  <si>
    <t>Timken</t>
  </si>
  <si>
    <t>Taiwan Business Bank</t>
  </si>
  <si>
    <t>DST Systems</t>
  </si>
  <si>
    <t>Hyakujushi Bank</t>
  </si>
  <si>
    <t>Higo Bank</t>
  </si>
  <si>
    <t>Benq</t>
  </si>
  <si>
    <t>Tsim Sha Tsui Properties</t>
  </si>
  <si>
    <t>Pakistan Telecom</t>
  </si>
  <si>
    <t>Boral</t>
  </si>
  <si>
    <t>Isetan</t>
  </si>
  <si>
    <t>Nissay Dowa General Ins</t>
  </si>
  <si>
    <t>AvtoVaz</t>
  </si>
  <si>
    <t>China Merchants (International)</t>
  </si>
  <si>
    <t>NStar</t>
  </si>
  <si>
    <t>US Airways Group</t>
  </si>
  <si>
    <t>Aval Grupo</t>
  </si>
  <si>
    <t>Petrol Ofisi</t>
  </si>
  <si>
    <t>Williams-Sonoma</t>
  </si>
  <si>
    <t>Microchip Technology</t>
  </si>
  <si>
    <t>Banca Popolare di Sondrio</t>
  </si>
  <si>
    <t>Kagoshima Bank</t>
  </si>
  <si>
    <t>Sumitomo Rubber</t>
  </si>
  <si>
    <t>Sky Financial Group</t>
  </si>
  <si>
    <t>Musashino Bank</t>
  </si>
  <si>
    <t>Terumo</t>
  </si>
  <si>
    <t>Thermo Electron</t>
  </si>
  <si>
    <t>Sage Group</t>
  </si>
  <si>
    <t>Alberto-Culver</t>
  </si>
  <si>
    <t>Givaudan</t>
  </si>
  <si>
    <t>CI Financial</t>
  </si>
  <si>
    <t>Dah Sing Financial</t>
  </si>
  <si>
    <t>Hokkoku Bank</t>
  </si>
  <si>
    <t>W Holding</t>
  </si>
  <si>
    <t>Wuhan Iron &amp; Steel</t>
  </si>
  <si>
    <t>Bank of Nagoya</t>
  </si>
  <si>
    <t>Bilfinger &amp; Berger</t>
  </si>
  <si>
    <t>Daimaru</t>
  </si>
  <si>
    <t>GEA Group</t>
  </si>
  <si>
    <t>Keiyo Bank</t>
  </si>
  <si>
    <t>Jaccs</t>
  </si>
  <si>
    <t>Alliant Energy</t>
  </si>
  <si>
    <t>Toho Bank</t>
  </si>
  <si>
    <t>Maanshan Iron &amp; Steel</t>
  </si>
  <si>
    <t>Datang Intl Power</t>
  </si>
  <si>
    <t>Citizens Commun</t>
  </si>
  <si>
    <t>Kiyo Holdings</t>
  </si>
  <si>
    <t>People's Bank</t>
  </si>
  <si>
    <t>Varian Medical Systems</t>
  </si>
  <si>
    <t>CBD-Brasil Distribuição</t>
  </si>
  <si>
    <t>LG International</t>
  </si>
  <si>
    <t>Oki Electric Industry</t>
  </si>
  <si>
    <t>Fuji Fire &amp; Marine</t>
  </si>
  <si>
    <t>Mitsui Mining &amp; Smelting</t>
  </si>
  <si>
    <t>Momiji Holdings</t>
  </si>
  <si>
    <t>CB Richard Ellis</t>
  </si>
  <si>
    <t>Nissan Diesel Motor</t>
  </si>
  <si>
    <t>Bull</t>
  </si>
  <si>
    <t>Shenzhen Develop Bank</t>
  </si>
  <si>
    <t>Danisco</t>
  </si>
  <si>
    <t>Kanematsu</t>
  </si>
  <si>
    <t>Oita Bank</t>
  </si>
  <si>
    <t>JGC</t>
  </si>
  <si>
    <t>Yamanashi Chuo Bank</t>
  </si>
  <si>
    <t>Bank of Ikeda</t>
  </si>
  <si>
    <t>Empire</t>
  </si>
  <si>
    <t>Ube Industries</t>
  </si>
  <si>
    <t>Kyushu-Shinwa Holdings</t>
  </si>
  <si>
    <t>Aichi Bank</t>
  </si>
  <si>
    <t>Union Bank of India</t>
  </si>
  <si>
    <t>H Lundbeck</t>
  </si>
  <si>
    <t>Nippon Electric Glass</t>
  </si>
  <si>
    <t>Tokyo Leasing</t>
  </si>
  <si>
    <t>BorgWarner</t>
  </si>
  <si>
    <t>Alitalia Group</t>
  </si>
  <si>
    <t>Banco de Valencia</t>
  </si>
  <si>
    <t>Alexandria Natl Iron &amp; St</t>
  </si>
  <si>
    <t>Shikoku Bank</t>
  </si>
  <si>
    <t>Awa Bank</t>
  </si>
  <si>
    <t>Chico's FAS</t>
  </si>
  <si>
    <t>ALK-Abelló</t>
  </si>
  <si>
    <t>Dassault Systèmes</t>
  </si>
  <si>
    <t>Shanghai Electric Group</t>
  </si>
  <si>
    <t>Lam Research</t>
  </si>
  <si>
    <t>United Auto Group</t>
  </si>
  <si>
    <t>City Developments</t>
  </si>
  <si>
    <t>Agrium</t>
  </si>
  <si>
    <t>Yanzhou Coal Mining</t>
  </si>
  <si>
    <t>Tokyo Tomin Bank</t>
  </si>
  <si>
    <t>Bank of Iwate</t>
  </si>
  <si>
    <t>IMS Health</t>
  </si>
  <si>
    <t>Van Lanschot</t>
  </si>
  <si>
    <t>Daewoo International</t>
  </si>
  <si>
    <t>Keihin Electric Express</t>
  </si>
  <si>
    <t>Patterson-UTI Energy</t>
  </si>
  <si>
    <t>Bank of India</t>
  </si>
  <si>
    <t>Rashid Hussain</t>
  </si>
  <si>
    <t>Celgene</t>
  </si>
  <si>
    <t>Singapore Petroleum</t>
  </si>
  <si>
    <t>Royal BAM Group</t>
  </si>
  <si>
    <t>Jefferies Group</t>
  </si>
  <si>
    <t>Akita Bank</t>
  </si>
  <si>
    <t>Daily Mail &amp; General</t>
  </si>
  <si>
    <t>Ipiranga</t>
  </si>
  <si>
    <t>Frontier Oil</t>
  </si>
  <si>
    <t>Eighteenth Bank</t>
  </si>
  <si>
    <t>CSK</t>
  </si>
  <si>
    <t>Yell Group</t>
  </si>
  <si>
    <t>Euronext</t>
  </si>
  <si>
    <t>Burns, Philp &amp; Co</t>
  </si>
  <si>
    <t>Singapore Technologies</t>
  </si>
  <si>
    <t>Sumikin Bussan</t>
  </si>
  <si>
    <t>Apartment Investment</t>
  </si>
  <si>
    <t>Tochigi Bank</t>
  </si>
  <si>
    <t>Aomori Bank</t>
  </si>
  <si>
    <t>Global Yatirim Holdings</t>
  </si>
  <si>
    <t>UGI</t>
  </si>
  <si>
    <t>Buhrmann</t>
  </si>
  <si>
    <t>Indl Dev Bank of India</t>
  </si>
  <si>
    <t>Fukui Bank</t>
  </si>
  <si>
    <t>Nippon Steel Trading</t>
  </si>
  <si>
    <t>Dynegy</t>
  </si>
  <si>
    <t>AK Steel Holding</t>
  </si>
  <si>
    <t>Kone</t>
  </si>
  <si>
    <t>Attijariwafa Bank</t>
  </si>
  <si>
    <t>Penn West Petroleum</t>
  </si>
  <si>
    <t>Western Gas Resources</t>
  </si>
  <si>
    <t>Chiba Kogyo Bank</t>
  </si>
  <si>
    <t>NII Holdings</t>
  </si>
  <si>
    <t>AWG</t>
  </si>
  <si>
    <t>Mizrahi Tefahot Bank</t>
  </si>
  <si>
    <t>Abitibi Consolidated</t>
  </si>
  <si>
    <t>China Shipping Container</t>
  </si>
  <si>
    <t>Singapore Press</t>
  </si>
  <si>
    <t>Alps Electric</t>
  </si>
  <si>
    <t>Henry Schein</t>
  </si>
  <si>
    <t>Investment AB Kinnevik</t>
  </si>
  <si>
    <t>Axel Springer Verlag</t>
  </si>
  <si>
    <t>Daegu Bank</t>
  </si>
  <si>
    <t>Friedman Billings</t>
  </si>
  <si>
    <t>Louisiana-Pacific</t>
  </si>
  <si>
    <t>Hyosung</t>
  </si>
  <si>
    <t>Universal Health</t>
  </si>
  <si>
    <t>Hokuetsu Bank</t>
  </si>
  <si>
    <t>Hanwa</t>
  </si>
  <si>
    <t>Indah Kiat Pulp &amp; Paper</t>
  </si>
  <si>
    <t>Farmers Bank of China</t>
  </si>
  <si>
    <t>Michinoku Bank</t>
  </si>
  <si>
    <t>Industrivarden</t>
  </si>
  <si>
    <t>Gamesa</t>
  </si>
  <si>
    <t>Winn-Dixie Stores</t>
  </si>
  <si>
    <t>Oriental Bank of Commerce</t>
  </si>
  <si>
    <t>Transmontaigne</t>
  </si>
  <si>
    <t>Kuraray</t>
  </si>
  <si>
    <t>Pixar</t>
  </si>
  <si>
    <t>AEM</t>
  </si>
  <si>
    <t>TransAlta</t>
  </si>
  <si>
    <t>E.Sun Financial</t>
  </si>
  <si>
    <t>Novell</t>
  </si>
  <si>
    <t>BEKB-BCBE</t>
  </si>
  <si>
    <t>Energizer Holdings</t>
  </si>
  <si>
    <t>Serono</t>
  </si>
  <si>
    <t>RHM</t>
  </si>
  <si>
    <t>MediaTek</t>
  </si>
  <si>
    <t>Red Eléctrica de España</t>
  </si>
  <si>
    <t>Bank of Saga</t>
  </si>
  <si>
    <t>Shaw Communications</t>
  </si>
  <si>
    <t>Overseas Shipholding</t>
  </si>
  <si>
    <t>Enka</t>
  </si>
  <si>
    <t>Gold Fields</t>
  </si>
  <si>
    <t>BayWa</t>
  </si>
  <si>
    <t>IDB Holding</t>
  </si>
  <si>
    <t>Banco de Chile</t>
  </si>
  <si>
    <t>Hays</t>
  </si>
  <si>
    <t>Norske Skogindustrier</t>
  </si>
  <si>
    <t>TMB Bank</t>
  </si>
  <si>
    <t>Cognizant Technology</t>
  </si>
  <si>
    <t>Hindalco Industries</t>
  </si>
  <si>
    <t>CNF</t>
  </si>
  <si>
    <t>Equifax</t>
  </si>
  <si>
    <t>Yamagata Bank</t>
  </si>
  <si>
    <t>Pusan Bank</t>
  </si>
  <si>
    <t>IBJ Leasing</t>
  </si>
  <si>
    <t>Coca-Cola Amatil</t>
  </si>
  <si>
    <t>Grupo Elektra</t>
  </si>
  <si>
    <t>Fuyo General Lease</t>
  </si>
  <si>
    <t>Towa Bank</t>
  </si>
  <si>
    <t>World Fuel Services</t>
  </si>
  <si>
    <t>Hanwha Chemical</t>
  </si>
  <si>
    <t>Fulton Financial</t>
  </si>
  <si>
    <t>Higashi-Nippon Bank</t>
  </si>
  <si>
    <t>Mitsui Engineering &amp; Ship</t>
  </si>
  <si>
    <t>Carphone Warehouse</t>
  </si>
  <si>
    <t>Sonic Automotive</t>
  </si>
  <si>
    <t>St Galler Kantonalbank</t>
  </si>
  <si>
    <t>Luzerner Kantonalbank</t>
  </si>
  <si>
    <t>Sappi</t>
  </si>
  <si>
    <t>BJ's Wholesale Club</t>
  </si>
  <si>
    <t>ServiceMaster</t>
  </si>
  <si>
    <t>Annaly Mortgage Mgmt</t>
  </si>
  <si>
    <t>Travis Perkins</t>
  </si>
  <si>
    <t>AMMB Holdings</t>
  </si>
  <si>
    <t>Brinker International</t>
  </si>
  <si>
    <t>Hong Leong Credit</t>
  </si>
  <si>
    <t>Minmetals Development</t>
  </si>
  <si>
    <t>KAS Bank</t>
  </si>
  <si>
    <t>Miyazaki Bank</t>
  </si>
  <si>
    <t>Petsmart</t>
  </si>
  <si>
    <t>Valley Natl Bancorp</t>
  </si>
  <si>
    <t>FIBI Holding</t>
  </si>
  <si>
    <t>Equitable Resources</t>
  </si>
  <si>
    <t>Level 3 Commun</t>
  </si>
  <si>
    <t>CarMax</t>
  </si>
  <si>
    <t>CPFL Energia</t>
  </si>
  <si>
    <t>Akamai Technologies</t>
  </si>
  <si>
    <t>Tong Yang Major</t>
  </si>
  <si>
    <t>CJ</t>
  </si>
  <si>
    <t>Siam City Bank</t>
  </si>
  <si>
    <t>China Intl Marine Container</t>
  </si>
  <si>
    <t>Cullen/Frost Bankers</t>
  </si>
  <si>
    <t>Thai Airways Intl</t>
  </si>
  <si>
    <t>Metro Inc</t>
  </si>
  <si>
    <t>Credito Valtellinese</t>
  </si>
  <si>
    <t>Tokyo Broadcasting Sys</t>
  </si>
  <si>
    <t>Enagas</t>
  </si>
  <si>
    <t>Sigma-Aldrich</t>
  </si>
  <si>
    <t>Daisan Bank</t>
  </si>
  <si>
    <t>Honam Petrochemical</t>
  </si>
  <si>
    <t>Soriana</t>
  </si>
  <si>
    <t>Bank of Hawaii</t>
  </si>
  <si>
    <t>Hagemeyer</t>
  </si>
  <si>
    <t>Kangwon Land</t>
  </si>
  <si>
    <t>Tellabs</t>
  </si>
  <si>
    <t>PHH</t>
  </si>
  <si>
    <t>Valiant Holding</t>
  </si>
  <si>
    <t>Flagstar Bancorp</t>
  </si>
  <si>
    <t>Oberbank</t>
  </si>
  <si>
    <t>Invensys</t>
  </si>
  <si>
    <t>Funai Electric</t>
  </si>
  <si>
    <t>Chukyo Bank</t>
  </si>
  <si>
    <t>Cimarex Energy</t>
  </si>
  <si>
    <t>Dun &amp; Bradstreet</t>
  </si>
  <si>
    <t>National Aluminium</t>
  </si>
  <si>
    <t>Bank of Ayudhya</t>
  </si>
  <si>
    <t>Ehime Bank</t>
  </si>
  <si>
    <t>Namco Bandai Holdings</t>
  </si>
  <si>
    <t>Steinhoff Intl Holdings</t>
  </si>
  <si>
    <t>Heidelberg</t>
  </si>
  <si>
    <t>Alexander Forbes</t>
  </si>
  <si>
    <t>First Citizens Bancshs</t>
  </si>
  <si>
    <t>Mercantil Servicios Fin</t>
  </si>
  <si>
    <t>Bank Danamon</t>
  </si>
  <si>
    <t>Investors Financial</t>
  </si>
  <si>
    <t>Maruha Group</t>
  </si>
  <si>
    <t>SanomaWSOY</t>
  </si>
  <si>
    <t>Eurotunnel</t>
  </si>
  <si>
    <t>Tokyo Steel Mfg</t>
  </si>
  <si>
    <t>South Financial Group</t>
  </si>
  <si>
    <t>SunCom Wireless Holdings</t>
  </si>
  <si>
    <t>Liberty Property</t>
  </si>
  <si>
    <t>Petronas Gas</t>
  </si>
  <si>
    <t>Sydbank</t>
  </si>
  <si>
    <t>Forest City Ent</t>
  </si>
  <si>
    <t>Mills</t>
  </si>
  <si>
    <t>McCormick &amp; Co</t>
  </si>
  <si>
    <t>Patterson Cos</t>
  </si>
  <si>
    <t>Meiji Dairies</t>
  </si>
  <si>
    <t>Toda</t>
  </si>
  <si>
    <t>China Development Finl</t>
  </si>
  <si>
    <t>MedImmune</t>
  </si>
  <si>
    <t>Saks</t>
  </si>
  <si>
    <t>Sumitomo Forestry</t>
  </si>
  <si>
    <t>Wilmington Trust</t>
  </si>
  <si>
    <t>Bank of Ryukyus</t>
  </si>
  <si>
    <t>Fastenal</t>
  </si>
  <si>
    <t>Capita Group</t>
  </si>
  <si>
    <t>Eurazeo</t>
  </si>
  <si>
    <t>Sumitomo Mitsui Const</t>
  </si>
  <si>
    <t>Amer Eagle Outfitters</t>
  </si>
  <si>
    <t>Laurentian Bank</t>
  </si>
  <si>
    <t>Macerich</t>
  </si>
  <si>
    <t>JB Hunt Transport</t>
  </si>
  <si>
    <t>NCC Group</t>
  </si>
  <si>
    <t>Applera-Applied Biosys</t>
  </si>
  <si>
    <t>Yokogawa Electric</t>
  </si>
  <si>
    <t>Cimpor-Cimentos Portugal</t>
  </si>
  <si>
    <t>FirstGroup</t>
  </si>
  <si>
    <t>Hasbro</t>
  </si>
  <si>
    <t>Aplus</t>
  </si>
  <si>
    <t>Kimberly-Clark de Mexico</t>
  </si>
  <si>
    <t>Calsonic Kansei</t>
  </si>
  <si>
    <t>Lubrizol</t>
  </si>
  <si>
    <t>Goldcorp</t>
  </si>
  <si>
    <t>Nobel Biocare Holding</t>
  </si>
  <si>
    <t>Nexans</t>
  </si>
  <si>
    <t>IOI Corp</t>
  </si>
  <si>
    <t>Yamazaki Baking</t>
  </si>
  <si>
    <t>El Puerto de Liverpool</t>
  </si>
  <si>
    <t>Nippon Light Metal</t>
  </si>
  <si>
    <t>PepsiAmericas</t>
  </si>
  <si>
    <t>Bajaj Auto</t>
  </si>
  <si>
    <t>Signet Group</t>
  </si>
  <si>
    <t>Tokyo Star Bank</t>
  </si>
  <si>
    <t>Wing Hang Bank</t>
  </si>
  <si>
    <t>American Equity Inv Life</t>
  </si>
  <si>
    <t>Oshkosh Truck</t>
  </si>
  <si>
    <t>Songbird Estates</t>
  </si>
  <si>
    <t>EVN</t>
  </si>
  <si>
    <t>Raymond James Finl</t>
  </si>
  <si>
    <t>FFP</t>
  </si>
  <si>
    <t>Pentair</t>
  </si>
  <si>
    <t>Community Health Sys</t>
  </si>
  <si>
    <t>Maeda</t>
  </si>
  <si>
    <t>Autogrill</t>
  </si>
  <si>
    <t>ICBC (Asia)</t>
  </si>
  <si>
    <t>KKR Financial</t>
  </si>
  <si>
    <t>Sanyo Shinpan Finance</t>
  </si>
  <si>
    <t>BLKB Group</t>
  </si>
  <si>
    <t>Blockbuster</t>
  </si>
  <si>
    <t>NTN</t>
  </si>
  <si>
    <t>Grant Prideco</t>
  </si>
  <si>
    <t>MIE Bank</t>
  </si>
  <si>
    <t>BKW FMB Energie</t>
  </si>
  <si>
    <t>D'Ieteren</t>
  </si>
  <si>
    <t>Seat-Pagine Gialle</t>
  </si>
  <si>
    <t>Molex</t>
  </si>
  <si>
    <t>Cosco Pacific</t>
  </si>
  <si>
    <t>Shimizu Bank</t>
  </si>
  <si>
    <t>DVB Bank</t>
  </si>
  <si>
    <t>UCO Bank</t>
  </si>
  <si>
    <t>Group 1 Automotive</t>
  </si>
  <si>
    <t>Indian Overseas Bank</t>
  </si>
  <si>
    <t>Mercury General</t>
  </si>
  <si>
    <t>Waters</t>
  </si>
  <si>
    <t>Torm</t>
  </si>
  <si>
    <t>Brother Inds</t>
  </si>
  <si>
    <t>Boliden</t>
  </si>
  <si>
    <t>Sofina</t>
  </si>
  <si>
    <t>High Tech Computer</t>
  </si>
  <si>
    <t>Okaya &amp; Company</t>
  </si>
  <si>
    <t>Itochu Enex</t>
  </si>
  <si>
    <t>Tiger Brands</t>
  </si>
  <si>
    <t>Hsinchu Intl Bank</t>
  </si>
  <si>
    <t>Citizen Watch</t>
  </si>
  <si>
    <t>Daido Steel</t>
  </si>
  <si>
    <t>Shire</t>
  </si>
  <si>
    <t>Bank of Okinawa</t>
  </si>
  <si>
    <t>AGL Resources</t>
  </si>
  <si>
    <t>NRG Energy</t>
  </si>
  <si>
    <t>BCGE Group</t>
  </si>
  <si>
    <t>Sierra Pacific Res</t>
  </si>
  <si>
    <t>Nippon TV Network</t>
  </si>
  <si>
    <t>Markel</t>
  </si>
  <si>
    <t>Продажи (млрд $)</t>
  </si>
  <si>
    <t>Отрасль</t>
  </si>
  <si>
    <t>Страна</t>
  </si>
  <si>
    <t>Компания</t>
  </si>
  <si>
    <t>Австралия</t>
  </si>
  <si>
    <t>Австралия/Великобритания</t>
  </si>
  <si>
    <t>Австрия</t>
  </si>
  <si>
    <t>Авиация и Оборона</t>
  </si>
  <si>
    <t>Банк</t>
  </si>
  <si>
    <t>ANZ Банк</t>
  </si>
  <si>
    <t>Westpac Банк Group</t>
  </si>
  <si>
    <t>Sumitomo Trust &amp; Банк</t>
  </si>
  <si>
    <t>Oversea-Chinese Банк</t>
  </si>
  <si>
    <t>Malayan Банк</t>
  </si>
  <si>
    <t>China Minsheng Банк</t>
  </si>
  <si>
    <t>Бизнес услуги и Ресурсы</t>
  </si>
  <si>
    <t>Средства производства</t>
  </si>
  <si>
    <t>Химическая отрасль</t>
  </si>
  <si>
    <t>Mitsui Химическая отрасль</t>
  </si>
  <si>
    <t>Ciba Specialty Химическая отрасль</t>
  </si>
  <si>
    <t>NOVA Химическая отрасль</t>
  </si>
  <si>
    <t>Конгломерат</t>
  </si>
  <si>
    <t>Строительство</t>
  </si>
  <si>
    <t>Daito Trust Строительство</t>
  </si>
  <si>
    <t>Orascom Строительство Inds</t>
  </si>
  <si>
    <t>Nishimatsu Строительство</t>
  </si>
  <si>
    <t>Потребительские товары длительного пользования</t>
  </si>
  <si>
    <t>Финансовые</t>
  </si>
  <si>
    <t>Фармацевтика и медицина</t>
  </si>
  <si>
    <t>Продукты питания</t>
  </si>
  <si>
    <t>Еда, напитки и табак</t>
  </si>
  <si>
    <t>Товары и услуги для здоровья</t>
  </si>
  <si>
    <t>Отели и рестораны</t>
  </si>
  <si>
    <t>Товары для дома</t>
  </si>
  <si>
    <t>Страхование</t>
  </si>
  <si>
    <t>China Life Страхование</t>
  </si>
  <si>
    <t>Sompo Japan Страхование</t>
  </si>
  <si>
    <t>Ping An Страхование Group</t>
  </si>
  <si>
    <t>QBE Страхование Group</t>
  </si>
  <si>
    <t>Страхование Australia Group</t>
  </si>
  <si>
    <t>Aioi Страхование</t>
  </si>
  <si>
    <t>Nipponkoa Страхование</t>
  </si>
  <si>
    <t>HCC Страхование</t>
  </si>
  <si>
    <t>Hanover Страхование</t>
  </si>
  <si>
    <t>Сырье</t>
  </si>
  <si>
    <t>Mitsubishi Сырье</t>
  </si>
  <si>
    <t>Медиа</t>
  </si>
  <si>
    <t>Liberty Медиа</t>
  </si>
  <si>
    <t>Медиаset</t>
  </si>
  <si>
    <t>PriМедиа</t>
  </si>
  <si>
    <t>Alma Медиа</t>
  </si>
  <si>
    <t>Невтегазовая пр-ть</t>
  </si>
  <si>
    <t>Ритэйл</t>
  </si>
  <si>
    <t>Fast Ритэйл</t>
  </si>
  <si>
    <t>Полупроводники</t>
  </si>
  <si>
    <t>Программное обеспечение</t>
  </si>
  <si>
    <t>Техническое обеспечение</t>
  </si>
  <si>
    <t>Телекоммуникации</t>
  </si>
  <si>
    <t>Торговые компании</t>
  </si>
  <si>
    <t>Перевозки</t>
  </si>
  <si>
    <t>Коммунальные услуги</t>
  </si>
  <si>
    <t>United Коммунальные услуги</t>
  </si>
  <si>
    <t>Northeast Коммунальные услуги</t>
  </si>
  <si>
    <t>Соединенные Штаты</t>
  </si>
  <si>
    <t>Соединенное Королевство</t>
  </si>
  <si>
    <t>Нидерланды</t>
  </si>
  <si>
    <t>Швейцария</t>
  </si>
  <si>
    <t>Япония</t>
  </si>
  <si>
    <t>Франция</t>
  </si>
  <si>
    <t>Испания</t>
  </si>
  <si>
    <t>Германия</t>
  </si>
  <si>
    <t>Италия</t>
  </si>
  <si>
    <t>Южная Корея</t>
  </si>
  <si>
    <t>Бразилия</t>
  </si>
  <si>
    <t>Китай</t>
  </si>
  <si>
    <t>Россия</t>
  </si>
  <si>
    <t>Канада</t>
  </si>
  <si>
    <t>Нидерланды/Великобритания</t>
  </si>
  <si>
    <t>Норвегия</t>
  </si>
  <si>
    <t>Бельгия</t>
  </si>
  <si>
    <t>Бермуды</t>
  </si>
  <si>
    <t>Гонконг/Китай</t>
  </si>
  <si>
    <t>Финляндия</t>
  </si>
  <si>
    <t>Дания</t>
  </si>
  <si>
    <t>Саудовская Аравия</t>
  </si>
  <si>
    <t>Люксембург</t>
  </si>
  <si>
    <t>Швеция</t>
  </si>
  <si>
    <t>Великобритания/Австралия</t>
  </si>
  <si>
    <t>Панама/Великобритания</t>
  </si>
  <si>
    <t>Мексика</t>
  </si>
  <si>
    <t>Индия</t>
  </si>
  <si>
    <t>Ирландия</t>
  </si>
  <si>
    <t>Южная Африка</t>
  </si>
  <si>
    <t>Турция</t>
  </si>
  <si>
    <t>Тайвань</t>
  </si>
  <si>
    <t>Сингапур</t>
  </si>
  <si>
    <t>Таиланд</t>
  </si>
  <si>
    <t>Великобритания/Нидерланды</t>
  </si>
  <si>
    <t>Португалия</t>
  </si>
  <si>
    <t>Греция</t>
  </si>
  <si>
    <t>Венгрия</t>
  </si>
  <si>
    <t>Чешская Республика</t>
  </si>
  <si>
    <t>Каймановы острова</t>
  </si>
  <si>
    <t>Малайзия</t>
  </si>
  <si>
    <t>Польша</t>
  </si>
  <si>
    <t>Израиль</t>
  </si>
  <si>
    <t>Либерия</t>
  </si>
  <si>
    <t>Иордания</t>
  </si>
  <si>
    <t>Индонезия</t>
  </si>
  <si>
    <t>Чили</t>
  </si>
  <si>
    <t>Исландия</t>
  </si>
  <si>
    <t>Новая Зеландия</t>
  </si>
  <si>
    <t>Великобритания/Южная Африка</t>
  </si>
  <si>
    <t>Пакистан</t>
  </si>
  <si>
    <t>Египет</t>
  </si>
  <si>
    <t>Филиппины</t>
  </si>
  <si>
    <t>Колумбия</t>
  </si>
  <si>
    <t>Багамы</t>
  </si>
  <si>
    <t>Марокко</t>
  </si>
  <si>
    <t>Венесуэла</t>
  </si>
  <si>
    <t>Франция/Великобритания</t>
  </si>
  <si>
    <t>Количество банков</t>
  </si>
  <si>
    <t>Общий доход данных банков</t>
  </si>
  <si>
    <t>Доля</t>
  </si>
  <si>
    <t>Названия строк</t>
  </si>
  <si>
    <t>Общий итог</t>
  </si>
  <si>
    <t>Среднее по полю Продажи (млрд $)</t>
  </si>
  <si>
    <t>налог</t>
  </si>
  <si>
    <t>Налог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</si>
</sst>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&quot;$&quot;#,##0.00"/>
    <numFmt numFmtId="173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164" fontId="2" fillId="0" borderId="3" xfId="0" applyNumberFormat="1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164" fontId="2" fillId="3" borderId="6" xfId="0" applyNumberFormat="1" applyFont="1" applyFill="1" applyBorder="1"/>
    <xf numFmtId="0" fontId="2" fillId="0" borderId="4" xfId="0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3" borderId="1" xfId="0" applyFont="1" applyFill="1" applyBorder="1"/>
    <xf numFmtId="0" fontId="2" fillId="3" borderId="2" xfId="0" applyFont="1" applyFill="1" applyBorder="1"/>
    <xf numFmtId="164" fontId="2" fillId="3" borderId="3" xfId="0" applyNumberFormat="1" applyFont="1" applyFill="1" applyBorder="1"/>
    <xf numFmtId="0" fontId="1" fillId="2" borderId="0" xfId="0" applyFont="1" applyFill="1" applyBorder="1"/>
    <xf numFmtId="0" fontId="0" fillId="4" borderId="0" xfId="0" applyFill="1"/>
    <xf numFmtId="0" fontId="5" fillId="5" borderId="0" xfId="0" applyFont="1" applyFill="1" applyBorder="1"/>
    <xf numFmtId="0" fontId="2" fillId="6" borderId="0" xfId="0" applyFont="1" applyFill="1" applyBorder="1"/>
    <xf numFmtId="164" fontId="2" fillId="4" borderId="6" xfId="0" applyNumberFormat="1" applyFont="1" applyFill="1" applyBorder="1"/>
    <xf numFmtId="10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9" fontId="0" fillId="4" borderId="0" xfId="0" applyNumberFormat="1" applyFill="1"/>
    <xf numFmtId="173" fontId="4" fillId="0" borderId="0" xfId="1" applyNumberFormat="1" applyFont="1"/>
    <xf numFmtId="2" fontId="4" fillId="4" borderId="0" xfId="0" applyNumberFormat="1" applyFont="1" applyFill="1"/>
  </cellXfs>
  <cellStyles count="2">
    <cellStyle name="Денежный" xfId="1" builtinId="4"/>
    <cellStyle name="Обычный" xfId="0" builtinId="0"/>
  </cellStyles>
  <dxfs count="12">
    <dxf>
      <numFmt numFmtId="2" formatCode="0.00"/>
    </dxf>
    <dxf>
      <numFmt numFmtId="2" formatCode="0.00"/>
    </dxf>
    <dxf>
      <numFmt numFmtId="171" formatCode="0.000"/>
    </dxf>
    <dxf>
      <numFmt numFmtId="171" formatCode="0.000"/>
    </dxf>
    <dxf>
      <numFmt numFmtId="170" formatCode="0.0000"/>
    </dxf>
    <dxf>
      <numFmt numFmtId="170" formatCode="0.0000"/>
    </dxf>
    <dxf>
      <numFmt numFmtId="169" formatCode="0.00000"/>
    </dxf>
    <dxf>
      <numFmt numFmtId="169" formatCode="0.00000"/>
    </dxf>
    <dxf>
      <numFmt numFmtId="168" formatCode="0.000000"/>
    </dxf>
    <dxf>
      <numFmt numFmtId="168" formatCode="0.000000"/>
    </dxf>
    <dxf>
      <numFmt numFmtId="167" formatCode="0.0000000"/>
    </dxf>
    <dxf>
      <numFmt numFmtId="167" formatCode="0.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№1'!$J$17</c:f>
              <c:strCache>
                <c:ptCount val="1"/>
                <c:pt idx="0">
                  <c:v>Продажи (млрд 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'Задание №1'!$G$18:$I$2018</c15:sqref>
                  </c15:fullRef>
                  <c15:levelRef>
                    <c15:sqref>'Задание №1'!$G$18:$G$2018</c15:sqref>
                  </c15:levelRef>
                </c:ext>
              </c:extLst>
              <c:f>'Задание №1'!$G$18:$G$2018</c:f>
              <c:strCache>
                <c:ptCount val="28"/>
                <c:pt idx="0">
                  <c:v>Citigroup</c:v>
                </c:pt>
                <c:pt idx="1">
                  <c:v>Bank of America</c:v>
                </c:pt>
                <c:pt idx="2">
                  <c:v>HSBC Group</c:v>
                </c:pt>
                <c:pt idx="3">
                  <c:v>JPMorgan Chase</c:v>
                </c:pt>
                <c:pt idx="4">
                  <c:v>Royal Bank of Scotland</c:v>
                </c:pt>
                <c:pt idx="5">
                  <c:v>BNP Paribas</c:v>
                </c:pt>
                <c:pt idx="6">
                  <c:v>Banco Santander</c:v>
                </c:pt>
                <c:pt idx="7">
                  <c:v>Barclays</c:v>
                </c:pt>
                <c:pt idx="8">
                  <c:v>HBOS</c:v>
                </c:pt>
                <c:pt idx="9">
                  <c:v>Wells Fargo</c:v>
                </c:pt>
                <c:pt idx="10">
                  <c:v>Wachovia</c:v>
                </c:pt>
                <c:pt idx="11">
                  <c:v>ABN-Amro Holding</c:v>
                </c:pt>
                <c:pt idx="12">
                  <c:v>Société Générale Group</c:v>
                </c:pt>
                <c:pt idx="13">
                  <c:v>Mizuho Financial</c:v>
                </c:pt>
                <c:pt idx="14">
                  <c:v>Crédit Agricole</c:v>
                </c:pt>
                <c:pt idx="15">
                  <c:v>Lloyds TSB Group</c:v>
                </c:pt>
                <c:pt idx="16">
                  <c:v>BBVA-Banco Bilbao Vizcaya</c:v>
                </c:pt>
                <c:pt idx="17">
                  <c:v>Mitsubishi UFJ Finl</c:v>
                </c:pt>
                <c:pt idx="18">
                  <c:v>Royal Bank of Canada</c:v>
                </c:pt>
                <c:pt idx="19">
                  <c:v>UniCredit</c:v>
                </c:pt>
                <c:pt idx="20">
                  <c:v>Natl Australia Bank</c:v>
                </c:pt>
                <c:pt idx="21">
                  <c:v>Washington Mutual</c:v>
                </c:pt>
                <c:pt idx="22">
                  <c:v>KBC Group</c:v>
                </c:pt>
                <c:pt idx="23">
                  <c:v>Dexia</c:v>
                </c:pt>
                <c:pt idx="24">
                  <c:v>Danske Bank Group</c:v>
                </c:pt>
                <c:pt idx="25">
                  <c:v>Commerzbank</c:v>
                </c:pt>
                <c:pt idx="26">
                  <c:v>Sumitomo Mitsui Financial</c:v>
                </c:pt>
              </c:strCache>
            </c:strRef>
          </c:cat>
          <c:val>
            <c:numRef>
              <c:f>'Задание №1'!$J$18:$J$2018</c:f>
              <c:numCache>
                <c:formatCode>"$"#\ ##0.00</c:formatCode>
                <c:ptCount val="28"/>
                <c:pt idx="0">
                  <c:v>120.32</c:v>
                </c:pt>
                <c:pt idx="1">
                  <c:v>85.39</c:v>
                </c:pt>
                <c:pt idx="2">
                  <c:v>76.38</c:v>
                </c:pt>
                <c:pt idx="3">
                  <c:v>79.900000000000006</c:v>
                </c:pt>
                <c:pt idx="4">
                  <c:v>55.05</c:v>
                </c:pt>
                <c:pt idx="5">
                  <c:v>60.9</c:v>
                </c:pt>
                <c:pt idx="6">
                  <c:v>44.81</c:v>
                </c:pt>
                <c:pt idx="7">
                  <c:v>47.87</c:v>
                </c:pt>
                <c:pt idx="8">
                  <c:v>51.74</c:v>
                </c:pt>
                <c:pt idx="9">
                  <c:v>40.409999999999997</c:v>
                </c:pt>
                <c:pt idx="10">
                  <c:v>35.909999999999997</c:v>
                </c:pt>
                <c:pt idx="11">
                  <c:v>50.03</c:v>
                </c:pt>
                <c:pt idx="12">
                  <c:v>49.68</c:v>
                </c:pt>
                <c:pt idx="13">
                  <c:v>27.96</c:v>
                </c:pt>
                <c:pt idx="14">
                  <c:v>81.099999999999994</c:v>
                </c:pt>
                <c:pt idx="15">
                  <c:v>52.38</c:v>
                </c:pt>
                <c:pt idx="16">
                  <c:v>28.21</c:v>
                </c:pt>
                <c:pt idx="17">
                  <c:v>23.5</c:v>
                </c:pt>
                <c:pt idx="18">
                  <c:v>24.96</c:v>
                </c:pt>
                <c:pt idx="19">
                  <c:v>21.02</c:v>
                </c:pt>
                <c:pt idx="20">
                  <c:v>26.36</c:v>
                </c:pt>
                <c:pt idx="21">
                  <c:v>21.23</c:v>
                </c:pt>
                <c:pt idx="22">
                  <c:v>24.48</c:v>
                </c:pt>
                <c:pt idx="23">
                  <c:v>22.14</c:v>
                </c:pt>
                <c:pt idx="24">
                  <c:v>21.04</c:v>
                </c:pt>
                <c:pt idx="25">
                  <c:v>22.61</c:v>
                </c:pt>
                <c:pt idx="26">
                  <c:v>32.21</c:v>
                </c:pt>
                <c:pt idx="27">
                  <c:v>1227.5899999999999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9-4614-8959-C4159C3DE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2861040"/>
        <c:axId val="2072860208"/>
      </c:barChart>
      <c:lineChart>
        <c:grouping val="standard"/>
        <c:varyColors val="0"/>
        <c:ser>
          <c:idx val="1"/>
          <c:order val="1"/>
          <c:tx>
            <c:strRef>
              <c:f>'Задание №1'!$K$17</c:f>
              <c:strCache>
                <c:ptCount val="1"/>
                <c:pt idx="0">
                  <c:v>Доля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'Задание №1'!$G$18:$I$2018</c15:sqref>
                  </c15:fullRef>
                  <c15:levelRef>
                    <c15:sqref>'Задание №1'!$G$18:$G$2018</c15:sqref>
                  </c15:levelRef>
                </c:ext>
              </c:extLst>
              <c:f>'Задание №1'!$G$18:$G$2018</c:f>
              <c:strCache>
                <c:ptCount val="28"/>
                <c:pt idx="0">
                  <c:v>Citigroup</c:v>
                </c:pt>
                <c:pt idx="1">
                  <c:v>Bank of America</c:v>
                </c:pt>
                <c:pt idx="2">
                  <c:v>HSBC Group</c:v>
                </c:pt>
                <c:pt idx="3">
                  <c:v>JPMorgan Chase</c:v>
                </c:pt>
                <c:pt idx="4">
                  <c:v>Royal Bank of Scotland</c:v>
                </c:pt>
                <c:pt idx="5">
                  <c:v>BNP Paribas</c:v>
                </c:pt>
                <c:pt idx="6">
                  <c:v>Banco Santander</c:v>
                </c:pt>
                <c:pt idx="7">
                  <c:v>Barclays</c:v>
                </c:pt>
                <c:pt idx="8">
                  <c:v>HBOS</c:v>
                </c:pt>
                <c:pt idx="9">
                  <c:v>Wells Fargo</c:v>
                </c:pt>
                <c:pt idx="10">
                  <c:v>Wachovia</c:v>
                </c:pt>
                <c:pt idx="11">
                  <c:v>ABN-Amro Holding</c:v>
                </c:pt>
                <c:pt idx="12">
                  <c:v>Société Générale Group</c:v>
                </c:pt>
                <c:pt idx="13">
                  <c:v>Mizuho Financial</c:v>
                </c:pt>
                <c:pt idx="14">
                  <c:v>Crédit Agricole</c:v>
                </c:pt>
                <c:pt idx="15">
                  <c:v>Lloyds TSB Group</c:v>
                </c:pt>
                <c:pt idx="16">
                  <c:v>BBVA-Banco Bilbao Vizcaya</c:v>
                </c:pt>
                <c:pt idx="17">
                  <c:v>Mitsubishi UFJ Finl</c:v>
                </c:pt>
                <c:pt idx="18">
                  <c:v>Royal Bank of Canada</c:v>
                </c:pt>
                <c:pt idx="19">
                  <c:v>UniCredit</c:v>
                </c:pt>
                <c:pt idx="20">
                  <c:v>Natl Australia Bank</c:v>
                </c:pt>
                <c:pt idx="21">
                  <c:v>Washington Mutual</c:v>
                </c:pt>
                <c:pt idx="22">
                  <c:v>KBC Group</c:v>
                </c:pt>
                <c:pt idx="23">
                  <c:v>Dexia</c:v>
                </c:pt>
                <c:pt idx="24">
                  <c:v>Danske Bank Group</c:v>
                </c:pt>
                <c:pt idx="25">
                  <c:v>Commerzbank</c:v>
                </c:pt>
                <c:pt idx="26">
                  <c:v>Sumitomo Mitsui Financial</c:v>
                </c:pt>
              </c:strCache>
            </c:strRef>
          </c:cat>
          <c:val>
            <c:numRef>
              <c:f>'Задание №1'!$K$18:$K$2018</c:f>
              <c:numCache>
                <c:formatCode>0.00%</c:formatCode>
                <c:ptCount val="28"/>
                <c:pt idx="0">
                  <c:v>9.8013180296353017E-2</c:v>
                </c:pt>
                <c:pt idx="1">
                  <c:v>6.9559054733257852E-2</c:v>
                </c:pt>
                <c:pt idx="2">
                  <c:v>6.2219470670174894E-2</c:v>
                </c:pt>
                <c:pt idx="3">
                  <c:v>6.5086877540546928E-2</c:v>
                </c:pt>
                <c:pt idx="4">
                  <c:v>4.4843962560789839E-2</c:v>
                </c:pt>
                <c:pt idx="5">
                  <c:v>4.960939727433427E-2</c:v>
                </c:pt>
                <c:pt idx="6">
                  <c:v>3.6502415301525759E-2</c:v>
                </c:pt>
                <c:pt idx="7">
                  <c:v>3.8995104228610529E-2</c:v>
                </c:pt>
                <c:pt idx="8">
                  <c:v>4.2147622577570688E-2</c:v>
                </c:pt>
                <c:pt idx="9">
                  <c:v>3.2918156713560714E-2</c:v>
                </c:pt>
                <c:pt idx="10">
                  <c:v>2.9252437703141929E-2</c:v>
                </c:pt>
                <c:pt idx="11">
                  <c:v>4.0754649353611554E-2</c:v>
                </c:pt>
                <c:pt idx="12">
                  <c:v>4.0469537875023422E-2</c:v>
                </c:pt>
                <c:pt idx="13">
                  <c:v>2.2776334118068738E-2</c:v>
                </c:pt>
                <c:pt idx="14">
                  <c:v>6.606440260999194E-2</c:v>
                </c:pt>
                <c:pt idx="15">
                  <c:v>4.2668969281274699E-2</c:v>
                </c:pt>
                <c:pt idx="16">
                  <c:v>2.2979985174203115E-2</c:v>
                </c:pt>
                <c:pt idx="17">
                  <c:v>1.914319927663145E-2</c:v>
                </c:pt>
                <c:pt idx="18">
                  <c:v>2.0332521444456214E-2</c:v>
                </c:pt>
                <c:pt idx="19">
                  <c:v>1.7122980799778427E-2</c:v>
                </c:pt>
                <c:pt idx="20">
                  <c:v>2.1472967358808725E-2</c:v>
                </c:pt>
                <c:pt idx="21">
                  <c:v>1.7294047686931307E-2</c:v>
                </c:pt>
                <c:pt idx="22">
                  <c:v>1.9941511416678208E-2</c:v>
                </c:pt>
                <c:pt idx="23">
                  <c:v>1.803533753126044E-2</c:v>
                </c:pt>
                <c:pt idx="24">
                  <c:v>1.7139272884269179E-2</c:v>
                </c:pt>
                <c:pt idx="25">
                  <c:v>1.8418201516793065E-2</c:v>
                </c:pt>
                <c:pt idx="26">
                  <c:v>2.6238402072353149E-2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E9-4614-8959-C4159C3DE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868944"/>
        <c:axId val="2072861456"/>
      </c:lineChart>
      <c:catAx>
        <c:axId val="207286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2860208"/>
        <c:crosses val="autoZero"/>
        <c:auto val="1"/>
        <c:lblAlgn val="ctr"/>
        <c:lblOffset val="100"/>
        <c:noMultiLvlLbl val="0"/>
      </c:catAx>
      <c:valAx>
        <c:axId val="207286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2861040"/>
        <c:crosses val="autoZero"/>
        <c:crossBetween val="between"/>
      </c:valAx>
      <c:valAx>
        <c:axId val="207286145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2868944"/>
        <c:crosses val="max"/>
        <c:crossBetween val="between"/>
      </c:valAx>
      <c:catAx>
        <c:axId val="2072868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728614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0</xdr:row>
      <xdr:rowOff>167640</xdr:rowOff>
    </xdr:from>
    <xdr:to>
      <xdr:col>7</xdr:col>
      <xdr:colOff>1599438</xdr:colOff>
      <xdr:row>13</xdr:row>
      <xdr:rowOff>167640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546369E-682B-4AFC-A813-DAD48B66B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" y="167640"/>
          <a:ext cx="5904738" cy="2377440"/>
        </a:xfrm>
        <a:prstGeom prst="rect">
          <a:avLst/>
        </a:prstGeom>
      </xdr:spPr>
    </xdr:pic>
    <xdr:clientData/>
  </xdr:twoCellAnchor>
  <xdr:twoCellAnchor>
    <xdr:from>
      <xdr:col>8</xdr:col>
      <xdr:colOff>259080</xdr:colOff>
      <xdr:row>0</xdr:row>
      <xdr:rowOff>0</xdr:rowOff>
    </xdr:from>
    <xdr:to>
      <xdr:col>11</xdr:col>
      <xdr:colOff>1127760</xdr:colOff>
      <xdr:row>15</xdr:row>
      <xdr:rowOff>60960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65A64AD-FDDE-4B28-8AF9-CA8512722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ндрей" refreshedDate="45078.544383217595" createdVersion="7" refreshedVersion="7" minRefreshableVersion="3" recordCount="1938" xr:uid="{5D624901-4027-47C6-A963-D8AA5A710926}">
  <cacheSource type="worksheet">
    <worksheetSource ref="G4:J1942" sheet="Задание №2.1"/>
  </cacheSource>
  <cacheFields count="4">
    <cacheField name="Компания" numFmtId="0">
      <sharedItems/>
    </cacheField>
    <cacheField name="Страна" numFmtId="0">
      <sharedItems count="61">
        <s v="Соединенные Штаты"/>
        <s v="Соединенное Королевство"/>
        <s v="Нидерланды"/>
        <s v="Швейцария"/>
        <s v="Япония"/>
        <s v="Франция"/>
        <s v="Испания"/>
        <s v="Германия"/>
        <s v="Италия"/>
        <s v="Южная Корея"/>
        <s v="Бразилия"/>
        <s v="Китай"/>
        <s v="Россия"/>
        <s v="Канада"/>
        <s v="Австралия"/>
        <s v="Нидерланды/Великобритания"/>
        <s v="Норвегия"/>
        <s v="Австралия/Великобритания"/>
        <s v="Бельгия"/>
        <s v="Бермуды"/>
        <s v="Гонконг/Китай"/>
        <s v="Финляндия"/>
        <s v="Дания"/>
        <s v="Саудовская Аравия"/>
        <s v="Люксембург"/>
        <s v="Швеция"/>
        <s v="Великобритания/Австралия"/>
        <s v="Панама/Великобритания"/>
        <s v="Мексика"/>
        <s v="Индия"/>
        <s v="Ирландия"/>
        <s v="Южная Африка"/>
        <s v="Австрия"/>
        <s v="Турция"/>
        <s v="Тайвань"/>
        <s v="Сингапур"/>
        <s v="Таиланд"/>
        <s v="Великобритания/Нидерланды"/>
        <s v="Португалия"/>
        <s v="Греция"/>
        <s v="Венгрия"/>
        <s v="Чешская Республика"/>
        <s v="Каймановы острова"/>
        <s v="Малайзия"/>
        <s v="Польша"/>
        <s v="Израиль"/>
        <s v="Либерия"/>
        <s v="Иордания"/>
        <s v="Индонезия"/>
        <s v="Чили"/>
        <s v="Исландия"/>
        <s v="Новая Зеландия"/>
        <s v="Великобритания/Южная Африка"/>
        <s v="Пакистан"/>
        <s v="Египет"/>
        <s v="Филиппины"/>
        <s v="Колумбия"/>
        <s v="Багамы"/>
        <s v="Марокко"/>
        <s v="Венесуэла"/>
        <s v="Франция/Великобритания"/>
      </sharedItems>
    </cacheField>
    <cacheField name="Отрасль" numFmtId="0">
      <sharedItems count="27">
        <s v="Банк"/>
        <s v="Конгломерат"/>
        <s v="Страхование"/>
        <s v="Невтегазовая пр-ть"/>
        <s v="Финансовые"/>
        <s v="Потребительские товары длительного пользования"/>
        <s v="Ритэйл"/>
        <s v="Товары для дома"/>
        <s v="Техническое обеспечение"/>
        <s v="Телекоммуникации"/>
        <s v="Еда, напитки и табак"/>
        <s v="Коммунальные услуги"/>
        <s v="Фармацевтика и медицина"/>
        <s v="Полупроводники"/>
        <s v="Программное обеспечение"/>
        <s v="Медиа"/>
        <s v="Авиация и Оборона"/>
        <s v="Перевозки"/>
        <s v="Сырье"/>
        <s v="Товары и услуги для здоровья"/>
        <s v="Химическая отрасль"/>
        <s v="Продукты питания"/>
        <s v="Торговые компании"/>
        <s v="Средства производства"/>
        <s v="Бизнес услуги и Ресурсы"/>
        <s v="Отели и рестораны"/>
        <s v="Строительство"/>
      </sharedItems>
    </cacheField>
    <cacheField name="Продажи (млрд $)" numFmtId="164">
      <sharedItems containsSemiMixedTypes="0" containsString="0" containsNumber="1" minValue="0.21" maxValue="328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8">
  <r>
    <s v="Citigroup"/>
    <x v="0"/>
    <x v="0"/>
    <n v="120.32"/>
  </r>
  <r>
    <s v="General Electric"/>
    <x v="0"/>
    <x v="1"/>
    <n v="149.69999999999999"/>
  </r>
  <r>
    <s v="Bank of America"/>
    <x v="0"/>
    <x v="0"/>
    <n v="85.39"/>
  </r>
  <r>
    <s v="American Intl Group"/>
    <x v="0"/>
    <x v="2"/>
    <n v="106.98"/>
  </r>
  <r>
    <s v="HSBC Group"/>
    <x v="1"/>
    <x v="0"/>
    <n v="76.38"/>
  </r>
  <r>
    <s v="ExxonMobil"/>
    <x v="0"/>
    <x v="3"/>
    <n v="328.21"/>
  </r>
  <r>
    <s v="Royal Dutch/Shell Group"/>
    <x v="2"/>
    <x v="3"/>
    <n v="306.73"/>
  </r>
  <r>
    <s v="BP"/>
    <x v="1"/>
    <x v="3"/>
    <n v="249.47"/>
  </r>
  <r>
    <s v="JPMorgan Chase"/>
    <x v="0"/>
    <x v="0"/>
    <n v="79.900000000000006"/>
  </r>
  <r>
    <s v="UBS"/>
    <x v="3"/>
    <x v="4"/>
    <n v="78.25"/>
  </r>
  <r>
    <s v="ING Group"/>
    <x v="2"/>
    <x v="4"/>
    <n v="137.11000000000001"/>
  </r>
  <r>
    <s v="Toyota Motor"/>
    <x v="4"/>
    <x v="5"/>
    <n v="173.09"/>
  </r>
  <r>
    <s v="Wal-Mart Stores"/>
    <x v="0"/>
    <x v="6"/>
    <n v="312.43"/>
  </r>
  <r>
    <s v="Royal Bank of Scotland"/>
    <x v="1"/>
    <x v="0"/>
    <n v="55.05"/>
  </r>
  <r>
    <s v="Total"/>
    <x v="5"/>
    <x v="3"/>
    <n v="144.94"/>
  </r>
  <r>
    <s v="Chevron"/>
    <x v="0"/>
    <x v="3"/>
    <n v="184.92"/>
  </r>
  <r>
    <s v="BNP Paribas"/>
    <x v="5"/>
    <x v="0"/>
    <n v="60.9"/>
  </r>
  <r>
    <s v="Berkshire Hathaway"/>
    <x v="0"/>
    <x v="4"/>
    <n v="76.33"/>
  </r>
  <r>
    <s v="Banco Santander"/>
    <x v="6"/>
    <x v="0"/>
    <n v="44.81"/>
  </r>
  <r>
    <s v="Barclays"/>
    <x v="1"/>
    <x v="0"/>
    <n v="47.87"/>
  </r>
  <r>
    <s v="Procter &amp; Gamble"/>
    <x v="0"/>
    <x v="7"/>
    <n v="61.68"/>
  </r>
  <r>
    <s v="ConocoPhillips"/>
    <x v="0"/>
    <x v="3"/>
    <n v="162.41"/>
  </r>
  <r>
    <s v="IBM"/>
    <x v="0"/>
    <x v="8"/>
    <n v="91.13"/>
  </r>
  <r>
    <s v="HBOS"/>
    <x v="1"/>
    <x v="0"/>
    <n v="51.74"/>
  </r>
  <r>
    <s v="Verizon Commun"/>
    <x v="0"/>
    <x v="9"/>
    <n v="75.11"/>
  </r>
  <r>
    <s v="Wells Fargo"/>
    <x v="0"/>
    <x v="0"/>
    <n v="40.409999999999997"/>
  </r>
  <r>
    <s v="Altria Group"/>
    <x v="0"/>
    <x v="10"/>
    <n v="68.92"/>
  </r>
  <r>
    <s v="AXA Group"/>
    <x v="5"/>
    <x v="2"/>
    <n v="115.2"/>
  </r>
  <r>
    <s v="Allianz Worldwide"/>
    <x v="7"/>
    <x v="2"/>
    <n v="124.41"/>
  </r>
  <r>
    <s v="Credit Suisse Group"/>
    <x v="3"/>
    <x v="4"/>
    <n v="68.31"/>
  </r>
  <r>
    <s v="ENI"/>
    <x v="8"/>
    <x v="3"/>
    <n v="83.09"/>
  </r>
  <r>
    <s v="Nippon Tel &amp; Tel"/>
    <x v="4"/>
    <x v="9"/>
    <n v="100.82"/>
  </r>
  <r>
    <s v="E.ON"/>
    <x v="7"/>
    <x v="11"/>
    <n v="66.67"/>
  </r>
  <r>
    <s v="Morgan Stanley"/>
    <x v="0"/>
    <x v="4"/>
    <n v="52.08"/>
  </r>
  <r>
    <s v="Pfizer"/>
    <x v="0"/>
    <x v="12"/>
    <n v="51.3"/>
  </r>
  <r>
    <s v="Merrill Lynch"/>
    <x v="0"/>
    <x v="4"/>
    <n v="47.78"/>
  </r>
  <r>
    <s v="Fannie Mae"/>
    <x v="0"/>
    <x v="4"/>
    <n v="52.46"/>
  </r>
  <r>
    <s v="Fortis"/>
    <x v="2"/>
    <x v="4"/>
    <n v="81.48"/>
  </r>
  <r>
    <s v="Deutsche Telekom"/>
    <x v="7"/>
    <x v="9"/>
    <n v="78.53"/>
  </r>
  <r>
    <s v="Wachovia"/>
    <x v="0"/>
    <x v="0"/>
    <n v="35.909999999999997"/>
  </r>
  <r>
    <s v="ABN-Amro Holding"/>
    <x v="2"/>
    <x v="0"/>
    <n v="50.03"/>
  </r>
  <r>
    <s v="Goldman Sachs Group"/>
    <x v="0"/>
    <x v="4"/>
    <n v="43.39"/>
  </r>
  <r>
    <s v="Société Générale Group"/>
    <x v="5"/>
    <x v="0"/>
    <n v="49.68"/>
  </r>
  <r>
    <s v="Mizuho Financial"/>
    <x v="4"/>
    <x v="0"/>
    <n v="27.96"/>
  </r>
  <r>
    <s v="DaimlerChrysler"/>
    <x v="7"/>
    <x v="5"/>
    <n v="177.04"/>
  </r>
  <r>
    <s v="Crédit Agricole"/>
    <x v="5"/>
    <x v="0"/>
    <n v="81.099999999999994"/>
  </r>
  <r>
    <s v="Lloyds TSB Group"/>
    <x v="1"/>
    <x v="0"/>
    <n v="52.38"/>
  </r>
  <r>
    <s v="Samsung Electronics"/>
    <x v="9"/>
    <x v="13"/>
    <n v="79.180000000000007"/>
  </r>
  <r>
    <s v="AT&amp;T"/>
    <x v="0"/>
    <x v="9"/>
    <n v="43.86"/>
  </r>
  <r>
    <s v="Nestlé"/>
    <x v="3"/>
    <x v="10"/>
    <n v="76.11"/>
  </r>
  <r>
    <s v="Petrobras-Petróleo Brasil"/>
    <x v="10"/>
    <x v="3"/>
    <n v="58.43"/>
  </r>
  <r>
    <s v="PetroChina"/>
    <x v="11"/>
    <x v="3"/>
    <n v="46.95"/>
  </r>
  <r>
    <s v="Gazprom"/>
    <x v="12"/>
    <x v="3"/>
    <n v="36.47"/>
  </r>
  <r>
    <s v="France Telecom"/>
    <x v="5"/>
    <x v="9"/>
    <n v="57.96"/>
  </r>
  <r>
    <s v="Microsoft"/>
    <x v="0"/>
    <x v="14"/>
    <n v="41.36"/>
  </r>
  <r>
    <s v="Deutsche Bank Group"/>
    <x v="7"/>
    <x v="4"/>
    <n v="29.82"/>
  </r>
  <r>
    <s v="Johnson &amp; Johnson"/>
    <x v="0"/>
    <x v="12"/>
    <n v="50.51"/>
  </r>
  <r>
    <s v="BBVA-Banco Bilbao Vizcaya"/>
    <x v="6"/>
    <x v="0"/>
    <n v="28.21"/>
  </r>
  <r>
    <s v="Sanofi-aventis"/>
    <x v="5"/>
    <x v="12"/>
    <n v="32.28"/>
  </r>
  <r>
    <s v="MetLife"/>
    <x v="0"/>
    <x v="2"/>
    <n v="44.78"/>
  </r>
  <r>
    <s v="Siemens Group"/>
    <x v="7"/>
    <x v="1"/>
    <n v="90.68"/>
  </r>
  <r>
    <s v="Mitsubishi UFJ Finl"/>
    <x v="4"/>
    <x v="0"/>
    <n v="23.5"/>
  </r>
  <r>
    <s v="Honda Motor"/>
    <x v="4"/>
    <x v="5"/>
    <n v="80.709999999999994"/>
  </r>
  <r>
    <s v="Electricité de France"/>
    <x v="5"/>
    <x v="11"/>
    <n v="63.68"/>
  </r>
  <r>
    <s v="China Construction Bk"/>
    <x v="11"/>
    <x v="0"/>
    <n v="19.399999999999999"/>
  </r>
  <r>
    <s v="Nissan Motor"/>
    <x v="4"/>
    <x v="5"/>
    <n v="80.02"/>
  </r>
  <r>
    <s v="Hewlett-Packard"/>
    <x v="0"/>
    <x v="8"/>
    <n v="87.9"/>
  </r>
  <r>
    <s v="Time Warner"/>
    <x v="0"/>
    <x v="15"/>
    <n v="43.65"/>
  </r>
  <r>
    <s v="Generali Group"/>
    <x v="8"/>
    <x v="2"/>
    <n v="88.95"/>
  </r>
  <r>
    <s v="Zurich Financial Services"/>
    <x v="3"/>
    <x v="2"/>
    <n v="64.930000000000007"/>
  </r>
  <r>
    <s v="Home Depot"/>
    <x v="0"/>
    <x v="6"/>
    <n v="81.510000000000005"/>
  </r>
  <r>
    <s v="RWE Group"/>
    <x v="7"/>
    <x v="11"/>
    <n v="55.63"/>
  </r>
  <r>
    <s v="Prudential Financial"/>
    <x v="0"/>
    <x v="2"/>
    <n v="31.71"/>
  </r>
  <r>
    <s v="Intel"/>
    <x v="0"/>
    <x v="13"/>
    <n v="38.83"/>
  </r>
  <r>
    <s v="Lehman Bros Holdings"/>
    <x v="0"/>
    <x v="4"/>
    <n v="32.42"/>
  </r>
  <r>
    <s v="Telefónica"/>
    <x v="6"/>
    <x v="9"/>
    <n v="41.14"/>
  </r>
  <r>
    <s v="China Pet &amp; Chem (Sinopec)"/>
    <x v="11"/>
    <x v="3"/>
    <n v="70.319999999999993"/>
  </r>
  <r>
    <s v="Aviva"/>
    <x v="1"/>
    <x v="2"/>
    <n v="75.61"/>
  </r>
  <r>
    <s v="ENEL"/>
    <x v="8"/>
    <x v="11"/>
    <n v="46.58"/>
  </r>
  <r>
    <s v="Munich Re"/>
    <x v="7"/>
    <x v="2"/>
    <n v="62.06"/>
  </r>
  <r>
    <s v="Telecom Italia"/>
    <x v="8"/>
    <x v="9"/>
    <n v="37.18"/>
  </r>
  <r>
    <s v="GlaxoSmithKline"/>
    <x v="1"/>
    <x v="12"/>
    <n v="37.22"/>
  </r>
  <r>
    <s v="Novartis Group"/>
    <x v="3"/>
    <x v="12"/>
    <n v="30.58"/>
  </r>
  <r>
    <s v="Bombardier"/>
    <x v="13"/>
    <x v="16"/>
    <n v="16.41"/>
  </r>
  <r>
    <s v="UniCredit"/>
    <x v="8"/>
    <x v="0"/>
    <n v="21.02"/>
  </r>
  <r>
    <s v="Natl Australia Bank"/>
    <x v="14"/>
    <x v="0"/>
    <n v="26.36"/>
  </r>
  <r>
    <s v="Unilever"/>
    <x v="15"/>
    <x v="10"/>
    <n v="49.35"/>
  </r>
  <r>
    <s v="American Express"/>
    <x v="0"/>
    <x v="4"/>
    <n v="24.27"/>
  </r>
  <r>
    <s v="Deutsche Post"/>
    <x v="7"/>
    <x v="17"/>
    <n v="58.58"/>
  </r>
  <r>
    <s v="Suez Group"/>
    <x v="5"/>
    <x v="11"/>
    <n v="55.28"/>
  </r>
  <r>
    <s v="BMW-Bayerische Motor"/>
    <x v="7"/>
    <x v="5"/>
    <n v="60.16"/>
  </r>
  <r>
    <s v="Washington Mutual"/>
    <x v="0"/>
    <x v="0"/>
    <n v="21.23"/>
  </r>
  <r>
    <s v="Boeing"/>
    <x v="0"/>
    <x v="16"/>
    <n v="54.85"/>
  </r>
  <r>
    <s v="Royal Bank of Canada"/>
    <x v="13"/>
    <x v="0"/>
    <n v="24.96"/>
  </r>
  <r>
    <s v="Renault Group"/>
    <x v="5"/>
    <x v="5"/>
    <n v="55.24"/>
  </r>
  <r>
    <s v="Statoil Group"/>
    <x v="16"/>
    <x v="3"/>
    <n v="57.81"/>
  </r>
  <r>
    <s v="Roche Group"/>
    <x v="3"/>
    <x v="12"/>
    <n v="26.96"/>
  </r>
  <r>
    <s v="Aegon"/>
    <x v="2"/>
    <x v="2"/>
    <n v="46.38"/>
  </r>
  <r>
    <s v="Tokyo Electric Power"/>
    <x v="4"/>
    <x v="11"/>
    <n v="47.09"/>
  </r>
  <r>
    <s v="Sprint Nextel"/>
    <x v="0"/>
    <x v="9"/>
    <n v="34.68"/>
  </r>
  <r>
    <s v="BHP Billiton"/>
    <x v="17"/>
    <x v="18"/>
    <n v="29.84"/>
  </r>
  <r>
    <s v="US Bancorp"/>
    <x v="0"/>
    <x v="0"/>
    <n v="16.600000000000001"/>
  </r>
  <r>
    <s v="UnitedHealth Group"/>
    <x v="0"/>
    <x v="19"/>
    <n v="45.37"/>
  </r>
  <r>
    <s v="KBC Group"/>
    <x v="18"/>
    <x v="0"/>
    <n v="24.48"/>
  </r>
  <r>
    <s v="Tyco International"/>
    <x v="19"/>
    <x v="1"/>
    <n v="39.369999999999997"/>
  </r>
  <r>
    <s v="Dow Chemical"/>
    <x v="0"/>
    <x v="20"/>
    <n v="46.31"/>
  </r>
  <r>
    <s v="Sony"/>
    <x v="4"/>
    <x v="8"/>
    <n v="66.8"/>
  </r>
  <r>
    <s v="United Technologies"/>
    <x v="0"/>
    <x v="1"/>
    <n v="42.73"/>
  </r>
  <r>
    <s v="United Parcel Service"/>
    <x v="0"/>
    <x v="17"/>
    <n v="42.58"/>
  </r>
  <r>
    <s v="Banca Intesa"/>
    <x v="8"/>
    <x v="0"/>
    <n v="19.809999999999999"/>
  </r>
  <r>
    <s v="Allstate"/>
    <x v="0"/>
    <x v="2"/>
    <n v="35.380000000000003"/>
  </r>
  <r>
    <s v="China Mobile (HK)"/>
    <x v="20"/>
    <x v="9"/>
    <n v="23.3"/>
  </r>
  <r>
    <s v="Commonwealth Bank"/>
    <x v="14"/>
    <x v="0"/>
    <n v="17.96"/>
  </r>
  <r>
    <s v="Volkswagen Group"/>
    <x v="7"/>
    <x v="5"/>
    <n v="112.61"/>
  </r>
  <r>
    <s v="WellPoint"/>
    <x v="0"/>
    <x v="19"/>
    <n v="45.14"/>
  </r>
  <r>
    <s v="Anglo American"/>
    <x v="1"/>
    <x v="18"/>
    <n v="27.89"/>
  </r>
  <r>
    <s v="Cisco Systems"/>
    <x v="0"/>
    <x v="8"/>
    <n v="25.95"/>
  </r>
  <r>
    <s v="Walt Disney"/>
    <x v="0"/>
    <x v="15"/>
    <n v="32.130000000000003"/>
  </r>
  <r>
    <s v="Carrefour"/>
    <x v="5"/>
    <x v="21"/>
    <n v="98.6"/>
  </r>
  <r>
    <s v="BASF Group"/>
    <x v="7"/>
    <x v="20"/>
    <n v="50.53"/>
  </r>
  <r>
    <s v="Dexia"/>
    <x v="18"/>
    <x v="0"/>
    <n v="22.14"/>
  </r>
  <r>
    <s v="Tesco"/>
    <x v="1"/>
    <x v="21"/>
    <n v="65.33"/>
  </r>
  <r>
    <s v="Merck &amp; Co"/>
    <x v="0"/>
    <x v="12"/>
    <n v="22.01"/>
  </r>
  <r>
    <s v="Motorola"/>
    <x v="0"/>
    <x v="8"/>
    <n v="36.840000000000003"/>
  </r>
  <r>
    <s v="Hartford Finl Service"/>
    <x v="0"/>
    <x v="2"/>
    <n v="27.08"/>
  </r>
  <r>
    <s v="Mitsubishi"/>
    <x v="4"/>
    <x v="22"/>
    <n v="38.75"/>
  </r>
  <r>
    <s v="Caterpillar"/>
    <x v="0"/>
    <x v="23"/>
    <n v="36.340000000000003"/>
  </r>
  <r>
    <s v="PepsiCo"/>
    <x v="0"/>
    <x v="10"/>
    <n v="32.56"/>
  </r>
  <r>
    <s v="Repsol-YPF"/>
    <x v="6"/>
    <x v="3"/>
    <n v="47.64"/>
  </r>
  <r>
    <s v="News Corp"/>
    <x v="0"/>
    <x v="15"/>
    <n v="24.5"/>
  </r>
  <r>
    <s v="BellSouth"/>
    <x v="0"/>
    <x v="9"/>
    <n v="20.55"/>
  </r>
  <r>
    <s v="Valero Energy"/>
    <x v="0"/>
    <x v="3"/>
    <n v="82.16"/>
  </r>
  <r>
    <s v="Ford Motor"/>
    <x v="0"/>
    <x v="5"/>
    <n v="178.1"/>
  </r>
  <r>
    <s v="Bank of Nova Scotia"/>
    <x v="13"/>
    <x v="0"/>
    <n v="15.56"/>
  </r>
  <r>
    <s v="Philips Group"/>
    <x v="2"/>
    <x v="1"/>
    <n v="35.93"/>
  </r>
  <r>
    <s v="BT Group"/>
    <x v="1"/>
    <x v="9"/>
    <n v="35.200000000000003"/>
  </r>
  <r>
    <s v="Swiss Re Group"/>
    <x v="3"/>
    <x v="2"/>
    <n v="31.68"/>
  </r>
  <r>
    <s v="Target"/>
    <x v="0"/>
    <x v="6"/>
    <n v="52.62"/>
  </r>
  <r>
    <s v="Lukoil Holding"/>
    <x v="12"/>
    <x v="3"/>
    <n v="35.08"/>
  </r>
  <r>
    <s v="Canon"/>
    <x v="4"/>
    <x v="24"/>
    <n v="31.8"/>
  </r>
  <r>
    <s v="Endesa Group"/>
    <x v="6"/>
    <x v="11"/>
    <n v="20.69"/>
  </r>
  <r>
    <s v="Nokia"/>
    <x v="21"/>
    <x v="8"/>
    <n v="40.409999999999997"/>
  </r>
  <r>
    <s v="Toronto-Dominion Bank"/>
    <x v="13"/>
    <x v="0"/>
    <n v="15.84"/>
  </r>
  <r>
    <s v="Coca-Cola"/>
    <x v="0"/>
    <x v="10"/>
    <n v="23.1"/>
  </r>
  <r>
    <s v="Mxller-Maersk"/>
    <x v="22"/>
    <x v="17"/>
    <n v="30.27"/>
  </r>
  <r>
    <s v="ANZ Банк"/>
    <x v="14"/>
    <x v="0"/>
    <n v="15.87"/>
  </r>
  <r>
    <s v="Dell"/>
    <x v="0"/>
    <x v="8"/>
    <n v="55.91"/>
  </r>
  <r>
    <s v="Saudi Basic Inds"/>
    <x v="23"/>
    <x v="20"/>
    <n v="18.27"/>
  </r>
  <r>
    <s v="Danske Bank Group"/>
    <x v="22"/>
    <x v="0"/>
    <n v="21.04"/>
  </r>
  <r>
    <s v="St Paul Travelers"/>
    <x v="0"/>
    <x v="2"/>
    <n v="24.37"/>
  </r>
  <r>
    <s v="Korea Electric Power"/>
    <x v="9"/>
    <x v="11"/>
    <n v="23.14"/>
  </r>
  <r>
    <s v="EADS"/>
    <x v="2"/>
    <x v="16"/>
    <n v="43.09"/>
  </r>
  <r>
    <s v="Sanpaolo IMI"/>
    <x v="8"/>
    <x v="0"/>
    <n v="15.98"/>
  </r>
  <r>
    <s v="Wyeth"/>
    <x v="0"/>
    <x v="12"/>
    <n v="18.760000000000002"/>
  </r>
  <r>
    <s v="Arcelor"/>
    <x v="24"/>
    <x v="18"/>
    <n v="39.01"/>
  </r>
  <r>
    <s v="Hutchison Whampoa"/>
    <x v="20"/>
    <x v="1"/>
    <n v="17.32"/>
  </r>
  <r>
    <s v="Nordea Bank"/>
    <x v="25"/>
    <x v="0"/>
    <n v="13.7"/>
  </r>
  <r>
    <s v="Commerzbank"/>
    <x v="7"/>
    <x v="0"/>
    <n v="22.61"/>
  </r>
  <r>
    <s v="Rio Tinto"/>
    <x v="26"/>
    <x v="18"/>
    <n v="18.34"/>
  </r>
  <r>
    <s v="Abbott Laboratories"/>
    <x v="0"/>
    <x v="12"/>
    <n v="22.34"/>
  </r>
  <r>
    <s v="Westpac Банк Group"/>
    <x v="14"/>
    <x v="0"/>
    <n v="14.23"/>
  </r>
  <r>
    <s v="China Telecom"/>
    <x v="11"/>
    <x v="9"/>
    <n v="19.47"/>
  </r>
  <r>
    <s v="Countrywide Financial"/>
    <x v="0"/>
    <x v="4"/>
    <n v="18.54"/>
  </r>
  <r>
    <s v="Lowe's Cos"/>
    <x v="0"/>
    <x v="6"/>
    <n v="43.24"/>
  </r>
  <r>
    <s v="Bank of Montreal"/>
    <x v="13"/>
    <x v="0"/>
    <n v="12.78"/>
  </r>
  <r>
    <s v="Prudential"/>
    <x v="1"/>
    <x v="2"/>
    <n v="49.15"/>
  </r>
  <r>
    <s v="AstraZeneca"/>
    <x v="1"/>
    <x v="12"/>
    <n v="22.69"/>
  </r>
  <r>
    <s v="Comcast"/>
    <x v="0"/>
    <x v="15"/>
    <n v="22.26"/>
  </r>
  <r>
    <s v="Canadian Imperial Bank"/>
    <x v="13"/>
    <x v="0"/>
    <n v="15.84"/>
  </r>
  <r>
    <s v="Hyundai Motor"/>
    <x v="9"/>
    <x v="5"/>
    <n v="51.3"/>
  </r>
  <r>
    <s v="EI du Pont de Nemours"/>
    <x v="0"/>
    <x v="20"/>
    <n v="28.49"/>
  </r>
  <r>
    <s v="Resona Holdings"/>
    <x v="4"/>
    <x v="0"/>
    <n v="9.39"/>
  </r>
  <r>
    <s v="Nippon Steel"/>
    <x v="4"/>
    <x v="18"/>
    <n v="31.62"/>
  </r>
  <r>
    <s v="British Amer Tobacco"/>
    <x v="1"/>
    <x v="10"/>
    <n v="20.66"/>
  </r>
  <r>
    <s v="Marathon Oil"/>
    <x v="0"/>
    <x v="3"/>
    <n v="44.46"/>
  </r>
  <r>
    <s v="Banco do Brasil"/>
    <x v="10"/>
    <x v="0"/>
    <n v="19.38"/>
  </r>
  <r>
    <s v="Gaz de France"/>
    <x v="5"/>
    <x v="11"/>
    <n v="24.6"/>
  </r>
  <r>
    <s v="Norsk Hydro"/>
    <x v="16"/>
    <x v="1"/>
    <n v="25.79"/>
  </r>
  <r>
    <s v="McDonald's"/>
    <x v="0"/>
    <x v="25"/>
    <n v="20.46"/>
  </r>
  <r>
    <s v="Vivendi Universal"/>
    <x v="5"/>
    <x v="15"/>
    <n v="29.07"/>
  </r>
  <r>
    <s v="Saint-Gobain"/>
    <x v="5"/>
    <x v="26"/>
    <n v="43.45"/>
  </r>
  <r>
    <s v="Lockheed Martin"/>
    <x v="0"/>
    <x v="16"/>
    <n v="37.21"/>
  </r>
  <r>
    <s v="Aetna"/>
    <x v="0"/>
    <x v="19"/>
    <n v="22.49"/>
  </r>
  <r>
    <s v="Honeywell"/>
    <x v="0"/>
    <x v="1"/>
    <n v="27.65"/>
  </r>
  <r>
    <s v="Old Mutual"/>
    <x v="1"/>
    <x v="4"/>
    <n v="24.97"/>
  </r>
  <r>
    <s v="Mittal Steel"/>
    <x v="2"/>
    <x v="18"/>
    <n v="26.86"/>
  </r>
  <r>
    <s v="Banco Bradesco"/>
    <x v="10"/>
    <x v="0"/>
    <n v="17.38"/>
  </r>
  <r>
    <s v="Mitsui &amp; Co"/>
    <x v="4"/>
    <x v="22"/>
    <n v="32.9"/>
  </r>
  <r>
    <s v="National Bank of Canada"/>
    <x v="13"/>
    <x v="0"/>
    <n v="4.5199999999999996"/>
  </r>
  <r>
    <s v="Duke Energy"/>
    <x v="0"/>
    <x v="11"/>
    <n v="16.75"/>
  </r>
  <r>
    <s v="LM Ericsson"/>
    <x v="25"/>
    <x v="8"/>
    <n v="19.079999999999998"/>
  </r>
  <r>
    <s v="Bristol-Myers Squibb"/>
    <x v="0"/>
    <x v="12"/>
    <n v="19.21"/>
  </r>
  <r>
    <s v="Amgen"/>
    <x v="0"/>
    <x v="12"/>
    <n v="12.43"/>
  </r>
  <r>
    <s v="East Japan Railway"/>
    <x v="4"/>
    <x v="17"/>
    <n v="23.67"/>
  </r>
  <r>
    <s v="Telstra"/>
    <x v="14"/>
    <x v="9"/>
    <n v="16.87"/>
  </r>
  <r>
    <s v="SunTrust Banks"/>
    <x v="0"/>
    <x v="0"/>
    <n v="10.88"/>
  </r>
  <r>
    <s v="Legal &amp; General Group"/>
    <x v="1"/>
    <x v="2"/>
    <n v="52.53"/>
  </r>
  <r>
    <s v="3M"/>
    <x v="0"/>
    <x v="1"/>
    <n v="21.17"/>
  </r>
  <r>
    <s v="National Grid"/>
    <x v="1"/>
    <x v="11"/>
    <n v="16.11"/>
  </r>
  <r>
    <s v="Freddie Mac"/>
    <x v="0"/>
    <x v="4"/>
    <n v="31.02"/>
  </r>
  <r>
    <s v="Matsushita Electric Indl"/>
    <x v="4"/>
    <x v="5"/>
    <n v="81.3"/>
  </r>
  <r>
    <s v="Bayer Group"/>
    <x v="7"/>
    <x v="20"/>
    <n v="40.380000000000003"/>
  </r>
  <r>
    <s v="Capital One Financial"/>
    <x v="0"/>
    <x v="4"/>
    <n v="12.08"/>
  </r>
  <r>
    <s v="Peugeot Groupe"/>
    <x v="5"/>
    <x v="5"/>
    <n v="66.510000000000005"/>
  </r>
  <r>
    <s v="UES of Russia"/>
    <x v="12"/>
    <x v="11"/>
    <n v="24.52"/>
  </r>
  <r>
    <s v="Occidental Petroleum"/>
    <x v="0"/>
    <x v="3"/>
    <n v="15.02"/>
  </r>
  <r>
    <s v="Millea Holdings"/>
    <x v="4"/>
    <x v="2"/>
    <n v="26.61"/>
  </r>
  <r>
    <s v="Cardinal Health"/>
    <x v="0"/>
    <x v="19"/>
    <n v="77.849999999999994"/>
  </r>
  <r>
    <s v="L'Oréal Group"/>
    <x v="5"/>
    <x v="7"/>
    <n v="17.18"/>
  </r>
  <r>
    <s v="Northrop Grumman"/>
    <x v="0"/>
    <x v="16"/>
    <n v="30.72"/>
  </r>
  <r>
    <s v="National City"/>
    <x v="0"/>
    <x v="0"/>
    <n v="11.04"/>
  </r>
  <r>
    <s v="Alcoa"/>
    <x v="0"/>
    <x v="18"/>
    <n v="26.16"/>
  </r>
  <r>
    <s v="Metro AG"/>
    <x v="7"/>
    <x v="21"/>
    <n v="76.540000000000006"/>
  </r>
  <r>
    <s v="JFE Holdings"/>
    <x v="4"/>
    <x v="18"/>
    <n v="26.16"/>
  </r>
  <r>
    <s v="Eli Lilly &amp; Co"/>
    <x v="0"/>
    <x v="12"/>
    <n v="14.65"/>
  </r>
  <r>
    <s v="Posco"/>
    <x v="9"/>
    <x v="18"/>
    <n v="23.16"/>
  </r>
  <r>
    <s v="Volvo Group"/>
    <x v="25"/>
    <x v="23"/>
    <n v="30.23"/>
  </r>
  <r>
    <s v="Aflac"/>
    <x v="0"/>
    <x v="2"/>
    <n v="14.36"/>
  </r>
  <r>
    <s v="Dominion Resources"/>
    <x v="0"/>
    <x v="11"/>
    <n v="18.04"/>
  </r>
  <r>
    <s v="FedEx"/>
    <x v="0"/>
    <x v="17"/>
    <n v="30.85"/>
  </r>
  <r>
    <s v="Loews"/>
    <x v="0"/>
    <x v="2"/>
    <n v="16.02"/>
  </r>
  <r>
    <s v="Denso"/>
    <x v="4"/>
    <x v="5"/>
    <n v="26.12"/>
  </r>
  <r>
    <s v="CNP Assurances"/>
    <x v="5"/>
    <x v="2"/>
    <n v="38.130000000000003"/>
  </r>
  <r>
    <s v="Laurentian Bank"/>
    <x v="13"/>
    <x v="0"/>
    <n v="0.79"/>
  </r>
  <r>
    <s v="Iberdrola"/>
    <x v="6"/>
    <x v="11"/>
    <n v="13.88"/>
  </r>
  <r>
    <s v="Nomura Holdings"/>
    <x v="4"/>
    <x v="4"/>
    <n v="10.02"/>
  </r>
  <r>
    <s v="Seven &amp; I Holdings"/>
    <x v="4"/>
    <x v="21"/>
    <n v="31.36"/>
  </r>
  <r>
    <s v="Exelon"/>
    <x v="0"/>
    <x v="11"/>
    <n v="15.36"/>
  </r>
  <r>
    <s v="KDDI"/>
    <x v="4"/>
    <x v="9"/>
    <n v="27.24"/>
  </r>
  <r>
    <s v="Federated Dept Stores"/>
    <x v="0"/>
    <x v="6"/>
    <n v="22.39"/>
  </r>
  <r>
    <s v="Southern Co"/>
    <x v="0"/>
    <x v="11"/>
    <n v="13.55"/>
  </r>
  <r>
    <s v="Standard Chartered Group"/>
    <x v="1"/>
    <x v="0"/>
    <n v="8.0500000000000007"/>
  </r>
  <r>
    <s v="Chubb"/>
    <x v="0"/>
    <x v="2"/>
    <n v="13.93"/>
  </r>
  <r>
    <s v="Walgreen"/>
    <x v="0"/>
    <x v="6"/>
    <n v="43.21"/>
  </r>
  <r>
    <s v="Bouygues"/>
    <x v="5"/>
    <x v="26"/>
    <n v="31.75"/>
  </r>
  <r>
    <s v="Hitachi"/>
    <x v="4"/>
    <x v="1"/>
    <n v="84.22"/>
  </r>
  <r>
    <s v="Carnival"/>
    <x v="27"/>
    <x v="25"/>
    <n v="11.09"/>
  </r>
  <r>
    <s v="ThyssenKrupp Group"/>
    <x v="7"/>
    <x v="18"/>
    <n v="50.56"/>
  </r>
  <r>
    <s v="Bear Stearns Cos"/>
    <x v="0"/>
    <x v="4"/>
    <n v="11.55"/>
  </r>
  <r>
    <s v="Oracle"/>
    <x v="0"/>
    <x v="14"/>
    <n v="12.89"/>
  </r>
  <r>
    <s v="Deere &amp; Co"/>
    <x v="0"/>
    <x v="23"/>
    <n v="22.01"/>
  </r>
  <r>
    <s v="Cendant"/>
    <x v="0"/>
    <x v="24"/>
    <n v="18.239999999999998"/>
  </r>
  <r>
    <s v="Cemex"/>
    <x v="28"/>
    <x v="26"/>
    <n v="15.33"/>
  </r>
  <r>
    <s v="Schlumberger"/>
    <x v="2"/>
    <x v="3"/>
    <n v="14.72"/>
  </r>
  <r>
    <s v="Diageo"/>
    <x v="1"/>
    <x v="10"/>
    <n v="12.06"/>
  </r>
  <r>
    <s v="Devon Energy"/>
    <x v="0"/>
    <x v="3"/>
    <n v="10.74"/>
  </r>
  <r>
    <s v="Bank of New York"/>
    <x v="0"/>
    <x v="0"/>
    <n v="8.31"/>
  </r>
  <r>
    <s v="First Data"/>
    <x v="0"/>
    <x v="14"/>
    <n v="10.49"/>
  </r>
  <r>
    <s v="Burlington Northern"/>
    <x v="0"/>
    <x v="17"/>
    <n v="12.99"/>
  </r>
  <r>
    <s v="Cigna"/>
    <x v="0"/>
    <x v="19"/>
    <n v="16.68"/>
  </r>
  <r>
    <s v="Chubu Electric Power"/>
    <x v="4"/>
    <x v="11"/>
    <n v="19.899999999999999"/>
  </r>
  <r>
    <s v="Takeda Pharmaceutical"/>
    <x v="4"/>
    <x v="12"/>
    <n v="10.48"/>
  </r>
  <r>
    <s v="Kansai Electric Power"/>
    <x v="4"/>
    <x v="11"/>
    <n v="24.38"/>
  </r>
  <r>
    <s v="Lafarge"/>
    <x v="5"/>
    <x v="26"/>
    <n v="18.88"/>
  </r>
  <r>
    <s v="HCA"/>
    <x v="0"/>
    <x v="19"/>
    <n v="24.46"/>
  </r>
  <r>
    <s v="Oil &amp; Natural Gas"/>
    <x v="29"/>
    <x v="3"/>
    <n v="13.27"/>
  </r>
  <r>
    <s v="Centrica"/>
    <x v="1"/>
    <x v="11"/>
    <n v="23.11"/>
  </r>
  <r>
    <s v="Halliburton"/>
    <x v="0"/>
    <x v="3"/>
    <n v="20.99"/>
  </r>
  <r>
    <s v="BAE Systems"/>
    <x v="1"/>
    <x v="16"/>
    <n v="18.93"/>
  </r>
  <r>
    <s v="Vinci Group"/>
    <x v="5"/>
    <x v="26"/>
    <n v="26.49"/>
  </r>
  <r>
    <s v="Surgutneftegas"/>
    <x v="12"/>
    <x v="3"/>
    <n v="10"/>
  </r>
  <r>
    <s v="PPR"/>
    <x v="5"/>
    <x v="6"/>
    <n v="32.85"/>
  </r>
  <r>
    <s v="Svenska Handelsbanken"/>
    <x v="25"/>
    <x v="0"/>
    <n v="9.01"/>
  </r>
  <r>
    <s v="Costco Wholesale"/>
    <x v="0"/>
    <x v="6"/>
    <n v="54.28"/>
  </r>
  <r>
    <s v="SEB-Skand Enskilda"/>
    <x v="25"/>
    <x v="0"/>
    <n v="12.14"/>
  </r>
  <r>
    <s v="BB&amp;T"/>
    <x v="0"/>
    <x v="0"/>
    <n v="7.83"/>
  </r>
  <r>
    <s v="Allied Irish Banks"/>
    <x v="30"/>
    <x v="0"/>
    <n v="7.58"/>
  </r>
  <r>
    <s v="General Dynamics"/>
    <x v="0"/>
    <x v="16"/>
    <n v="21.24"/>
  </r>
  <r>
    <s v="Royal KPN"/>
    <x v="2"/>
    <x v="9"/>
    <n v="13.81"/>
  </r>
  <r>
    <s v="Sumitomo"/>
    <x v="4"/>
    <x v="22"/>
    <n v="19.12"/>
  </r>
  <r>
    <s v="Union Pacific"/>
    <x v="0"/>
    <x v="17"/>
    <n v="13.58"/>
  </r>
  <r>
    <s v="Medtronic"/>
    <x v="0"/>
    <x v="19"/>
    <n v="11"/>
  </r>
  <r>
    <s v="Emerson Electric"/>
    <x v="0"/>
    <x v="1"/>
    <n v="17.88"/>
  </r>
  <r>
    <s v="International Paper"/>
    <x v="0"/>
    <x v="18"/>
    <n v="24.1"/>
  </r>
  <r>
    <s v="Danone"/>
    <x v="5"/>
    <x v="10"/>
    <n v="15.39"/>
  </r>
  <r>
    <s v="Mitsui Sumitomo Ins"/>
    <x v="4"/>
    <x v="2"/>
    <n v="18.760000000000002"/>
  </r>
  <r>
    <s v="Archer Daniels"/>
    <x v="0"/>
    <x v="10"/>
    <n v="35.83"/>
  </r>
  <r>
    <s v="Central Japan Railway"/>
    <x v="4"/>
    <x v="17"/>
    <n v="13.15"/>
  </r>
  <r>
    <s v="Fifth Third Bancorp"/>
    <x v="0"/>
    <x v="0"/>
    <n v="7.5"/>
  </r>
  <r>
    <s v="Genworth Financial"/>
    <x v="0"/>
    <x v="2"/>
    <n v="10.5"/>
  </r>
  <r>
    <s v="Anheuser-Busch Cos"/>
    <x v="0"/>
    <x v="10"/>
    <n v="15.04"/>
  </r>
  <r>
    <s v="ACE"/>
    <x v="19"/>
    <x v="2"/>
    <n v="13.09"/>
  </r>
  <r>
    <s v="Apple Computer"/>
    <x v="0"/>
    <x v="8"/>
    <n v="16.190000000000001"/>
  </r>
  <r>
    <s v="Texas Instruments"/>
    <x v="0"/>
    <x v="13"/>
    <n v="13.39"/>
  </r>
  <r>
    <s v="Standard Bank Group"/>
    <x v="31"/>
    <x v="0"/>
    <n v="9.34"/>
  </r>
  <r>
    <s v="Kookmin Bank"/>
    <x v="9"/>
    <x v="0"/>
    <n v="13.21"/>
  </r>
  <r>
    <s v="CVS"/>
    <x v="0"/>
    <x v="6"/>
    <n v="37.01"/>
  </r>
  <r>
    <s v="Sears Holdings"/>
    <x v="0"/>
    <x v="6"/>
    <n v="38.950000000000003"/>
  </r>
  <r>
    <s v="TXU"/>
    <x v="0"/>
    <x v="11"/>
    <n v="10.44"/>
  </r>
  <r>
    <s v="Bridgestone"/>
    <x v="4"/>
    <x v="5"/>
    <n v="22.8"/>
  </r>
  <r>
    <s v="PNC Financial Services"/>
    <x v="0"/>
    <x v="0"/>
    <n v="7.9"/>
  </r>
  <r>
    <s v="Golden West Finl"/>
    <x v="0"/>
    <x v="0"/>
    <n v="6.66"/>
  </r>
  <r>
    <s v="Nippon Oil"/>
    <x v="4"/>
    <x v="3"/>
    <n v="35.54"/>
  </r>
  <r>
    <s v="Onex"/>
    <x v="13"/>
    <x v="24"/>
    <n v="14.24"/>
  </r>
  <r>
    <s v="Bank of Ireland"/>
    <x v="30"/>
    <x v="0"/>
    <n v="7.31"/>
  </r>
  <r>
    <s v="Woori Finance Holdings"/>
    <x v="9"/>
    <x v="0"/>
    <n v="8.68"/>
  </r>
  <r>
    <s v="China Life Страхование"/>
    <x v="11"/>
    <x v="2"/>
    <n v="9.41"/>
  </r>
  <r>
    <s v="Reliance Industries"/>
    <x v="29"/>
    <x v="3"/>
    <n v="15.08"/>
  </r>
  <r>
    <s v="McKesson"/>
    <x v="0"/>
    <x v="19"/>
    <n v="85.88"/>
  </r>
  <r>
    <s v="América Telecom"/>
    <x v="28"/>
    <x v="9"/>
    <n v="17.170000000000002"/>
  </r>
  <r>
    <s v="BG Group"/>
    <x v="1"/>
    <x v="3"/>
    <n v="9.32"/>
  </r>
  <r>
    <s v="SLM"/>
    <x v="0"/>
    <x v="4"/>
    <n v="6.52"/>
  </r>
  <r>
    <s v="Kimberly-Clark"/>
    <x v="0"/>
    <x v="7"/>
    <n v="15.9"/>
  </r>
  <r>
    <s v="SK Corp"/>
    <x v="9"/>
    <x v="3"/>
    <n v="41.71"/>
  </r>
  <r>
    <s v="Vale do Rio Doce"/>
    <x v="10"/>
    <x v="18"/>
    <n v="10.37"/>
  </r>
  <r>
    <s v="Raytheon"/>
    <x v="0"/>
    <x v="16"/>
    <n v="21.89"/>
  </r>
  <r>
    <s v="Erste Bank"/>
    <x v="32"/>
    <x v="0"/>
    <n v="9.09"/>
  </r>
  <r>
    <s v="TeliaSonera Group"/>
    <x v="25"/>
    <x v="9"/>
    <n v="11.02"/>
  </r>
  <r>
    <s v="TransCanada"/>
    <x v="13"/>
    <x v="11"/>
    <n v="5.27"/>
  </r>
  <r>
    <s v="State Bank of India Group"/>
    <x v="29"/>
    <x v="0"/>
    <n v="12.47"/>
  </r>
  <r>
    <s v="Indian Oil"/>
    <x v="29"/>
    <x v="3"/>
    <n v="30.13"/>
  </r>
  <r>
    <s v="Japan Tobacco"/>
    <x v="4"/>
    <x v="10"/>
    <n v="18.75"/>
  </r>
  <r>
    <s v="Fuji Photo Film"/>
    <x v="4"/>
    <x v="7"/>
    <n v="23.58"/>
  </r>
  <r>
    <s v="LG Electronics"/>
    <x v="9"/>
    <x v="5"/>
    <n v="43.98"/>
  </r>
  <r>
    <s v="Mitsubishi Electric"/>
    <x v="4"/>
    <x v="23"/>
    <n v="31.82"/>
  </r>
  <r>
    <s v="Alcatel"/>
    <x v="5"/>
    <x v="8"/>
    <n v="15.53"/>
  </r>
  <r>
    <s v="InBev"/>
    <x v="18"/>
    <x v="10"/>
    <n v="11.63"/>
  </r>
  <r>
    <s v="Weyerhaeuser"/>
    <x v="0"/>
    <x v="18"/>
    <n v="22.63"/>
  </r>
  <r>
    <s v="Türkiye Is Bankasi"/>
    <x v="33"/>
    <x v="0"/>
    <n v="14.29"/>
  </r>
  <r>
    <s v="Cathay Financial"/>
    <x v="34"/>
    <x v="2"/>
    <n v="9.4"/>
  </r>
  <r>
    <s v="ABB Group"/>
    <x v="3"/>
    <x v="23"/>
    <n v="21.3"/>
  </r>
  <r>
    <s v="Aeon"/>
    <x v="4"/>
    <x v="6"/>
    <n v="40.15"/>
  </r>
  <r>
    <s v="Progressive"/>
    <x v="0"/>
    <x v="2"/>
    <n v="14.3"/>
  </r>
  <r>
    <s v="Best Buy"/>
    <x v="0"/>
    <x v="6"/>
    <n v="29.38"/>
  </r>
  <r>
    <s v="FöreningsSparbanken"/>
    <x v="25"/>
    <x v="0"/>
    <n v="7.99"/>
  </r>
  <r>
    <s v="Toshiba"/>
    <x v="4"/>
    <x v="8"/>
    <n v="54.45"/>
  </r>
  <r>
    <s v="Automatic Data"/>
    <x v="0"/>
    <x v="24"/>
    <n v="8.83"/>
  </r>
  <r>
    <s v="Sharp"/>
    <x v="4"/>
    <x v="8"/>
    <n v="23.7"/>
  </r>
  <r>
    <s v="Edison International"/>
    <x v="0"/>
    <x v="11"/>
    <n v="11.2"/>
  </r>
  <r>
    <s v="Alltel"/>
    <x v="0"/>
    <x v="9"/>
    <n v="9.49"/>
  </r>
  <r>
    <s v="Christian Dior"/>
    <x v="5"/>
    <x v="7"/>
    <n v="17.91"/>
  </r>
  <r>
    <s v="Schneider Electric"/>
    <x v="5"/>
    <x v="23"/>
    <n v="13.8"/>
  </r>
  <r>
    <s v="Sberbank"/>
    <x v="12"/>
    <x v="0"/>
    <n v="7.84"/>
  </r>
  <r>
    <s v="Itochu"/>
    <x v="4"/>
    <x v="22"/>
    <n v="18.54"/>
  </r>
  <r>
    <s v="Burlington Resources"/>
    <x v="0"/>
    <x v="3"/>
    <n v="7.59"/>
  </r>
  <r>
    <s v="Henkel Group"/>
    <x v="7"/>
    <x v="7"/>
    <n v="14.37"/>
  </r>
  <r>
    <s v="NEC"/>
    <x v="4"/>
    <x v="8"/>
    <n v="45.3"/>
  </r>
  <r>
    <s v="Shinhan Financial"/>
    <x v="9"/>
    <x v="0"/>
    <n v="9.36"/>
  </r>
  <r>
    <s v="Taiwan Semiconductor"/>
    <x v="34"/>
    <x v="13"/>
    <n v="8.17"/>
  </r>
  <r>
    <s v="Areva Group"/>
    <x v="5"/>
    <x v="18"/>
    <n v="15.07"/>
  </r>
  <r>
    <s v="Principal Financial"/>
    <x v="0"/>
    <x v="4"/>
    <n v="9.01"/>
  </r>
  <r>
    <s v="DnB NOR"/>
    <x v="16"/>
    <x v="0"/>
    <n v="6.53"/>
  </r>
  <r>
    <s v="Johnson Controls"/>
    <x v="0"/>
    <x v="5"/>
    <n v="27.99"/>
  </r>
  <r>
    <s v="Waste Management"/>
    <x v="0"/>
    <x v="24"/>
    <n v="13.07"/>
  </r>
  <r>
    <s v="FirstEnergy"/>
    <x v="0"/>
    <x v="11"/>
    <n v="11.99"/>
  </r>
  <r>
    <s v="Orix"/>
    <x v="4"/>
    <x v="4"/>
    <n v="7.49"/>
  </r>
  <r>
    <s v="FPL Group"/>
    <x v="0"/>
    <x v="11"/>
    <n v="11.85"/>
  </r>
  <r>
    <s v="Amerada Hess"/>
    <x v="0"/>
    <x v="3"/>
    <n v="23.25"/>
  </r>
  <r>
    <s v="Monte dei Paschi"/>
    <x v="8"/>
    <x v="0"/>
    <n v="8.84"/>
  </r>
  <r>
    <s v="State Street"/>
    <x v="0"/>
    <x v="0"/>
    <n v="7.5"/>
  </r>
  <r>
    <s v="Cadbury Schweppes"/>
    <x v="1"/>
    <x v="10"/>
    <n v="11.18"/>
  </r>
  <r>
    <s v="Caremark Rx"/>
    <x v="0"/>
    <x v="19"/>
    <n v="32.99"/>
  </r>
  <r>
    <s v="Viacom"/>
    <x v="0"/>
    <x v="15"/>
    <n v="9.61"/>
  </r>
  <r>
    <s v="Air Liquide Group"/>
    <x v="5"/>
    <x v="20"/>
    <n v="12.72"/>
  </r>
  <r>
    <s v="Singapore Telecom"/>
    <x v="35"/>
    <x v="9"/>
    <n v="7.64"/>
  </r>
  <r>
    <s v="T &amp; D Holdings"/>
    <x v="4"/>
    <x v="2"/>
    <n v="19.86"/>
  </r>
  <r>
    <s v="Anadarko Petroleum"/>
    <x v="0"/>
    <x v="3"/>
    <n v="7.12"/>
  </r>
  <r>
    <s v="Norfolk Southern"/>
    <x v="0"/>
    <x v="17"/>
    <n v="8.5299999999999994"/>
  </r>
  <r>
    <s v="KeyCorp"/>
    <x v="0"/>
    <x v="0"/>
    <n v="6.7"/>
  </r>
  <r>
    <s v="KT"/>
    <x v="9"/>
    <x v="9"/>
    <n v="16.489999999999998"/>
  </r>
  <r>
    <s v="FirstRand"/>
    <x v="31"/>
    <x v="0"/>
    <n v="6.3"/>
  </r>
  <r>
    <s v="American Electric"/>
    <x v="0"/>
    <x v="11"/>
    <n v="11.9"/>
  </r>
  <r>
    <s v="CRH"/>
    <x v="30"/>
    <x v="26"/>
    <n v="16.66"/>
  </r>
  <r>
    <s v="Apache"/>
    <x v="0"/>
    <x v="3"/>
    <n v="7.58"/>
  </r>
  <r>
    <s v="EMC"/>
    <x v="0"/>
    <x v="8"/>
    <n v="9.66"/>
  </r>
  <r>
    <s v="Xerox"/>
    <x v="0"/>
    <x v="24"/>
    <n v="15.7"/>
  </r>
  <r>
    <s v="General Mills"/>
    <x v="0"/>
    <x v="10"/>
    <n v="11.43"/>
  </r>
  <r>
    <s v="Sompo Japan Страхование"/>
    <x v="4"/>
    <x v="2"/>
    <n v="17.75"/>
  </r>
  <r>
    <s v="PG&amp;E"/>
    <x v="0"/>
    <x v="11"/>
    <n v="11.7"/>
  </r>
  <r>
    <s v="Pub Svc Enterprise"/>
    <x v="0"/>
    <x v="11"/>
    <n v="12.43"/>
  </r>
  <r>
    <s v="SABMiller"/>
    <x v="1"/>
    <x v="10"/>
    <n v="10.61"/>
  </r>
  <r>
    <s v="PTT Public Company"/>
    <x v="36"/>
    <x v="3"/>
    <n v="16.579999999999998"/>
  </r>
  <r>
    <s v="Capitalia"/>
    <x v="8"/>
    <x v="0"/>
    <n v="9.7100000000000009"/>
  </r>
  <r>
    <s v="Sumitomo Metal Inds"/>
    <x v="4"/>
    <x v="18"/>
    <n v="11.54"/>
  </r>
  <r>
    <s v="Itaúsa"/>
    <x v="10"/>
    <x v="0"/>
    <n v="10.17"/>
  </r>
  <r>
    <s v="Entergy"/>
    <x v="0"/>
    <x v="11"/>
    <n v="10.11"/>
  </r>
  <r>
    <s v="CIC Group"/>
    <x v="5"/>
    <x v="0"/>
    <n v="16.5"/>
  </r>
  <r>
    <s v="Saudi Telecom"/>
    <x v="23"/>
    <x v="9"/>
    <n v="8.1300000000000008"/>
  </r>
  <r>
    <s v="Regions Financial"/>
    <x v="0"/>
    <x v="0"/>
    <n v="6.12"/>
  </r>
  <r>
    <s v="Kyushu Electric Power"/>
    <x v="4"/>
    <x v="11"/>
    <n v="13.14"/>
  </r>
  <r>
    <s v="SAP"/>
    <x v="7"/>
    <x v="14"/>
    <n v="10.06"/>
  </r>
  <r>
    <s v="Holcim"/>
    <x v="3"/>
    <x v="26"/>
    <n v="11.59"/>
  </r>
  <r>
    <s v="TransAlta"/>
    <x v="13"/>
    <x v="11"/>
    <n v="2.44"/>
  </r>
  <r>
    <s v="Natexis Banques"/>
    <x v="5"/>
    <x v="0"/>
    <n v="13.58"/>
  </r>
  <r>
    <s v="OMV Group"/>
    <x v="32"/>
    <x v="3"/>
    <n v="13.41"/>
  </r>
  <r>
    <s v="Sempra Energy"/>
    <x v="0"/>
    <x v="11"/>
    <n v="11.74"/>
  </r>
  <r>
    <s v="Illinois Tool Works"/>
    <x v="0"/>
    <x v="23"/>
    <n v="12.92"/>
  </r>
  <r>
    <s v="Unibanco Group"/>
    <x v="10"/>
    <x v="0"/>
    <n v="9.86"/>
  </r>
  <r>
    <s v="Thomson Corp"/>
    <x v="13"/>
    <x v="15"/>
    <n v="9.0399999999999991"/>
  </r>
  <r>
    <s v="Eurohypo"/>
    <x v="7"/>
    <x v="0"/>
    <n v="12.77"/>
  </r>
  <r>
    <s v="Sasol"/>
    <x v="31"/>
    <x v="3"/>
    <n v="10.42"/>
  </r>
  <r>
    <s v="Qualcomm"/>
    <x v="0"/>
    <x v="8"/>
    <n v="6.02"/>
  </r>
  <r>
    <s v="Akzo Nobel Group"/>
    <x v="2"/>
    <x v="20"/>
    <n v="15.37"/>
  </r>
  <r>
    <s v="Quebecor"/>
    <x v="13"/>
    <x v="15"/>
    <n v="8.7799999999999994"/>
  </r>
  <r>
    <s v="Ricoh"/>
    <x v="4"/>
    <x v="24"/>
    <n v="16.93"/>
  </r>
  <r>
    <s v="Fujitsu"/>
    <x v="4"/>
    <x v="8"/>
    <n v="44.44"/>
  </r>
  <r>
    <s v="Shaw Communications"/>
    <x v="13"/>
    <x v="15"/>
    <n v="1.86"/>
  </r>
  <r>
    <s v="Vodafone"/>
    <x v="1"/>
    <x v="9"/>
    <n v="64.52"/>
  </r>
  <r>
    <s v="EnCana"/>
    <x v="13"/>
    <x v="3"/>
    <n v="14.81"/>
  </r>
  <r>
    <s v="Medco Health"/>
    <x v="0"/>
    <x v="19"/>
    <n v="35.979999999999997"/>
  </r>
  <r>
    <s v="JC Penney"/>
    <x v="0"/>
    <x v="6"/>
    <n v="18.78"/>
  </r>
  <r>
    <s v="Tohoku Electric Power"/>
    <x v="4"/>
    <x v="11"/>
    <n v="15.03"/>
  </r>
  <r>
    <s v="Continental"/>
    <x v="7"/>
    <x v="5"/>
    <n v="17.09"/>
  </r>
  <r>
    <s v="Hon Hai Precision Ind"/>
    <x v="34"/>
    <x v="8"/>
    <n v="17.04"/>
  </r>
  <r>
    <s v="Petro-Canada"/>
    <x v="13"/>
    <x v="3"/>
    <n v="15.12"/>
  </r>
  <r>
    <s v="Centex"/>
    <x v="0"/>
    <x v="26"/>
    <n v="14.45"/>
  </r>
  <r>
    <s v="Sysco"/>
    <x v="0"/>
    <x v="21"/>
    <n v="31.4"/>
  </r>
  <r>
    <s v="NIKE"/>
    <x v="0"/>
    <x v="7"/>
    <n v="14.37"/>
  </r>
  <r>
    <s v="Banco Popular Español"/>
    <x v="6"/>
    <x v="0"/>
    <n v="4.59"/>
  </r>
  <r>
    <s v="Investor"/>
    <x v="25"/>
    <x v="4"/>
    <n v="5.87"/>
  </r>
  <r>
    <s v="Carso Global Telecom"/>
    <x v="28"/>
    <x v="9"/>
    <n v="15.36"/>
  </r>
  <r>
    <s v="CSX"/>
    <x v="0"/>
    <x v="17"/>
    <n v="8.6199999999999992"/>
  </r>
  <r>
    <s v="Scottish &amp; Southern"/>
    <x v="1"/>
    <x v="11"/>
    <n v="14.04"/>
  </r>
  <r>
    <s v="Sumitomo Mitsui Financial"/>
    <x v="4"/>
    <x v="0"/>
    <n v="32.21"/>
  </r>
  <r>
    <s v="Michelin Group"/>
    <x v="5"/>
    <x v="5"/>
    <n v="18.43"/>
  </r>
  <r>
    <s v="Reed Elsevier"/>
    <x v="37"/>
    <x v="15"/>
    <n v="9.41"/>
  </r>
  <r>
    <s v="Sumitomo Trust &amp; Банк"/>
    <x v="4"/>
    <x v="0"/>
    <n v="4.37"/>
  </r>
  <r>
    <s v="Accenture"/>
    <x v="19"/>
    <x v="14"/>
    <n v="17.57"/>
  </r>
  <r>
    <s v="Aon"/>
    <x v="0"/>
    <x v="2"/>
    <n v="9.84"/>
  </r>
  <r>
    <s v="Baxter International"/>
    <x v="0"/>
    <x v="19"/>
    <n v="9.85"/>
  </r>
  <r>
    <s v="Cnooc"/>
    <x v="20"/>
    <x v="3"/>
    <n v="6.69"/>
  </r>
  <r>
    <s v="Consolidated Edison"/>
    <x v="0"/>
    <x v="11"/>
    <n v="11.69"/>
  </r>
  <r>
    <s v="GUS"/>
    <x v="1"/>
    <x v="6"/>
    <n v="14.72"/>
  </r>
  <r>
    <s v="EnBW-Energie Baden"/>
    <x v="7"/>
    <x v="11"/>
    <n v="13.36"/>
  </r>
  <r>
    <s v="Colgate-Palmolive"/>
    <x v="0"/>
    <x v="7"/>
    <n v="11.4"/>
  </r>
  <r>
    <s v="Swiss Life Holding"/>
    <x v="3"/>
    <x v="2"/>
    <n v="20.11"/>
  </r>
  <r>
    <s v="Telenor"/>
    <x v="16"/>
    <x v="9"/>
    <n v="10.01"/>
  </r>
  <r>
    <s v="Constellation Energy"/>
    <x v="0"/>
    <x v="11"/>
    <n v="17.13"/>
  </r>
  <r>
    <s v="Swisscom"/>
    <x v="3"/>
    <x v="9"/>
    <n v="8.82"/>
  </r>
  <r>
    <s v="Norilsk Nickel"/>
    <x v="12"/>
    <x v="18"/>
    <n v="7.29"/>
  </r>
  <r>
    <s v="Mitsubishi Chemical"/>
    <x v="4"/>
    <x v="20"/>
    <n v="20.34"/>
  </r>
  <r>
    <s v="Formosa Petrochemical"/>
    <x v="34"/>
    <x v="3"/>
    <n v="10.93"/>
  </r>
  <r>
    <s v="Sampo"/>
    <x v="21"/>
    <x v="2"/>
    <n v="5.86"/>
  </r>
  <r>
    <s v="Paccar"/>
    <x v="0"/>
    <x v="5"/>
    <n v="14.06"/>
  </r>
  <r>
    <s v="EDP-Energias de Portugal"/>
    <x v="38"/>
    <x v="11"/>
    <n v="9.8000000000000007"/>
  </r>
  <r>
    <s v="Omnicom Group"/>
    <x v="0"/>
    <x v="15"/>
    <n v="10.48"/>
  </r>
  <r>
    <s v="Shin-Etsu Chemical"/>
    <x v="4"/>
    <x v="20"/>
    <n v="9.0299999999999994"/>
  </r>
  <r>
    <s v="DR Horton"/>
    <x v="0"/>
    <x v="26"/>
    <n v="14.25"/>
  </r>
  <r>
    <s v="Google"/>
    <x v="0"/>
    <x v="14"/>
    <n v="6.14"/>
  </r>
  <r>
    <s v="Safeway"/>
    <x v="0"/>
    <x v="21"/>
    <n v="38.42"/>
  </r>
  <r>
    <s v="Wolseley"/>
    <x v="1"/>
    <x v="22"/>
    <n v="19.79"/>
  </r>
  <r>
    <s v="Ameriprise Financial"/>
    <x v="0"/>
    <x v="4"/>
    <n v="7.48"/>
  </r>
  <r>
    <s v="WPP"/>
    <x v="1"/>
    <x v="15"/>
    <n v="9.23"/>
  </r>
  <r>
    <s v="Progress Energy"/>
    <x v="0"/>
    <x v="11"/>
    <n v="10.11"/>
  </r>
  <r>
    <s v="ACS Group"/>
    <x v="6"/>
    <x v="26"/>
    <n v="14.87"/>
  </r>
  <r>
    <s v="Finmeccanica"/>
    <x v="8"/>
    <x v="16"/>
    <n v="12.18"/>
  </r>
  <r>
    <s v="Pulte Homes"/>
    <x v="0"/>
    <x v="26"/>
    <n v="14.69"/>
  </r>
  <r>
    <s v="TNT"/>
    <x v="2"/>
    <x v="17"/>
    <n v="17.079999999999998"/>
  </r>
  <r>
    <s v="CIT Group"/>
    <x v="0"/>
    <x v="4"/>
    <n v="5.65"/>
  </r>
  <r>
    <s v="Lagardère SCA"/>
    <x v="5"/>
    <x v="15"/>
    <n v="15.27"/>
  </r>
  <r>
    <s v="AES"/>
    <x v="0"/>
    <x v="11"/>
    <n v="10.64"/>
  </r>
  <r>
    <s v="Gap"/>
    <x v="0"/>
    <x v="6"/>
    <n v="16.02"/>
  </r>
  <r>
    <s v="Gannett"/>
    <x v="0"/>
    <x v="15"/>
    <n v="7.6"/>
  </r>
  <r>
    <s v="Sanlam"/>
    <x v="31"/>
    <x v="2"/>
    <n v="16.350000000000001"/>
  </r>
  <r>
    <s v="Husky Energy"/>
    <x v="13"/>
    <x v="3"/>
    <n v="8.81"/>
  </r>
  <r>
    <s v="Sara Lee"/>
    <x v="0"/>
    <x v="10"/>
    <n v="19.13"/>
  </r>
  <r>
    <s v="BCP-Bco Com Português"/>
    <x v="38"/>
    <x v="0"/>
    <n v="5.36"/>
  </r>
  <r>
    <s v="Masco"/>
    <x v="0"/>
    <x v="26"/>
    <n v="12.64"/>
  </r>
  <r>
    <s v="TDC Group"/>
    <x v="22"/>
    <x v="9"/>
    <n v="7.95"/>
  </r>
  <r>
    <s v="China Netcom Group"/>
    <x v="20"/>
    <x v="9"/>
    <n v="7.86"/>
  </r>
  <r>
    <s v="Asahi Glass"/>
    <x v="4"/>
    <x v="26"/>
    <n v="12.93"/>
  </r>
  <r>
    <s v="Coca-Cola Enterprises"/>
    <x v="0"/>
    <x v="10"/>
    <n v="18.71"/>
  </r>
  <r>
    <s v="NTPC"/>
    <x v="29"/>
    <x v="11"/>
    <n v="5.38"/>
  </r>
  <r>
    <s v="Charles Schwab"/>
    <x v="0"/>
    <x v="4"/>
    <n v="4.46"/>
  </r>
  <r>
    <s v="Reynolds American"/>
    <x v="0"/>
    <x v="10"/>
    <n v="8.26"/>
  </r>
  <r>
    <s v="Grupo Ferrovial"/>
    <x v="6"/>
    <x v="26"/>
    <n v="9.86"/>
  </r>
  <r>
    <s v="Hana Financial Group"/>
    <x v="9"/>
    <x v="0"/>
    <n v="5.14"/>
  </r>
  <r>
    <s v="Albertsons"/>
    <x v="0"/>
    <x v="21"/>
    <n v="41.21"/>
  </r>
  <r>
    <s v="Lincoln National"/>
    <x v="0"/>
    <x v="2"/>
    <n v="5.45"/>
  </r>
  <r>
    <s v="Kellogg"/>
    <x v="0"/>
    <x v="10"/>
    <n v="10.18"/>
  </r>
  <r>
    <s v="Chunghwa Telecom"/>
    <x v="34"/>
    <x v="9"/>
    <n v="5.74"/>
  </r>
  <r>
    <s v="Applied Materials"/>
    <x v="0"/>
    <x v="13"/>
    <n v="7.07"/>
  </r>
  <r>
    <s v="Yahoo"/>
    <x v="0"/>
    <x v="14"/>
    <n v="5.26"/>
  </r>
  <r>
    <s v="Sunoco"/>
    <x v="0"/>
    <x v="3"/>
    <n v="31.17"/>
  </r>
  <r>
    <s v="Fortum"/>
    <x v="21"/>
    <x v="3"/>
    <n v="4.58"/>
  </r>
  <r>
    <s v="Lennar"/>
    <x v="0"/>
    <x v="26"/>
    <n v="13.87"/>
  </r>
  <r>
    <s v="United Overseas Bank"/>
    <x v="35"/>
    <x v="0"/>
    <n v="3.79"/>
  </r>
  <r>
    <s v="Hypo Real Estate"/>
    <x v="7"/>
    <x v="4"/>
    <n v="11.58"/>
  </r>
  <r>
    <s v="Cepsa"/>
    <x v="6"/>
    <x v="3"/>
    <n v="17.05"/>
  </r>
  <r>
    <s v="Northern Rock"/>
    <x v="1"/>
    <x v="0"/>
    <n v="7.24"/>
  </r>
  <r>
    <s v="Suzuki Motor"/>
    <x v="4"/>
    <x v="5"/>
    <n v="22.07"/>
  </r>
  <r>
    <s v="Deutsche Lufthansa"/>
    <x v="7"/>
    <x v="17"/>
    <n v="23.02"/>
  </r>
  <r>
    <s v="Ingersoll-Rand"/>
    <x v="19"/>
    <x v="1"/>
    <n v="10.55"/>
  </r>
  <r>
    <s v="Lucent Technologies"/>
    <x v="0"/>
    <x v="8"/>
    <n v="9.15"/>
  </r>
  <r>
    <s v="Komatsu"/>
    <x v="4"/>
    <x v="23"/>
    <n v="13.39"/>
  </r>
  <r>
    <s v="Kingfisher"/>
    <x v="1"/>
    <x v="6"/>
    <n v="14.42"/>
  </r>
  <r>
    <s v="Mitsui Trust"/>
    <x v="4"/>
    <x v="0"/>
    <n v="4.28"/>
  </r>
  <r>
    <s v="Tokyo Gas"/>
    <x v="4"/>
    <x v="11"/>
    <n v="11.11"/>
  </r>
  <r>
    <s v="Marubeni"/>
    <x v="4"/>
    <x v="22"/>
    <n v="28.4"/>
  </r>
  <r>
    <s v="Gas Natural SDG"/>
    <x v="6"/>
    <x v="11"/>
    <n v="8.5"/>
  </r>
  <r>
    <s v="Marks &amp; Spencer"/>
    <x v="1"/>
    <x v="6"/>
    <n v="14.58"/>
  </r>
  <r>
    <s v="Rolls-Royce"/>
    <x v="1"/>
    <x v="16"/>
    <n v="11.35"/>
  </r>
  <r>
    <s v="Sumitomo Chemical"/>
    <x v="4"/>
    <x v="20"/>
    <n v="12.09"/>
  </r>
  <r>
    <s v="ConAgra Foods"/>
    <x v="0"/>
    <x v="10"/>
    <n v="14.35"/>
  </r>
  <r>
    <s v="BOC Hong Kong"/>
    <x v="20"/>
    <x v="0"/>
    <n v="2.76"/>
  </r>
  <r>
    <s v="Veolia Environnement"/>
    <x v="5"/>
    <x v="11"/>
    <n v="33.479999999999997"/>
  </r>
  <r>
    <s v="Daiwa Securities"/>
    <x v="4"/>
    <x v="4"/>
    <n v="4.8499999999999996"/>
  </r>
  <r>
    <s v="Kohl's"/>
    <x v="0"/>
    <x v="6"/>
    <n v="13.4"/>
  </r>
  <r>
    <s v="Computer Sciences"/>
    <x v="0"/>
    <x v="14"/>
    <n v="14.61"/>
  </r>
  <r>
    <s v="Mitsubishi Estate"/>
    <x v="4"/>
    <x v="4"/>
    <n v="7.23"/>
  </r>
  <r>
    <s v="Staples"/>
    <x v="0"/>
    <x v="6"/>
    <n v="16.079999999999998"/>
  </r>
  <r>
    <s v="Altadis"/>
    <x v="6"/>
    <x v="10"/>
    <n v="15.02"/>
  </r>
  <r>
    <s v="Suncor Energy"/>
    <x v="13"/>
    <x v="3"/>
    <n v="9.5299999999999994"/>
  </r>
  <r>
    <s v="Eletrobrás"/>
    <x v="10"/>
    <x v="11"/>
    <n v="7.5"/>
  </r>
  <r>
    <s v="Kerr-McGee"/>
    <x v="0"/>
    <x v="3"/>
    <n v="5.92"/>
  </r>
  <r>
    <s v="Dai Nippon Printing"/>
    <x v="4"/>
    <x v="15"/>
    <n v="13.29"/>
  </r>
  <r>
    <s v="Clear Channel Commun"/>
    <x v="0"/>
    <x v="15"/>
    <n v="6.61"/>
  </r>
  <r>
    <s v="Phelps Dodge"/>
    <x v="0"/>
    <x v="18"/>
    <n v="8.2899999999999991"/>
  </r>
  <r>
    <s v="Marsh &amp; McLennan"/>
    <x v="0"/>
    <x v="2"/>
    <n v="11.65"/>
  </r>
  <r>
    <s v="Xstrata"/>
    <x v="3"/>
    <x v="18"/>
    <n v="6.36"/>
  </r>
  <r>
    <s v="Williams Cos"/>
    <x v="0"/>
    <x v="11"/>
    <n v="12.58"/>
  </r>
  <r>
    <s v="Portugal Telecom"/>
    <x v="38"/>
    <x v="9"/>
    <n v="8.17"/>
  </r>
  <r>
    <s v="Directv Group"/>
    <x v="0"/>
    <x v="15"/>
    <n v="13.16"/>
  </r>
  <r>
    <s v="Kyocera"/>
    <x v="4"/>
    <x v="24"/>
    <n v="11.02"/>
  </r>
  <r>
    <s v="Mellon Financial"/>
    <x v="0"/>
    <x v="4"/>
    <n v="4.3"/>
  </r>
  <r>
    <s v="National Bank of Greece"/>
    <x v="39"/>
    <x v="0"/>
    <n v="4.4800000000000004"/>
  </r>
  <r>
    <s v="MAN"/>
    <x v="7"/>
    <x v="23"/>
    <n v="17.68"/>
  </r>
  <r>
    <s v="Kobe Steel"/>
    <x v="4"/>
    <x v="18"/>
    <n v="13.47"/>
  </r>
  <r>
    <s v="Alliance &amp; Leicester"/>
    <x v="1"/>
    <x v="0"/>
    <n v="5.58"/>
  </r>
  <r>
    <s v="Toyota Industries"/>
    <x v="4"/>
    <x v="5"/>
    <n v="11.58"/>
  </r>
  <r>
    <s v="Air France-KLM Group"/>
    <x v="5"/>
    <x v="17"/>
    <n v="24.71"/>
  </r>
  <r>
    <s v="Kubota"/>
    <x v="4"/>
    <x v="23"/>
    <n v="9.17"/>
  </r>
  <r>
    <s v="Sabanci Group"/>
    <x v="33"/>
    <x v="4"/>
    <n v="8.5500000000000007"/>
  </r>
  <r>
    <s v="Ebay"/>
    <x v="0"/>
    <x v="6"/>
    <n v="4.55"/>
  </r>
  <r>
    <s v="China Shenhua Energy"/>
    <x v="11"/>
    <x v="18"/>
    <n v="4.74"/>
  </r>
  <r>
    <s v="General Motors"/>
    <x v="0"/>
    <x v="5"/>
    <n v="192.6"/>
  </r>
  <r>
    <s v="Porsche"/>
    <x v="7"/>
    <x v="5"/>
    <n v="7.97"/>
  </r>
  <r>
    <s v="DBS Group"/>
    <x v="35"/>
    <x v="0"/>
    <n v="4.3499999999999996"/>
  </r>
  <r>
    <s v="Canadian Natural Res"/>
    <x v="13"/>
    <x v="3"/>
    <n v="7.52"/>
  </r>
  <r>
    <s v="Nucor"/>
    <x v="0"/>
    <x v="18"/>
    <n v="12.7"/>
  </r>
  <r>
    <s v="Akbank"/>
    <x v="33"/>
    <x v="0"/>
    <n v="4.0999999999999996"/>
  </r>
  <r>
    <s v="St George Bank"/>
    <x v="14"/>
    <x v="0"/>
    <n v="4.37"/>
  </r>
  <r>
    <s v="Enbridge"/>
    <x v="13"/>
    <x v="3"/>
    <n v="7.27"/>
  </r>
  <r>
    <s v="Danaher"/>
    <x v="0"/>
    <x v="23"/>
    <n v="7.98"/>
  </r>
  <r>
    <s v="Nexen"/>
    <x v="13"/>
    <x v="3"/>
    <n v="4.1100000000000003"/>
  </r>
  <r>
    <s v="Saudi Electricity"/>
    <x v="23"/>
    <x v="11"/>
    <n v="4.72"/>
  </r>
  <r>
    <s v="Ping An Страхование Group"/>
    <x v="11"/>
    <x v="2"/>
    <n v="7.3"/>
  </r>
  <r>
    <s v="Talisman Energy"/>
    <x v="13"/>
    <x v="3"/>
    <n v="4.3899999999999997"/>
  </r>
  <r>
    <s v="UnumProvident"/>
    <x v="0"/>
    <x v="2"/>
    <n v="10.44"/>
  </r>
  <r>
    <s v="MOL"/>
    <x v="40"/>
    <x v="3"/>
    <n v="11.45"/>
  </r>
  <r>
    <s v="Mitsui Fudosan"/>
    <x v="4"/>
    <x v="4"/>
    <n v="10.37"/>
  </r>
  <r>
    <s v="AMP"/>
    <x v="14"/>
    <x v="2"/>
    <n v="4.4800000000000004"/>
  </r>
  <r>
    <s v="Irish Life &amp; Permanent"/>
    <x v="30"/>
    <x v="2"/>
    <n v="8.64"/>
  </r>
  <r>
    <s v="Degussa"/>
    <x v="7"/>
    <x v="20"/>
    <n v="15.26"/>
  </r>
  <r>
    <s v="West Japan Railway"/>
    <x v="4"/>
    <x v="17"/>
    <n v="11.39"/>
  </r>
  <r>
    <s v="M&amp;T Bank"/>
    <x v="0"/>
    <x v="0"/>
    <n v="3.74"/>
  </r>
  <r>
    <s v="Solvay Group"/>
    <x v="18"/>
    <x v="20"/>
    <n v="10.119999999999999"/>
  </r>
  <r>
    <s v="Fiat Group"/>
    <x v="8"/>
    <x v="5"/>
    <n v="63.08"/>
  </r>
  <r>
    <s v="North Fork Bancorp"/>
    <x v="0"/>
    <x v="0"/>
    <n v="3.48"/>
  </r>
  <r>
    <s v="Linde"/>
    <x v="7"/>
    <x v="23"/>
    <n v="11.23"/>
  </r>
  <r>
    <s v="Fondiaria-SAI"/>
    <x v="8"/>
    <x v="2"/>
    <n v="14.13"/>
  </r>
  <r>
    <s v="Nippon Yusen"/>
    <x v="4"/>
    <x v="17"/>
    <n v="14.98"/>
  </r>
  <r>
    <s v="Vattenfall Europe"/>
    <x v="7"/>
    <x v="11"/>
    <n v="14.53"/>
  </r>
  <r>
    <s v="Sun Hung Kai Properties"/>
    <x v="20"/>
    <x v="4"/>
    <n v="2.95"/>
  </r>
  <r>
    <s v="BAA"/>
    <x v="1"/>
    <x v="17"/>
    <n v="4"/>
  </r>
  <r>
    <s v="Imperial Tobacco Group"/>
    <x v="1"/>
    <x v="10"/>
    <n v="5.55"/>
  </r>
  <r>
    <s v="China Unicom"/>
    <x v="20"/>
    <x v="9"/>
    <n v="9.61"/>
  </r>
  <r>
    <s v="Reckitt Benckiser"/>
    <x v="1"/>
    <x v="7"/>
    <n v="7.18"/>
  </r>
  <r>
    <s v="Hynix Semiconductor"/>
    <x v="9"/>
    <x v="13"/>
    <n v="6.48"/>
  </r>
  <r>
    <s v="Unión Fenosa"/>
    <x v="6"/>
    <x v="11"/>
    <n v="7.87"/>
  </r>
  <r>
    <s v="PPL"/>
    <x v="0"/>
    <x v="11"/>
    <n v="6.22"/>
  </r>
  <r>
    <s v="Praxair"/>
    <x v="0"/>
    <x v="20"/>
    <n v="7.66"/>
  </r>
  <r>
    <s v="Sumitomo Electric"/>
    <x v="4"/>
    <x v="23"/>
    <n v="16.239999999999998"/>
  </r>
  <r>
    <s v="Wm Morrison Supermarkets"/>
    <x v="1"/>
    <x v="21"/>
    <n v="22.82"/>
  </r>
  <r>
    <s v="Kirin Brewery"/>
    <x v="4"/>
    <x v="10"/>
    <n v="10.23"/>
  </r>
  <r>
    <s v="Woolworths"/>
    <x v="14"/>
    <x v="21"/>
    <n v="23.86"/>
  </r>
  <r>
    <s v="Aisin Seiki"/>
    <x v="4"/>
    <x v="5"/>
    <n v="17.07"/>
  </r>
  <r>
    <s v="Depfa Bank"/>
    <x v="30"/>
    <x v="4"/>
    <n v="5.24"/>
  </r>
  <r>
    <s v="Mazda Motor"/>
    <x v="4"/>
    <x v="5"/>
    <n v="25.15"/>
  </r>
  <r>
    <s v="QBE Страхование Group"/>
    <x v="14"/>
    <x v="2"/>
    <n v="5.79"/>
  </r>
  <r>
    <s v="Mitsui OSK Lines"/>
    <x v="4"/>
    <x v="17"/>
    <n v="10.95"/>
  </r>
  <r>
    <s v="Corus Group"/>
    <x v="1"/>
    <x v="18"/>
    <n v="17.91"/>
  </r>
  <r>
    <s v="Marriott Intl"/>
    <x v="0"/>
    <x v="25"/>
    <n v="11.55"/>
  </r>
  <r>
    <s v="Friends Provident"/>
    <x v="1"/>
    <x v="2"/>
    <n v="9.2100000000000009"/>
  </r>
  <r>
    <s v="Air Prods &amp; Chems"/>
    <x v="0"/>
    <x v="20"/>
    <n v="8.25"/>
  </r>
  <r>
    <s v="HJ Heinz"/>
    <x v="0"/>
    <x v="10"/>
    <n v="8.69"/>
  </r>
  <r>
    <s v="Precision Drilling"/>
    <x v="13"/>
    <x v="3"/>
    <n v="1.0900000000000001"/>
  </r>
  <r>
    <s v="Singapore Airlines"/>
    <x v="35"/>
    <x v="17"/>
    <n v="7.28"/>
  </r>
  <r>
    <s v="TUI Group"/>
    <x v="7"/>
    <x v="25"/>
    <n v="24.49"/>
  </r>
  <r>
    <s v="Jardine Matheson"/>
    <x v="20"/>
    <x v="21"/>
    <n v="8.99"/>
  </r>
  <r>
    <s v="Baker Hughes"/>
    <x v="0"/>
    <x v="3"/>
    <n v="7.19"/>
  </r>
  <r>
    <s v="Eaton"/>
    <x v="0"/>
    <x v="23"/>
    <n v="11.12"/>
  </r>
  <r>
    <s v="Ladbrokes"/>
    <x v="1"/>
    <x v="25"/>
    <n v="19.77"/>
  </r>
  <r>
    <s v="Richemont"/>
    <x v="3"/>
    <x v="7"/>
    <n v="4.78"/>
  </r>
  <r>
    <s v="Ameren"/>
    <x v="0"/>
    <x v="11"/>
    <n v="6.78"/>
  </r>
  <r>
    <s v="EchoStar Commun"/>
    <x v="0"/>
    <x v="15"/>
    <n v="8.18"/>
  </r>
  <r>
    <s v="British Airways"/>
    <x v="1"/>
    <x v="17"/>
    <n v="14.77"/>
  </r>
  <r>
    <s v="DTE Energy"/>
    <x v="0"/>
    <x v="11"/>
    <n v="9.02"/>
  </r>
  <r>
    <s v="Telkom"/>
    <x v="31"/>
    <x v="9"/>
    <n v="6.9"/>
  </r>
  <r>
    <s v="Southwest Airlines"/>
    <x v="0"/>
    <x v="17"/>
    <n v="7.58"/>
  </r>
  <r>
    <s v="Agilent Technologies"/>
    <x v="0"/>
    <x v="8"/>
    <n v="5.26"/>
  </r>
  <r>
    <s v="Nan Ya Plastic"/>
    <x v="34"/>
    <x v="20"/>
    <n v="6.89"/>
  </r>
  <r>
    <s v="Schering-Plough"/>
    <x v="0"/>
    <x v="12"/>
    <n v="9.51"/>
  </r>
  <r>
    <s v="AmerisourceBergen"/>
    <x v="0"/>
    <x v="19"/>
    <n v="55.59"/>
  </r>
  <r>
    <s v="Unipol"/>
    <x v="8"/>
    <x v="2"/>
    <n v="13.63"/>
  </r>
  <r>
    <s v="Macquarie Bank"/>
    <x v="14"/>
    <x v="4"/>
    <n v="4.26"/>
  </r>
  <r>
    <s v="Comerica"/>
    <x v="0"/>
    <x v="0"/>
    <n v="3.67"/>
  </r>
  <r>
    <s v="Merck"/>
    <x v="7"/>
    <x v="12"/>
    <n v="6.94"/>
  </r>
  <r>
    <s v="Cheung Kong"/>
    <x v="20"/>
    <x v="4"/>
    <n v="1.56"/>
  </r>
  <r>
    <s v="Xcel Energy"/>
    <x v="0"/>
    <x v="11"/>
    <n v="9.6300000000000008"/>
  </r>
  <r>
    <s v="Nippon Mining"/>
    <x v="4"/>
    <x v="3"/>
    <n v="23.35"/>
  </r>
  <r>
    <s v="Assoc British Foods"/>
    <x v="1"/>
    <x v="10"/>
    <n v="9.92"/>
  </r>
  <r>
    <s v="Chugoku Electric Power"/>
    <x v="4"/>
    <x v="11"/>
    <n v="9.44"/>
  </r>
  <r>
    <s v="Suncorp-Metway"/>
    <x v="14"/>
    <x v="4"/>
    <n v="4.96"/>
  </r>
  <r>
    <s v="Syngenta"/>
    <x v="3"/>
    <x v="20"/>
    <n v="7.69"/>
  </r>
  <r>
    <s v="Franklin Resources"/>
    <x v="0"/>
    <x v="4"/>
    <n v="4.51"/>
  </r>
  <r>
    <s v="Northern Trust"/>
    <x v="0"/>
    <x v="0"/>
    <n v="3.62"/>
  </r>
  <r>
    <s v="Mitsubishi Heavy Inds"/>
    <x v="4"/>
    <x v="23"/>
    <n v="24.17"/>
  </r>
  <r>
    <s v="Asahi Kasei"/>
    <x v="4"/>
    <x v="20"/>
    <n v="12.85"/>
  </r>
  <r>
    <s v="Korea Exchange Bank"/>
    <x v="9"/>
    <x v="0"/>
    <n v="4.63"/>
  </r>
  <r>
    <s v="CBS"/>
    <x v="0"/>
    <x v="15"/>
    <n v="14.54"/>
  </r>
  <r>
    <s v="Aiful"/>
    <x v="4"/>
    <x v="4"/>
    <n v="4.83"/>
  </r>
  <r>
    <s v="BPVN Group"/>
    <x v="8"/>
    <x v="0"/>
    <n v="4.2300000000000004"/>
  </r>
  <r>
    <s v="Chesapeake Energy"/>
    <x v="0"/>
    <x v="3"/>
    <n v="4.67"/>
  </r>
  <r>
    <s v="Bank of Communications"/>
    <x v="11"/>
    <x v="0"/>
    <n v="4.9800000000000004"/>
  </r>
  <r>
    <s v="UPM-Kymmene"/>
    <x v="21"/>
    <x v="18"/>
    <n v="11.05"/>
  </r>
  <r>
    <s v="Corning"/>
    <x v="0"/>
    <x v="8"/>
    <n v="4.58"/>
  </r>
  <r>
    <s v="Orkla"/>
    <x v="16"/>
    <x v="10"/>
    <n v="8.19"/>
  </r>
  <r>
    <s v="Adecco"/>
    <x v="3"/>
    <x v="24"/>
    <n v="23.35"/>
  </r>
  <r>
    <s v="Nintendo"/>
    <x v="4"/>
    <x v="5"/>
    <n v="4.8099999999999996"/>
  </r>
  <r>
    <s v="Bunge"/>
    <x v="19"/>
    <x v="10"/>
    <n v="24.28"/>
  </r>
  <r>
    <s v="Fortune Brands"/>
    <x v="0"/>
    <x v="1"/>
    <n v="6.73"/>
  </r>
  <r>
    <s v="MGM Mirage"/>
    <x v="0"/>
    <x v="25"/>
    <n v="6.48"/>
  </r>
  <r>
    <s v="Ahold"/>
    <x v="2"/>
    <x v="21"/>
    <n v="70.56"/>
  </r>
  <r>
    <s v="Heineken Holding"/>
    <x v="2"/>
    <x v="10"/>
    <n v="12.76"/>
  </r>
  <r>
    <s v="US Steel"/>
    <x v="0"/>
    <x v="18"/>
    <n v="14.04"/>
  </r>
  <r>
    <s v="Nationwide Financial"/>
    <x v="0"/>
    <x v="2"/>
    <n v="4.34"/>
  </r>
  <r>
    <s v="AmSouth Bancorp"/>
    <x v="0"/>
    <x v="0"/>
    <n v="3.4"/>
  </r>
  <r>
    <s v="Accor"/>
    <x v="5"/>
    <x v="25"/>
    <n v="9.6"/>
  </r>
  <r>
    <s v="Boston Scientific"/>
    <x v="0"/>
    <x v="19"/>
    <n v="6.28"/>
  </r>
  <r>
    <s v="Lyondell Chemical"/>
    <x v="0"/>
    <x v="20"/>
    <n v="18.61"/>
  </r>
  <r>
    <s v="BPU Banca"/>
    <x v="8"/>
    <x v="0"/>
    <n v="4.8499999999999996"/>
  </r>
  <r>
    <s v="Hannover Re"/>
    <x v="7"/>
    <x v="2"/>
    <n v="11.91"/>
  </r>
  <r>
    <s v="Fidelity National Finl"/>
    <x v="0"/>
    <x v="2"/>
    <n v="9.67"/>
  </r>
  <r>
    <s v="Penn West Petroleum"/>
    <x v="13"/>
    <x v="3"/>
    <n v="1.02"/>
  </r>
  <r>
    <s v="Al Rajhi Bank"/>
    <x v="23"/>
    <x v="0"/>
    <n v="1.38"/>
  </r>
  <r>
    <s v="Kroger"/>
    <x v="0"/>
    <x v="21"/>
    <n v="59.53"/>
  </r>
  <r>
    <s v="Nikko Cordial"/>
    <x v="4"/>
    <x v="4"/>
    <n v="3.2"/>
  </r>
  <r>
    <s v="Cez"/>
    <x v="41"/>
    <x v="11"/>
    <n v="4.4800000000000004"/>
  </r>
  <r>
    <s v="Canadian National"/>
    <x v="13"/>
    <x v="17"/>
    <n v="6.23"/>
  </r>
  <r>
    <s v="L-3 Communications"/>
    <x v="0"/>
    <x v="16"/>
    <n v="9.44"/>
  </r>
  <r>
    <s v="EFG Eurobank Ergasias"/>
    <x v="39"/>
    <x v="0"/>
    <n v="3.56"/>
  </r>
  <r>
    <s v="Rohm and Haas"/>
    <x v="0"/>
    <x v="20"/>
    <n v="7.99"/>
  </r>
  <r>
    <s v="PPG Industries"/>
    <x v="0"/>
    <x v="20"/>
    <n v="10.199999999999999"/>
  </r>
  <r>
    <s v="Sovereign Bancorp"/>
    <x v="0"/>
    <x v="0"/>
    <n v="3.57"/>
  </r>
  <r>
    <s v="Celesio"/>
    <x v="7"/>
    <x v="19"/>
    <n v="25.99"/>
  </r>
  <r>
    <s v="Toppan Printing"/>
    <x v="4"/>
    <x v="15"/>
    <n v="13.19"/>
  </r>
  <r>
    <s v="China Steel"/>
    <x v="34"/>
    <x v="18"/>
    <n v="6.04"/>
  </r>
  <r>
    <s v="Toray Industries"/>
    <x v="4"/>
    <x v="7"/>
    <n v="12.12"/>
  </r>
  <r>
    <s v="Sandvik"/>
    <x v="25"/>
    <x v="23"/>
    <n v="7.96"/>
  </r>
  <r>
    <s v="Autostrade"/>
    <x v="8"/>
    <x v="17"/>
    <n v="3.89"/>
  </r>
  <r>
    <s v="Monsanto"/>
    <x v="0"/>
    <x v="20"/>
    <n v="6.63"/>
  </r>
  <r>
    <s v="Canadian Pacific Railway"/>
    <x v="13"/>
    <x v="17"/>
    <n v="3.67"/>
  </r>
  <r>
    <s v="Koç Group"/>
    <x v="33"/>
    <x v="1"/>
    <n v="16.48"/>
  </r>
  <r>
    <s v="TJX Cos"/>
    <x v="0"/>
    <x v="6"/>
    <n v="16.059999999999999"/>
  </r>
  <r>
    <s v="Icici Bank"/>
    <x v="29"/>
    <x v="0"/>
    <n v="3.9"/>
  </r>
  <r>
    <s v="Inditex"/>
    <x v="6"/>
    <x v="7"/>
    <n v="7.39"/>
  </r>
  <r>
    <s v="Jefferson-Pilot"/>
    <x v="0"/>
    <x v="2"/>
    <n v="4.22"/>
  </r>
  <r>
    <s v="IAC/InterActiveCorp"/>
    <x v="0"/>
    <x v="6"/>
    <n v="5.75"/>
  </r>
  <r>
    <s v="Simon Property Group"/>
    <x v="0"/>
    <x v="4"/>
    <n v="3.17"/>
  </r>
  <r>
    <s v="Campbell Soup"/>
    <x v="0"/>
    <x v="10"/>
    <n v="7.63"/>
  </r>
  <r>
    <s v="Assurant"/>
    <x v="0"/>
    <x v="2"/>
    <n v="7.5"/>
  </r>
  <r>
    <s v="McGraw-Hill Cos"/>
    <x v="0"/>
    <x v="15"/>
    <n v="6"/>
  </r>
  <r>
    <s v="Pearson"/>
    <x v="1"/>
    <x v="15"/>
    <n v="7.04"/>
  </r>
  <r>
    <s v="Atlas Copco"/>
    <x v="25"/>
    <x v="23"/>
    <n v="6.63"/>
  </r>
  <r>
    <s v="Marshall &amp; Ilsley"/>
    <x v="0"/>
    <x v="0"/>
    <n v="3.01"/>
  </r>
  <r>
    <s v="Kao"/>
    <x v="4"/>
    <x v="7"/>
    <n v="8.74"/>
  </r>
  <r>
    <s v="IFIL"/>
    <x v="8"/>
    <x v="4"/>
    <n v="70.39"/>
  </r>
  <r>
    <s v="Acom"/>
    <x v="4"/>
    <x v="4"/>
    <n v="4.05"/>
  </r>
  <r>
    <s v="Femsa"/>
    <x v="28"/>
    <x v="10"/>
    <n v="8.4"/>
  </r>
  <r>
    <s v="Coles Myer"/>
    <x v="14"/>
    <x v="21"/>
    <n v="27.39"/>
  </r>
  <r>
    <s v="BOC Group"/>
    <x v="1"/>
    <x v="20"/>
    <n v="6.62"/>
  </r>
  <r>
    <s v="Belgacom"/>
    <x v="18"/>
    <x v="9"/>
    <n v="7.35"/>
  </r>
  <r>
    <s v="Scottish Power"/>
    <x v="1"/>
    <x v="11"/>
    <n v="12.95"/>
  </r>
  <r>
    <s v="Baoshan Iron &amp; Steel"/>
    <x v="11"/>
    <x v="18"/>
    <n v="7.05"/>
  </r>
  <r>
    <s v="Novo Nordisk"/>
    <x v="22"/>
    <x v="12"/>
    <n v="5.35"/>
  </r>
  <r>
    <s v="United Коммунальные услуги"/>
    <x v="1"/>
    <x v="11"/>
    <n v="4.26"/>
  </r>
  <r>
    <s v="Daiwa House Industry"/>
    <x v="4"/>
    <x v="26"/>
    <n v="12.74"/>
  </r>
  <r>
    <s v="Banca Antonveneta"/>
    <x v="8"/>
    <x v="0"/>
    <n v="4.0999999999999996"/>
  </r>
  <r>
    <s v="Seagate Technology"/>
    <x v="42"/>
    <x v="8"/>
    <n v="8.5399999999999991"/>
  </r>
  <r>
    <s v="H&amp;M Hennes &amp; Mauritz"/>
    <x v="25"/>
    <x v="6"/>
    <n v="7.57"/>
  </r>
  <r>
    <s v="Toyota Tsusho"/>
    <x v="4"/>
    <x v="22"/>
    <n v="31.17"/>
  </r>
  <r>
    <s v="Qantas Airways"/>
    <x v="14"/>
    <x v="17"/>
    <n v="9.6300000000000008"/>
  </r>
  <r>
    <s v="Tokyu"/>
    <x v="4"/>
    <x v="17"/>
    <n v="9.85"/>
  </r>
  <r>
    <s v="Yum Brands"/>
    <x v="0"/>
    <x v="25"/>
    <n v="9.35"/>
  </r>
  <r>
    <s v="Oji Paper"/>
    <x v="4"/>
    <x v="18"/>
    <n v="11.06"/>
  </r>
  <r>
    <s v="Oversea-Chinese Банк"/>
    <x v="35"/>
    <x v="0"/>
    <n v="2.2599999999999998"/>
  </r>
  <r>
    <s v="Mediobanca"/>
    <x v="8"/>
    <x v="4"/>
    <n v="2.4"/>
  </r>
  <r>
    <s v="Murphy Oil"/>
    <x v="0"/>
    <x v="3"/>
    <n v="11.88"/>
  </r>
  <r>
    <s v="CLP Holdings"/>
    <x v="20"/>
    <x v="11"/>
    <n v="3.96"/>
  </r>
  <r>
    <s v="Liberty Медиа"/>
    <x v="0"/>
    <x v="15"/>
    <n v="8.01"/>
  </r>
  <r>
    <s v="Starwood Hotels"/>
    <x v="0"/>
    <x v="25"/>
    <n v="5.98"/>
  </r>
  <r>
    <s v="Anglo Irish Bank"/>
    <x v="30"/>
    <x v="0"/>
    <n v="2.83"/>
  </r>
  <r>
    <s v="Industrial Bank of Korea"/>
    <x v="9"/>
    <x v="0"/>
    <n v="5.13"/>
  </r>
  <r>
    <s v="Pepsi Bottling Group"/>
    <x v="0"/>
    <x v="10"/>
    <n v="11.89"/>
  </r>
  <r>
    <s v="Malayan Банк"/>
    <x v="43"/>
    <x v="0"/>
    <n v="2.71"/>
  </r>
  <r>
    <s v="Safeco"/>
    <x v="0"/>
    <x v="2"/>
    <n v="6.35"/>
  </r>
  <r>
    <s v="United Microelectronics"/>
    <x v="34"/>
    <x v="13"/>
    <n v="4.0599999999999996"/>
  </r>
  <r>
    <s v="Tribune"/>
    <x v="0"/>
    <x v="15"/>
    <n v="5.6"/>
  </r>
  <r>
    <s v="Hanson"/>
    <x v="1"/>
    <x v="26"/>
    <n v="6.38"/>
  </r>
  <r>
    <s v="Japan Airlines"/>
    <x v="4"/>
    <x v="17"/>
    <n v="19.87"/>
  </r>
  <r>
    <s v="Scania"/>
    <x v="25"/>
    <x v="23"/>
    <n v="8.4"/>
  </r>
  <r>
    <s v="Harrah's Entertain"/>
    <x v="0"/>
    <x v="25"/>
    <n v="7.11"/>
  </r>
  <r>
    <s v="Osaka Gas"/>
    <x v="4"/>
    <x v="11"/>
    <n v="9.1"/>
  </r>
  <r>
    <s v="ACE Aviation Holdings"/>
    <x v="13"/>
    <x v="17"/>
    <n v="8.23"/>
  </r>
  <r>
    <s v="Schering Group"/>
    <x v="7"/>
    <x v="12"/>
    <n v="6.27"/>
  </r>
  <r>
    <s v="XTO Energy"/>
    <x v="0"/>
    <x v="3"/>
    <n v="3.52"/>
  </r>
  <r>
    <s v="Magna International"/>
    <x v="13"/>
    <x v="5"/>
    <n v="22.25"/>
  </r>
  <r>
    <s v="OTP Bank"/>
    <x v="40"/>
    <x v="0"/>
    <n v="3.17"/>
  </r>
  <r>
    <s v="Cinergy"/>
    <x v="0"/>
    <x v="11"/>
    <n v="5.41"/>
  </r>
  <r>
    <s v="Delhaize Group"/>
    <x v="18"/>
    <x v="21"/>
    <n v="24.38"/>
  </r>
  <r>
    <s v="Parker-Hannifin"/>
    <x v="0"/>
    <x v="23"/>
    <n v="8.6199999999999992"/>
  </r>
  <r>
    <s v="FCC Group"/>
    <x v="6"/>
    <x v="26"/>
    <n v="8.3800000000000008"/>
  </r>
  <r>
    <s v="STMicroelectronics"/>
    <x v="3"/>
    <x v="13"/>
    <n v="8.4700000000000006"/>
  </r>
  <r>
    <s v="Electronic Data Sys"/>
    <x v="0"/>
    <x v="14"/>
    <n v="19.760000000000002"/>
  </r>
  <r>
    <s v="Thales"/>
    <x v="5"/>
    <x v="16"/>
    <n v="13.96"/>
  </r>
  <r>
    <s v="Skanska"/>
    <x v="25"/>
    <x v="26"/>
    <n v="18.25"/>
  </r>
  <r>
    <s v="Imperial Chemical Inds"/>
    <x v="1"/>
    <x v="20"/>
    <n v="9.99"/>
  </r>
  <r>
    <s v="Mega Financial Holding"/>
    <x v="34"/>
    <x v="4"/>
    <n v="2.67"/>
  </r>
  <r>
    <s v="Newmont Mining"/>
    <x v="0"/>
    <x v="18"/>
    <n v="4.41"/>
  </r>
  <r>
    <s v="PKN Orlen"/>
    <x v="44"/>
    <x v="3"/>
    <n v="10.15"/>
  </r>
  <r>
    <s v="Teva Pharmaceutical Inds"/>
    <x v="45"/>
    <x v="12"/>
    <n v="4.9800000000000004"/>
  </r>
  <r>
    <s v="DSM"/>
    <x v="2"/>
    <x v="20"/>
    <n v="10.52"/>
  </r>
  <r>
    <s v="EOG Resources"/>
    <x v="0"/>
    <x v="3"/>
    <n v="3.62"/>
  </r>
  <r>
    <s v="Bank Hapoalim"/>
    <x v="45"/>
    <x v="0"/>
    <n v="4.17"/>
  </r>
  <r>
    <s v="Alpha Bank"/>
    <x v="39"/>
    <x v="0"/>
    <n v="2.73"/>
  </r>
  <r>
    <s v="Banco de Sabadell"/>
    <x v="6"/>
    <x v="0"/>
    <n v="2.93"/>
  </r>
  <r>
    <s v="Inpex"/>
    <x v="4"/>
    <x v="3"/>
    <n v="4.47"/>
  </r>
  <r>
    <s v="Becton, Dickinson"/>
    <x v="0"/>
    <x v="19"/>
    <n v="5.54"/>
  </r>
  <r>
    <s v="J Sainsbury"/>
    <x v="1"/>
    <x v="21"/>
    <n v="29.13"/>
  </r>
  <r>
    <s v="Express Scripts"/>
    <x v="0"/>
    <x v="19"/>
    <n v="16.27"/>
  </r>
  <r>
    <s v="Textron"/>
    <x v="0"/>
    <x v="1"/>
    <n v="10.039999999999999"/>
  </r>
  <r>
    <s v="XL Capital"/>
    <x v="19"/>
    <x v="2"/>
    <n v="11.29"/>
  </r>
  <r>
    <s v="Seiko Epson"/>
    <x v="4"/>
    <x v="23"/>
    <n v="13.81"/>
  </r>
  <r>
    <s v="Bank of Yokohama"/>
    <x v="4"/>
    <x v="0"/>
    <n v="2.25"/>
  </r>
  <r>
    <s v="Alstom"/>
    <x v="5"/>
    <x v="23"/>
    <n v="17.7"/>
  </r>
  <r>
    <s v="AutoNation"/>
    <x v="0"/>
    <x v="6"/>
    <n v="19.25"/>
  </r>
  <r>
    <s v="ASF Group"/>
    <x v="5"/>
    <x v="17"/>
    <n v="3.24"/>
  </r>
  <r>
    <s v="Severstal"/>
    <x v="12"/>
    <x v="18"/>
    <n v="6.89"/>
  </r>
  <r>
    <s v="S-Oil"/>
    <x v="9"/>
    <x v="3"/>
    <n v="10.47"/>
  </r>
  <r>
    <s v="Sacyr Vallehermoso"/>
    <x v="6"/>
    <x v="26"/>
    <n v="5.2"/>
  </r>
  <r>
    <s v="Avon Products"/>
    <x v="0"/>
    <x v="7"/>
    <n v="8.15"/>
  </r>
  <r>
    <s v="Limited Brands"/>
    <x v="0"/>
    <x v="6"/>
    <n v="9.6999999999999993"/>
  </r>
  <r>
    <s v="Royal Caribbean"/>
    <x v="46"/>
    <x v="25"/>
    <n v="4.9000000000000004"/>
  </r>
  <r>
    <s v="Daiichi Sankyo"/>
    <x v="4"/>
    <x v="12"/>
    <n v="5.48"/>
  </r>
  <r>
    <s v="Yamaha Motor"/>
    <x v="4"/>
    <x v="5"/>
    <n v="11.65"/>
  </r>
  <r>
    <s v="American Standard"/>
    <x v="0"/>
    <x v="23"/>
    <n v="10.26"/>
  </r>
  <r>
    <s v="Pernod Ricard"/>
    <x v="5"/>
    <x v="10"/>
    <n v="4.45"/>
  </r>
  <r>
    <s v="AU Optronics"/>
    <x v="34"/>
    <x v="8"/>
    <n v="6.62"/>
  </r>
  <r>
    <s v="Harley-Davidson"/>
    <x v="0"/>
    <x v="5"/>
    <n v="5.67"/>
  </r>
  <r>
    <s v="KeySpan"/>
    <x v="0"/>
    <x v="11"/>
    <n v="7.66"/>
  </r>
  <r>
    <s v="Synovus Finl"/>
    <x v="0"/>
    <x v="0"/>
    <n v="3.42"/>
  </r>
  <r>
    <s v="Riyad Bank"/>
    <x v="23"/>
    <x v="0"/>
    <n v="1.1000000000000001"/>
  </r>
  <r>
    <s v="Stora Enso"/>
    <x v="21"/>
    <x v="18"/>
    <n v="15.59"/>
  </r>
  <r>
    <s v="Shinsei Bank"/>
    <x v="4"/>
    <x v="0"/>
    <n v="2.06"/>
  </r>
  <r>
    <s v="George Weston"/>
    <x v="13"/>
    <x v="21"/>
    <n v="26.97"/>
  </r>
  <r>
    <s v="Tyson Foods"/>
    <x v="0"/>
    <x v="10"/>
    <n v="26.01"/>
  </r>
  <r>
    <s v="Ashland"/>
    <x v="0"/>
    <x v="3"/>
    <n v="9.9499999999999993"/>
  </r>
  <r>
    <s v="Pitney Bowes"/>
    <x v="0"/>
    <x v="24"/>
    <n v="5.49"/>
  </r>
  <r>
    <s v="KB Home"/>
    <x v="0"/>
    <x v="26"/>
    <n v="9.44"/>
  </r>
  <r>
    <s v="Qwest Communications"/>
    <x v="0"/>
    <x v="9"/>
    <n v="13.9"/>
  </r>
  <r>
    <s v="Transocean"/>
    <x v="42"/>
    <x v="3"/>
    <n v="2.89"/>
  </r>
  <r>
    <s v="Sekisui House"/>
    <x v="4"/>
    <x v="26"/>
    <n v="13.24"/>
  </r>
  <r>
    <s v="Steel Authority of India"/>
    <x v="29"/>
    <x v="18"/>
    <n v="6.83"/>
  </r>
  <r>
    <s v="Takefuji"/>
    <x v="4"/>
    <x v="4"/>
    <n v="3.36"/>
  </r>
  <r>
    <s v="Nippon Express"/>
    <x v="4"/>
    <x v="17"/>
    <n v="16.36"/>
  </r>
  <r>
    <s v="WR Berkley"/>
    <x v="0"/>
    <x v="2"/>
    <n v="5"/>
  </r>
  <r>
    <s v="Showa Shell Sekiyu"/>
    <x v="4"/>
    <x v="3"/>
    <n v="19.21"/>
  </r>
  <r>
    <s v="Royal &amp; Sun Alliance"/>
    <x v="1"/>
    <x v="2"/>
    <n v="17.170000000000002"/>
  </r>
  <r>
    <s v="Novolipetsk Steel"/>
    <x v="12"/>
    <x v="18"/>
    <n v="4.7"/>
  </r>
  <r>
    <s v="Fubon Financial"/>
    <x v="34"/>
    <x v="4"/>
    <n v="3.33"/>
  </r>
  <r>
    <s v="Tenaga Nasional"/>
    <x v="43"/>
    <x v="11"/>
    <n v="5.03"/>
  </r>
  <r>
    <s v="Corporation Mapfre"/>
    <x v="6"/>
    <x v="2"/>
    <n v="8.2899999999999991"/>
  </r>
  <r>
    <s v="Tenaris"/>
    <x v="24"/>
    <x v="3"/>
    <n v="4.49"/>
  </r>
  <r>
    <s v="Whirlpool"/>
    <x v="0"/>
    <x v="5"/>
    <n v="14.32"/>
  </r>
  <r>
    <s v="Softbank"/>
    <x v="4"/>
    <x v="14"/>
    <n v="7.81"/>
  </r>
  <r>
    <s v="Grupo Carso"/>
    <x v="28"/>
    <x v="1"/>
    <n v="7.36"/>
  </r>
  <r>
    <s v="Promise"/>
    <x v="4"/>
    <x v="4"/>
    <n v="3.45"/>
  </r>
  <r>
    <s v="Страхование Australia Group"/>
    <x v="14"/>
    <x v="2"/>
    <n v="5.35"/>
  </r>
  <r>
    <s v="Tatneft"/>
    <x v="12"/>
    <x v="3"/>
    <n v="4.7300000000000004"/>
  </r>
  <r>
    <s v="Cincinnati Financial"/>
    <x v="0"/>
    <x v="2"/>
    <n v="3.77"/>
  </r>
  <r>
    <s v="Mitsubishi Motors"/>
    <x v="4"/>
    <x v="5"/>
    <n v="19.8"/>
  </r>
  <r>
    <s v="Secom"/>
    <x v="4"/>
    <x v="24"/>
    <n v="5.1100000000000003"/>
  </r>
  <r>
    <s v="Popular"/>
    <x v="0"/>
    <x v="0"/>
    <n v="3.45"/>
  </r>
  <r>
    <s v="Edison"/>
    <x v="8"/>
    <x v="11"/>
    <n v="7.57"/>
  </r>
  <r>
    <s v="All Nippon Airways"/>
    <x v="4"/>
    <x v="17"/>
    <n v="12.06"/>
  </r>
  <r>
    <s v="British Sky Broadcasting"/>
    <x v="1"/>
    <x v="15"/>
    <n v="7.25"/>
  </r>
  <r>
    <s v="Raiffeisen Intl Bank"/>
    <x v="32"/>
    <x v="0"/>
    <n v="3.24"/>
  </r>
  <r>
    <s v="Banca Naz del Lavoro"/>
    <x v="8"/>
    <x v="0"/>
    <n v="5.98"/>
  </r>
  <r>
    <s v="Isuzu Motors"/>
    <x v="4"/>
    <x v="5"/>
    <n v="13.93"/>
  </r>
  <r>
    <s v="Formosa Chems &amp; Fibre"/>
    <x v="34"/>
    <x v="20"/>
    <n v="4.5999999999999996"/>
  </r>
  <r>
    <s v="Ajinomoto"/>
    <x v="4"/>
    <x v="10"/>
    <n v="10.01"/>
  </r>
  <r>
    <s v="Bank Leumi Group"/>
    <x v="45"/>
    <x v="0"/>
    <n v="3.85"/>
  </r>
  <r>
    <s v="Медиаset"/>
    <x v="8"/>
    <x v="15"/>
    <n v="4.5999999999999996"/>
  </r>
  <r>
    <s v="China Merchants Bank"/>
    <x v="11"/>
    <x v="0"/>
    <n v="2.74"/>
  </r>
  <r>
    <s v="NiSource"/>
    <x v="0"/>
    <x v="11"/>
    <n v="7.89"/>
  </r>
  <r>
    <s v="Obayashi"/>
    <x v="4"/>
    <x v="26"/>
    <n v="13.11"/>
  </r>
  <r>
    <s v="Electrolux Group"/>
    <x v="25"/>
    <x v="5"/>
    <n v="16.27"/>
  </r>
  <r>
    <s v="Neste Oil"/>
    <x v="21"/>
    <x v="3"/>
    <n v="11.79"/>
  </r>
  <r>
    <s v="PKO Bank Polski"/>
    <x v="44"/>
    <x v="0"/>
    <n v="2.61"/>
  </r>
  <r>
    <s v="Swire Pacific"/>
    <x v="20"/>
    <x v="4"/>
    <n v="2.36"/>
  </r>
  <r>
    <s v="Weatherford Intl"/>
    <x v="19"/>
    <x v="3"/>
    <n v="4.33"/>
  </r>
  <r>
    <s v="Couche Tard"/>
    <x v="13"/>
    <x v="21"/>
    <n v="8.1199999999999992"/>
  </r>
  <r>
    <s v="Hellenic Telecom"/>
    <x v="39"/>
    <x v="9"/>
    <n v="7.03"/>
  </r>
  <r>
    <s v="E-Trade Financial"/>
    <x v="0"/>
    <x v="4"/>
    <n v="2.54"/>
  </r>
  <r>
    <s v="Grupo Mexico"/>
    <x v="28"/>
    <x v="18"/>
    <n v="5.48"/>
  </r>
  <r>
    <s v="Scottish &amp; Newcastle"/>
    <x v="1"/>
    <x v="10"/>
    <n v="5.6"/>
  </r>
  <r>
    <s v="Sun Microsystems"/>
    <x v="0"/>
    <x v="8"/>
    <n v="11.66"/>
  </r>
  <r>
    <s v="Tokyo Electron"/>
    <x v="4"/>
    <x v="13"/>
    <n v="5.93"/>
  </r>
  <r>
    <s v="Starbucks"/>
    <x v="0"/>
    <x v="25"/>
    <n v="6.71"/>
  </r>
  <r>
    <s v="Stryker"/>
    <x v="0"/>
    <x v="19"/>
    <n v="4.87"/>
  </r>
  <r>
    <s v="Boots Group"/>
    <x v="1"/>
    <x v="6"/>
    <n v="10.34"/>
  </r>
  <r>
    <s v="Humana"/>
    <x v="0"/>
    <x v="19"/>
    <n v="14.42"/>
  </r>
  <r>
    <s v="DSG International Plc"/>
    <x v="1"/>
    <x v="6"/>
    <n v="13.33"/>
  </r>
  <r>
    <s v="Formosa Plastics"/>
    <x v="34"/>
    <x v="20"/>
    <n v="4.34"/>
  </r>
  <r>
    <s v="MTN Group"/>
    <x v="31"/>
    <x v="9"/>
    <n v="4.6399999999999997"/>
  </r>
  <r>
    <s v="MBIA"/>
    <x v="0"/>
    <x v="2"/>
    <n v="2.2999999999999998"/>
  </r>
  <r>
    <s v="Sistema JSFC"/>
    <x v="12"/>
    <x v="9"/>
    <n v="5.92"/>
  </r>
  <r>
    <s v="Equity Residential"/>
    <x v="0"/>
    <x v="4"/>
    <n v="1.95"/>
  </r>
  <r>
    <s v="Gallaher Group"/>
    <x v="1"/>
    <x v="10"/>
    <n v="4.8899999999999997"/>
  </r>
  <r>
    <s v="Bankgesellschaft Berlin"/>
    <x v="7"/>
    <x v="0"/>
    <n v="8.7799999999999994"/>
  </r>
  <r>
    <s v="Kintetsu"/>
    <x v="4"/>
    <x v="17"/>
    <n v="10.32"/>
  </r>
  <r>
    <s v="Office Depot"/>
    <x v="0"/>
    <x v="6"/>
    <n v="14.28"/>
  </r>
  <r>
    <s v="Henderson Land"/>
    <x v="20"/>
    <x v="4"/>
    <n v="0.75"/>
  </r>
  <r>
    <s v="Bradford &amp; Bingley"/>
    <x v="1"/>
    <x v="4"/>
    <n v="3.86"/>
  </r>
  <r>
    <s v="Fanuc"/>
    <x v="4"/>
    <x v="23"/>
    <n v="3.08"/>
  </r>
  <r>
    <s v="Dover"/>
    <x v="0"/>
    <x v="1"/>
    <n v="6.1"/>
  </r>
  <r>
    <s v="Brambles Group"/>
    <x v="17"/>
    <x v="24"/>
    <n v="6.03"/>
  </r>
  <r>
    <s v="Legg Mason"/>
    <x v="0"/>
    <x v="4"/>
    <n v="2.2799999999999998"/>
  </r>
  <r>
    <s v="Pirelli &amp; C"/>
    <x v="8"/>
    <x v="5"/>
    <n v="9.65"/>
  </r>
  <r>
    <s v="Compass Group"/>
    <x v="1"/>
    <x v="25"/>
    <n v="22.41"/>
  </r>
  <r>
    <s v="SCA-Svenska Cellulosa"/>
    <x v="25"/>
    <x v="18"/>
    <n v="12.11"/>
  </r>
  <r>
    <s v="Siam Cement"/>
    <x v="36"/>
    <x v="26"/>
    <n v="4.95"/>
  </r>
  <r>
    <s v="Acciona"/>
    <x v="6"/>
    <x v="26"/>
    <n v="5.49"/>
  </r>
  <r>
    <s v="ITT Industries"/>
    <x v="0"/>
    <x v="1"/>
    <n v="7.43"/>
  </r>
  <r>
    <s v="Astellas Pharma"/>
    <x v="4"/>
    <x v="12"/>
    <n v="4.17"/>
  </r>
  <r>
    <s v="Abertis"/>
    <x v="6"/>
    <x v="17"/>
    <n v="2.02"/>
  </r>
  <r>
    <s v="Asahi Breweries"/>
    <x v="4"/>
    <x v="10"/>
    <n v="8.0399999999999991"/>
  </r>
  <r>
    <s v="Aioi Страхование"/>
    <x v="4"/>
    <x v="2"/>
    <n v="9.7200000000000006"/>
  </r>
  <r>
    <s v="Zions Bancorp"/>
    <x v="0"/>
    <x v="0"/>
    <n v="2.35"/>
  </r>
  <r>
    <s v="Nipponkoa Страхование"/>
    <x v="4"/>
    <x v="2"/>
    <n v="9.6300000000000008"/>
  </r>
  <r>
    <s v="Fresenius"/>
    <x v="7"/>
    <x v="19"/>
    <n v="9.8699999999999992"/>
  </r>
  <r>
    <s v="Nordstrom"/>
    <x v="0"/>
    <x v="6"/>
    <n v="7.72"/>
  </r>
  <r>
    <s v="Usiminas"/>
    <x v="10"/>
    <x v="18"/>
    <n v="4.5999999999999996"/>
  </r>
  <r>
    <s v="Telekom Austria"/>
    <x v="32"/>
    <x v="9"/>
    <n v="5.5"/>
  </r>
  <r>
    <s v="Eisai"/>
    <x v="4"/>
    <x v="12"/>
    <n v="4.97"/>
  </r>
  <r>
    <s v="Electric Power Devel"/>
    <x v="4"/>
    <x v="11"/>
    <n v="5.55"/>
  </r>
  <r>
    <s v="Adidas-Salomon"/>
    <x v="7"/>
    <x v="7"/>
    <n v="8.7899999999999991"/>
  </r>
  <r>
    <s v="Mitsui Химическая отрасль"/>
    <x v="4"/>
    <x v="20"/>
    <n v="11.45"/>
  </r>
  <r>
    <s v="Telekom Malaysia"/>
    <x v="43"/>
    <x v="9"/>
    <n v="3.49"/>
  </r>
  <r>
    <s v="Cathay Pacific Airways"/>
    <x v="20"/>
    <x v="17"/>
    <n v="5.03"/>
  </r>
  <r>
    <s v="Empire"/>
    <x v="13"/>
    <x v="21"/>
    <n v="9.8800000000000008"/>
  </r>
  <r>
    <s v="Shimizu"/>
    <x v="4"/>
    <x v="26"/>
    <n v="13.85"/>
  </r>
  <r>
    <s v="Public Power"/>
    <x v="39"/>
    <x v="11"/>
    <n v="5.56"/>
  </r>
  <r>
    <s v="Hanwha"/>
    <x v="9"/>
    <x v="22"/>
    <n v="17.05"/>
  </r>
  <r>
    <s v="Hongkong Land Holdings"/>
    <x v="20"/>
    <x v="4"/>
    <n v="0.37"/>
  </r>
  <r>
    <s v="CSN-Cia Siderurgica"/>
    <x v="10"/>
    <x v="18"/>
    <n v="3.69"/>
  </r>
  <r>
    <s v="Taisei"/>
    <x v="4"/>
    <x v="26"/>
    <n v="15.94"/>
  </r>
  <r>
    <s v="Alliance UniChem"/>
    <x v="1"/>
    <x v="19"/>
    <n v="17.079999999999998"/>
  </r>
  <r>
    <s v="Murata Manufacturing"/>
    <x v="4"/>
    <x v="24"/>
    <n v="3.96"/>
  </r>
  <r>
    <s v="Arab Bank"/>
    <x v="47"/>
    <x v="0"/>
    <n v="1.45"/>
  </r>
  <r>
    <s v="GKN"/>
    <x v="1"/>
    <x v="5"/>
    <n v="6.69"/>
  </r>
  <r>
    <s v="Ambac Financial Group"/>
    <x v="0"/>
    <x v="2"/>
    <n v="1.66"/>
  </r>
  <r>
    <s v="Cummins"/>
    <x v="0"/>
    <x v="23"/>
    <n v="9.92"/>
  </r>
  <r>
    <s v="HeidelbergCement"/>
    <x v="7"/>
    <x v="26"/>
    <n v="9.4"/>
  </r>
  <r>
    <s v="Huaneng Power Intl"/>
    <x v="11"/>
    <x v="11"/>
    <n v="3.64"/>
  </r>
  <r>
    <s v="Kinder Morgan"/>
    <x v="0"/>
    <x v="11"/>
    <n v="1.59"/>
  </r>
  <r>
    <s v="Vornado Realty"/>
    <x v="0"/>
    <x v="4"/>
    <n v="2.35"/>
  </r>
  <r>
    <s v="Fisher Scientific"/>
    <x v="0"/>
    <x v="19"/>
    <n v="5.58"/>
  </r>
  <r>
    <s v="Samsung Fire &amp; Marine"/>
    <x v="9"/>
    <x v="2"/>
    <n v="6.42"/>
  </r>
  <r>
    <s v="Yamato Transport"/>
    <x v="4"/>
    <x v="17"/>
    <n v="10"/>
  </r>
  <r>
    <s v="Grupo Financiero Banorte"/>
    <x v="28"/>
    <x v="0"/>
    <n v="3.91"/>
  </r>
  <r>
    <s v="Peabody Energy"/>
    <x v="0"/>
    <x v="18"/>
    <n v="4.6399999999999997"/>
  </r>
  <r>
    <s v="Zimmer Holdings"/>
    <x v="0"/>
    <x v="19"/>
    <n v="3.29"/>
  </r>
  <r>
    <s v="Telekom Indonesia"/>
    <x v="48"/>
    <x v="9"/>
    <n v="3.67"/>
  </r>
  <r>
    <s v="Aluminum Corp of China"/>
    <x v="11"/>
    <x v="18"/>
    <n v="3.9"/>
  </r>
  <r>
    <s v="Tele Norte Leste"/>
    <x v="10"/>
    <x v="9"/>
    <n v="5.96"/>
  </r>
  <r>
    <s v="Hyundai Mobis"/>
    <x v="9"/>
    <x v="5"/>
    <n v="7.06"/>
  </r>
  <r>
    <s v="Eastman Kodak"/>
    <x v="0"/>
    <x v="7"/>
    <n v="14.27"/>
  </r>
  <r>
    <s v="Freeport Copper"/>
    <x v="0"/>
    <x v="18"/>
    <n v="4.18"/>
  </r>
  <r>
    <s v="Nippon Paper Group"/>
    <x v="4"/>
    <x v="18"/>
    <n v="11.01"/>
  </r>
  <r>
    <s v="Toll Brothers"/>
    <x v="0"/>
    <x v="26"/>
    <n v="6.2"/>
  </r>
  <r>
    <s v="Hilton Hotels"/>
    <x v="0"/>
    <x v="25"/>
    <n v="4.4400000000000004"/>
  </r>
  <r>
    <s v="First Horizon National"/>
    <x v="0"/>
    <x v="0"/>
    <n v="3.24"/>
  </r>
  <r>
    <s v="Quest Diagnostics"/>
    <x v="0"/>
    <x v="19"/>
    <n v="5.5"/>
  </r>
  <r>
    <s v="Wesfarmers"/>
    <x v="14"/>
    <x v="1"/>
    <n v="6.11"/>
  </r>
  <r>
    <s v="Sanyo Electric"/>
    <x v="4"/>
    <x v="5"/>
    <n v="24.13"/>
  </r>
  <r>
    <s v="Pepco Holdings"/>
    <x v="0"/>
    <x v="11"/>
    <n v="7.73"/>
  </r>
  <r>
    <s v="Verbund"/>
    <x v="32"/>
    <x v="11"/>
    <n v="4.18"/>
  </r>
  <r>
    <s v="MTR"/>
    <x v="20"/>
    <x v="17"/>
    <n v="1.07"/>
  </r>
  <r>
    <s v="Nabors Industries"/>
    <x v="19"/>
    <x v="3"/>
    <n v="3.55"/>
  </r>
  <r>
    <s v="Guidant"/>
    <x v="0"/>
    <x v="19"/>
    <n v="3.55"/>
  </r>
  <r>
    <s v="Grupo Modelo"/>
    <x v="28"/>
    <x v="10"/>
    <n v="4.0199999999999996"/>
  </r>
  <r>
    <s v="Ternium"/>
    <x v="24"/>
    <x v="18"/>
    <n v="4.45"/>
  </r>
  <r>
    <s v="Antarchile"/>
    <x v="49"/>
    <x v="4"/>
    <n v="5.74"/>
  </r>
  <r>
    <s v="Publicis Groupe"/>
    <x v="5"/>
    <x v="15"/>
    <n v="5.19"/>
  </r>
  <r>
    <s v="Kajima"/>
    <x v="4"/>
    <x v="26"/>
    <n v="15.74"/>
  </r>
  <r>
    <s v="InterContinental Hotels"/>
    <x v="1"/>
    <x v="25"/>
    <n v="4.2300000000000004"/>
  </r>
  <r>
    <s v="Sodexho Alliance"/>
    <x v="5"/>
    <x v="25"/>
    <n v="14.39"/>
  </r>
  <r>
    <s v="Chiba Bank"/>
    <x v="4"/>
    <x v="0"/>
    <n v="1.93"/>
  </r>
  <r>
    <s v="JS Group"/>
    <x v="4"/>
    <x v="26"/>
    <n v="9.1999999999999993"/>
  </r>
  <r>
    <s v="AMR"/>
    <x v="0"/>
    <x v="17"/>
    <n v="20.71"/>
  </r>
  <r>
    <s v="Coventry Health Care"/>
    <x v="0"/>
    <x v="19"/>
    <n v="6.61"/>
  </r>
  <r>
    <s v="H&amp;R Block"/>
    <x v="0"/>
    <x v="24"/>
    <n v="4.7300000000000004"/>
  </r>
  <r>
    <s v="TDK"/>
    <x v="4"/>
    <x v="24"/>
    <n v="6.14"/>
  </r>
  <r>
    <s v="Amazon.com"/>
    <x v="0"/>
    <x v="6"/>
    <n v="8.49"/>
  </r>
  <r>
    <s v="Samsung SDI"/>
    <x v="9"/>
    <x v="24"/>
    <n v="9"/>
  </r>
  <r>
    <s v="Genuine Parts"/>
    <x v="0"/>
    <x v="5"/>
    <n v="9.7799999999999994"/>
  </r>
  <r>
    <s v="Sumitomo Realty &amp; Dev"/>
    <x v="4"/>
    <x v="4"/>
    <n v="5.75"/>
  </r>
  <r>
    <s v="Credit Saison"/>
    <x v="4"/>
    <x v="4"/>
    <n v="3.99"/>
  </r>
  <r>
    <s v="Asustek Computer"/>
    <x v="34"/>
    <x v="8"/>
    <n v="7.87"/>
  </r>
  <r>
    <s v="Oneok"/>
    <x v="0"/>
    <x v="11"/>
    <n v="12.68"/>
  </r>
  <r>
    <s v="Dassault Aviation"/>
    <x v="5"/>
    <x v="16"/>
    <n v="4.6900000000000004"/>
  </r>
  <r>
    <s v="Black &amp; Decker"/>
    <x v="0"/>
    <x v="5"/>
    <n v="6.52"/>
  </r>
  <r>
    <s v="Chinatrust Financial"/>
    <x v="34"/>
    <x v="0"/>
    <n v="2.39"/>
  </r>
  <r>
    <s v="White Mountains Ins"/>
    <x v="19"/>
    <x v="2"/>
    <n v="4.5999999999999996"/>
  </r>
  <r>
    <s v="Flextronics Intl"/>
    <x v="35"/>
    <x v="24"/>
    <n v="15.58"/>
  </r>
  <r>
    <s v="Rockwell Automation"/>
    <x v="0"/>
    <x v="23"/>
    <n v="5.12"/>
  </r>
  <r>
    <s v="Dean Foods"/>
    <x v="0"/>
    <x v="10"/>
    <n v="10.51"/>
  </r>
  <r>
    <s v="Cable &amp; Wireless"/>
    <x v="1"/>
    <x v="9"/>
    <n v="5.71"/>
  </r>
  <r>
    <s v="Shizuoka Bank"/>
    <x v="4"/>
    <x v="0"/>
    <n v="1.6"/>
  </r>
  <r>
    <s v="Daiei"/>
    <x v="4"/>
    <x v="6"/>
    <n v="17.55"/>
  </r>
  <r>
    <s v="Unibail"/>
    <x v="5"/>
    <x v="4"/>
    <n v="0.87"/>
  </r>
  <r>
    <s v="Man Group"/>
    <x v="1"/>
    <x v="4"/>
    <n v="2.56"/>
  </r>
  <r>
    <s v="MISC"/>
    <x v="43"/>
    <x v="17"/>
    <n v="2.8"/>
  </r>
  <r>
    <s v="Daikin Industries"/>
    <x v="4"/>
    <x v="23"/>
    <n v="6.8"/>
  </r>
  <r>
    <s v="Südzucker"/>
    <x v="7"/>
    <x v="10"/>
    <n v="6.39"/>
  </r>
  <r>
    <s v="Banca Popolare Italiana"/>
    <x v="8"/>
    <x v="0"/>
    <n v="3.68"/>
  </r>
  <r>
    <s v="Mohawk Industries"/>
    <x v="0"/>
    <x v="5"/>
    <n v="6.62"/>
  </r>
  <r>
    <s v="Foster's Group"/>
    <x v="14"/>
    <x v="10"/>
    <n v="3.02"/>
  </r>
  <r>
    <s v="Freescale Semiconductor"/>
    <x v="0"/>
    <x v="13"/>
    <n v="5.84"/>
  </r>
  <r>
    <s v="Luxottica Group"/>
    <x v="8"/>
    <x v="7"/>
    <n v="4.42"/>
  </r>
  <r>
    <s v="Metro Inc"/>
    <x v="13"/>
    <x v="21"/>
    <n v="5.76"/>
  </r>
  <r>
    <s v="CenterPoint Energy"/>
    <x v="0"/>
    <x v="11"/>
    <n v="9.7200000000000006"/>
  </r>
  <r>
    <s v="Cosmo Oil"/>
    <x v="4"/>
    <x v="3"/>
    <n v="20.100000000000001"/>
  </r>
  <r>
    <s v="Tesoro"/>
    <x v="0"/>
    <x v="3"/>
    <n v="16.579999999999998"/>
  </r>
  <r>
    <s v="Bâloise Group"/>
    <x v="3"/>
    <x v="2"/>
    <n v="8"/>
  </r>
  <r>
    <s v="NCR"/>
    <x v="0"/>
    <x v="8"/>
    <n v="6.03"/>
  </r>
  <r>
    <s v="Grupo Televisa"/>
    <x v="28"/>
    <x v="15"/>
    <n v="3.06"/>
  </r>
  <r>
    <s v="Rohm"/>
    <x v="4"/>
    <x v="13"/>
    <n v="3.44"/>
  </r>
  <r>
    <s v="TD Ameritrade Holding"/>
    <x v="0"/>
    <x v="4"/>
    <n v="1.18"/>
  </r>
  <r>
    <s v="Shoppers Drug Mart"/>
    <x v="13"/>
    <x v="6"/>
    <n v="6.15"/>
  </r>
  <r>
    <s v="Securitas"/>
    <x v="25"/>
    <x v="24"/>
    <n v="8.3000000000000007"/>
  </r>
  <r>
    <s v="Hokkaido Electric Power"/>
    <x v="4"/>
    <x v="11"/>
    <n v="4.87"/>
  </r>
  <r>
    <s v="Smiths Group"/>
    <x v="1"/>
    <x v="1"/>
    <n v="5.3"/>
  </r>
  <r>
    <s v="Bangkok Bank"/>
    <x v="36"/>
    <x v="0"/>
    <n v="1.72"/>
  </r>
  <r>
    <s v="Conseco"/>
    <x v="0"/>
    <x v="2"/>
    <n v="4.3600000000000003"/>
  </r>
  <r>
    <s v="Supervalu"/>
    <x v="0"/>
    <x v="21"/>
    <n v="19.809999999999999"/>
  </r>
  <r>
    <s v="Symantec"/>
    <x v="0"/>
    <x v="14"/>
    <n v="3.62"/>
  </r>
  <r>
    <s v="Bed Bath &amp; Beyond"/>
    <x v="0"/>
    <x v="6"/>
    <n v="5.59"/>
  </r>
  <r>
    <s v="Goodyear"/>
    <x v="0"/>
    <x v="5"/>
    <n v="19.72"/>
  </r>
  <r>
    <s v="Torchmark"/>
    <x v="0"/>
    <x v="2"/>
    <n v="3.12"/>
  </r>
  <r>
    <s v="Türkiye Garanti Bankasi"/>
    <x v="33"/>
    <x v="0"/>
    <n v="3.45"/>
  </r>
  <r>
    <s v="Archstone-Smith"/>
    <x v="0"/>
    <x v="4"/>
    <n v="0.95"/>
  </r>
  <r>
    <s v="Eiffage"/>
    <x v="5"/>
    <x v="26"/>
    <n v="10.6"/>
  </r>
  <r>
    <s v="ProLogis"/>
    <x v="0"/>
    <x v="4"/>
    <n v="0.73"/>
  </r>
  <r>
    <s v="UAL"/>
    <x v="0"/>
    <x v="17"/>
    <n v="17.38"/>
  </r>
  <r>
    <s v="Canadian Tire"/>
    <x v="13"/>
    <x v="6"/>
    <n v="6.68"/>
  </r>
  <r>
    <s v="CA"/>
    <x v="0"/>
    <x v="14"/>
    <n v="3.76"/>
  </r>
  <r>
    <s v="First American"/>
    <x v="0"/>
    <x v="2"/>
    <n v="8.06"/>
  </r>
  <r>
    <s v="OPAP"/>
    <x v="39"/>
    <x v="25"/>
    <n v="4.3099999999999996"/>
  </r>
  <r>
    <s v="Wm Wrigley Jr"/>
    <x v="0"/>
    <x v="10"/>
    <n v="4.16"/>
  </r>
  <r>
    <s v="Hershey"/>
    <x v="0"/>
    <x v="10"/>
    <n v="4.84"/>
  </r>
  <r>
    <s v="VF"/>
    <x v="0"/>
    <x v="7"/>
    <n v="6.43"/>
  </r>
  <r>
    <s v="Compass Bancshares"/>
    <x v="0"/>
    <x v="0"/>
    <n v="2.2000000000000002"/>
  </r>
  <r>
    <s v="Hyundai Heavy Industries"/>
    <x v="9"/>
    <x v="23"/>
    <n v="11.5"/>
  </r>
  <r>
    <s v="El Paso"/>
    <x v="0"/>
    <x v="3"/>
    <n v="4.54"/>
  </r>
  <r>
    <s v="VNU"/>
    <x v="2"/>
    <x v="15"/>
    <n v="5.13"/>
  </r>
  <r>
    <s v="Genzyme"/>
    <x v="0"/>
    <x v="12"/>
    <n v="2.73"/>
  </r>
  <r>
    <s v="Shinsegae"/>
    <x v="9"/>
    <x v="6"/>
    <n v="7.04"/>
  </r>
  <r>
    <s v="Korean Air"/>
    <x v="9"/>
    <x v="17"/>
    <n v="7.16"/>
  </r>
  <r>
    <s v="Old Republic Intl"/>
    <x v="0"/>
    <x v="2"/>
    <n v="3.7"/>
  </r>
  <r>
    <s v="Avaya"/>
    <x v="0"/>
    <x v="8"/>
    <n v="5"/>
  </r>
  <r>
    <s v="Voestalpine"/>
    <x v="32"/>
    <x v="18"/>
    <n v="7.49"/>
  </r>
  <r>
    <s v="Quanta Computer"/>
    <x v="34"/>
    <x v="8"/>
    <n v="10.38"/>
  </r>
  <r>
    <s v="Remgro"/>
    <x v="31"/>
    <x v="1"/>
    <n v="1.6"/>
  </r>
  <r>
    <s v="UCB"/>
    <x v="18"/>
    <x v="12"/>
    <n v="4.16"/>
  </r>
  <r>
    <s v="Turkcell"/>
    <x v="33"/>
    <x v="9"/>
    <n v="3.7"/>
  </r>
  <r>
    <s v="Advanced Micro"/>
    <x v="0"/>
    <x v="13"/>
    <n v="5.85"/>
  </r>
  <r>
    <s v="Shikoku Electric Power"/>
    <x v="4"/>
    <x v="11"/>
    <n v="5.38"/>
  </r>
  <r>
    <s v="AutoZone"/>
    <x v="0"/>
    <x v="6"/>
    <n v="5.76"/>
  </r>
  <r>
    <s v="National Oilwell Varco"/>
    <x v="0"/>
    <x v="3"/>
    <n v="4.6399999999999997"/>
  </r>
  <r>
    <s v="Public Bank"/>
    <x v="43"/>
    <x v="0"/>
    <n v="1.56"/>
  </r>
  <r>
    <s v="Chi Mei Optoelectronics"/>
    <x v="34"/>
    <x v="8"/>
    <n v="3.71"/>
  </r>
  <r>
    <s v="Huntington Bancshs"/>
    <x v="0"/>
    <x v="0"/>
    <n v="2.27"/>
  </r>
  <r>
    <s v="Jean Coutu Group"/>
    <x v="13"/>
    <x v="6"/>
    <n v="9.59"/>
  </r>
  <r>
    <s v="Woodside Petroleum"/>
    <x v="14"/>
    <x v="3"/>
    <n v="1.92"/>
  </r>
  <r>
    <s v="Deutsche Boerse"/>
    <x v="7"/>
    <x v="4"/>
    <n v="2.0699999999999998"/>
  </r>
  <r>
    <s v="Liberty Global"/>
    <x v="0"/>
    <x v="9"/>
    <n v="4.59"/>
  </r>
  <r>
    <s v="KarstadtQuelle Group"/>
    <x v="7"/>
    <x v="6"/>
    <n v="18.25"/>
  </r>
  <r>
    <s v="SKF Group"/>
    <x v="25"/>
    <x v="23"/>
    <n v="6.19"/>
  </r>
  <r>
    <s v="Hongkong Electric"/>
    <x v="20"/>
    <x v="11"/>
    <n v="1.47"/>
  </r>
  <r>
    <s v="Fiserv"/>
    <x v="0"/>
    <x v="14"/>
    <n v="4.0599999999999996"/>
  </r>
  <r>
    <s v="Mitsubishi Сырье"/>
    <x v="4"/>
    <x v="18"/>
    <n v="9.19"/>
  </r>
  <r>
    <s v="Rinker Group"/>
    <x v="14"/>
    <x v="26"/>
    <n v="4.5199999999999996"/>
  </r>
  <r>
    <s v="Yamada Denki"/>
    <x v="4"/>
    <x v="6"/>
    <n v="10.29"/>
  </r>
  <r>
    <s v="Severn Trent"/>
    <x v="1"/>
    <x v="11"/>
    <n v="3.93"/>
  </r>
  <r>
    <s v="Temple-Inland"/>
    <x v="0"/>
    <x v="18"/>
    <n v="4.8600000000000003"/>
  </r>
  <r>
    <s v="Nitto Denko"/>
    <x v="4"/>
    <x v="20"/>
    <n v="4.8"/>
  </r>
  <r>
    <s v="Taylor Woodrow"/>
    <x v="1"/>
    <x v="26"/>
    <n v="6.45"/>
  </r>
  <r>
    <s v="Sherwin-Williams"/>
    <x v="0"/>
    <x v="6"/>
    <n v="7.19"/>
  </r>
  <r>
    <s v="Wharf (Holdings)"/>
    <x v="20"/>
    <x v="4"/>
    <n v="1.54"/>
  </r>
  <r>
    <s v="Liberty International"/>
    <x v="1"/>
    <x v="4"/>
    <n v="0.75"/>
  </r>
  <r>
    <s v="Manulife Financial"/>
    <x v="13"/>
    <x v="2"/>
    <n v="26.7"/>
  </r>
  <r>
    <s v="Hankyu Holdings"/>
    <x v="4"/>
    <x v="17"/>
    <n v="4.45"/>
  </r>
  <r>
    <s v="Kaupthing Bank"/>
    <x v="50"/>
    <x v="0"/>
    <n v="1.38"/>
  </r>
  <r>
    <s v="Finatis"/>
    <x v="5"/>
    <x v="22"/>
    <n v="32.369999999999997"/>
  </r>
  <r>
    <s v="Reuters Group"/>
    <x v="1"/>
    <x v="15"/>
    <n v="4.1399999999999997"/>
  </r>
  <r>
    <s v="Storebrand"/>
    <x v="16"/>
    <x v="2"/>
    <n v="4.49"/>
  </r>
  <r>
    <s v="Affiliated Computer"/>
    <x v="0"/>
    <x v="14"/>
    <n v="4.9400000000000004"/>
  </r>
  <r>
    <s v="ITV"/>
    <x v="1"/>
    <x v="15"/>
    <n v="3.94"/>
  </r>
  <r>
    <s v="Sojitz"/>
    <x v="4"/>
    <x v="22"/>
    <n v="43.63"/>
  </r>
  <r>
    <s v="Mosaic"/>
    <x v="0"/>
    <x v="20"/>
    <n v="5.49"/>
  </r>
  <r>
    <s v="Manpower"/>
    <x v="0"/>
    <x v="24"/>
    <n v="16.079999999999998"/>
  </r>
  <r>
    <s v="Hudson City Bancorp"/>
    <x v="0"/>
    <x v="0"/>
    <n v="1.19"/>
  </r>
  <r>
    <s v="Aramark"/>
    <x v="0"/>
    <x v="24"/>
    <n v="11.16"/>
  </r>
  <r>
    <s v="Hammerson"/>
    <x v="1"/>
    <x v="4"/>
    <n v="0.42"/>
  </r>
  <r>
    <s v="LG Chem"/>
    <x v="9"/>
    <x v="20"/>
    <n v="11.2"/>
  </r>
  <r>
    <s v="Tele2"/>
    <x v="25"/>
    <x v="9"/>
    <n v="6.28"/>
  </r>
  <r>
    <s v="Beiersdorf"/>
    <x v="7"/>
    <x v="7"/>
    <n v="5.65"/>
  </r>
  <r>
    <s v="Metalurgica Gerdau"/>
    <x v="10"/>
    <x v="18"/>
    <n v="7.38"/>
  </r>
  <r>
    <s v="Eastman Chemical"/>
    <x v="0"/>
    <x v="20"/>
    <n v="7.06"/>
  </r>
  <r>
    <s v="Gilead Sciences"/>
    <x v="0"/>
    <x v="12"/>
    <n v="2.0299999999999998"/>
  </r>
  <r>
    <s v="Sega Sammy Holdings"/>
    <x v="4"/>
    <x v="5"/>
    <n v="4.8099999999999996"/>
  </r>
  <r>
    <s v="New World Development"/>
    <x v="20"/>
    <x v="26"/>
    <n v="2.87"/>
  </r>
  <r>
    <s v="Bank of East Asia"/>
    <x v="20"/>
    <x v="0"/>
    <n v="1.01"/>
  </r>
  <r>
    <s v="Next"/>
    <x v="1"/>
    <x v="6"/>
    <n v="5.38"/>
  </r>
  <r>
    <s v="Bank of Fukuoka"/>
    <x v="4"/>
    <x v="0"/>
    <n v="1.51"/>
  </r>
  <r>
    <s v="Land Securities Group"/>
    <x v="1"/>
    <x v="4"/>
    <n v="3.1"/>
  </r>
  <r>
    <s v="Fuji Heavy Inds"/>
    <x v="4"/>
    <x v="5"/>
    <n v="13.5"/>
  </r>
  <r>
    <s v="Infineon Technologies"/>
    <x v="7"/>
    <x v="13"/>
    <n v="8.1199999999999992"/>
  </r>
  <r>
    <s v="Commerce Bancorp"/>
    <x v="0"/>
    <x v="0"/>
    <n v="2.11"/>
  </r>
  <r>
    <s v="Kawasaki Kisen Kaisha"/>
    <x v="4"/>
    <x v="17"/>
    <n v="7.73"/>
  </r>
  <r>
    <s v="Yara International"/>
    <x v="16"/>
    <x v="20"/>
    <n v="7.1"/>
  </r>
  <r>
    <s v="Rexam"/>
    <x v="1"/>
    <x v="18"/>
    <n v="5.56"/>
  </r>
  <r>
    <s v="General Growth Prop"/>
    <x v="0"/>
    <x v="4"/>
    <n v="3.07"/>
  </r>
  <r>
    <s v="Hoya"/>
    <x v="4"/>
    <x v="8"/>
    <n v="2.88"/>
  </r>
  <r>
    <s v="Noble Energy"/>
    <x v="0"/>
    <x v="3"/>
    <n v="2.19"/>
  </r>
  <r>
    <s v="Hokuriku Electric Power"/>
    <x v="4"/>
    <x v="11"/>
    <n v="4.3899999999999997"/>
  </r>
  <r>
    <s v="Scana"/>
    <x v="0"/>
    <x v="11"/>
    <n v="4.78"/>
  </r>
  <r>
    <s v="First Financial Holding"/>
    <x v="34"/>
    <x v="0"/>
    <n v="2.12"/>
  </r>
  <r>
    <s v="Cooper Industries"/>
    <x v="19"/>
    <x v="23"/>
    <n v="4.7300000000000004"/>
  </r>
  <r>
    <s v="Joyo Bank"/>
    <x v="4"/>
    <x v="0"/>
    <n v="1.37"/>
  </r>
  <r>
    <s v="Constellation Brands"/>
    <x v="0"/>
    <x v="10"/>
    <n v="4.59"/>
  </r>
  <r>
    <s v="Hua Nan Financial"/>
    <x v="34"/>
    <x v="4"/>
    <n v="1.93"/>
  </r>
  <r>
    <s v="IKB"/>
    <x v="7"/>
    <x v="0"/>
    <n v="5.73"/>
  </r>
  <r>
    <s v="Kawasaki Heavy Inds"/>
    <x v="4"/>
    <x v="23"/>
    <n v="11.58"/>
  </r>
  <r>
    <s v="Forest Labs"/>
    <x v="0"/>
    <x v="12"/>
    <n v="2.86"/>
  </r>
  <r>
    <s v="Konica Minolta"/>
    <x v="4"/>
    <x v="7"/>
    <n v="9.9600000000000009"/>
  </r>
  <r>
    <s v="Tüpras-Türkiye Petrol"/>
    <x v="33"/>
    <x v="3"/>
    <n v="8.5"/>
  </r>
  <r>
    <s v="Persimmon"/>
    <x v="1"/>
    <x v="26"/>
    <n v="3.93"/>
  </r>
  <r>
    <s v="RR Donnelley &amp; Sons"/>
    <x v="0"/>
    <x v="15"/>
    <n v="8.43"/>
  </r>
  <r>
    <s v="Wiener Stadtische"/>
    <x v="32"/>
    <x v="2"/>
    <n v="5.63"/>
  </r>
  <r>
    <s v="Banca Popolare di Milano"/>
    <x v="8"/>
    <x v="0"/>
    <n v="3.25"/>
  </r>
  <r>
    <s v="Boston Properties"/>
    <x v="0"/>
    <x v="4"/>
    <n v="1.44"/>
  </r>
  <r>
    <s v="Swatch Group"/>
    <x v="3"/>
    <x v="7"/>
    <n v="3.49"/>
  </r>
  <r>
    <s v="Equity Office Prop"/>
    <x v="0"/>
    <x v="4"/>
    <n v="3"/>
  </r>
  <r>
    <s v="Coca-Cola Femsa"/>
    <x v="28"/>
    <x v="10"/>
    <n v="4.18"/>
  </r>
  <r>
    <s v="Dentsu"/>
    <x v="4"/>
    <x v="15"/>
    <n v="2.97"/>
  </r>
  <r>
    <s v="W&amp;W-Wüstenrot"/>
    <x v="7"/>
    <x v="4"/>
    <n v="8.31"/>
  </r>
  <r>
    <s v="Delphi"/>
    <x v="0"/>
    <x v="5"/>
    <n v="27.2"/>
  </r>
  <r>
    <s v="Nidec"/>
    <x v="4"/>
    <x v="23"/>
    <n v="4.53"/>
  </r>
  <r>
    <s v="Bank Mandiri"/>
    <x v="48"/>
    <x v="0"/>
    <n v="2.33"/>
  </r>
  <r>
    <s v="Navistar Intl"/>
    <x v="0"/>
    <x v="5"/>
    <n v="11.6"/>
  </r>
  <r>
    <s v="Sumitomo Metal Mining"/>
    <x v="4"/>
    <x v="18"/>
    <n v="4.5199999999999996"/>
  </r>
  <r>
    <s v="St Jude Medical"/>
    <x v="0"/>
    <x v="19"/>
    <n v="2.92"/>
  </r>
  <r>
    <s v="Embraer"/>
    <x v="10"/>
    <x v="16"/>
    <n v="3.85"/>
  </r>
  <r>
    <s v="Clorox"/>
    <x v="0"/>
    <x v="7"/>
    <n v="4.51"/>
  </r>
  <r>
    <s v="Jabil Circuit"/>
    <x v="0"/>
    <x v="8"/>
    <n v="8.1"/>
  </r>
  <r>
    <s v="Telecom of New Zealand"/>
    <x v="51"/>
    <x v="9"/>
    <n v="3.35"/>
  </r>
  <r>
    <s v="Korea Gas"/>
    <x v="9"/>
    <x v="11"/>
    <n v="8.92"/>
  </r>
  <r>
    <s v="ALFA"/>
    <x v="28"/>
    <x v="1"/>
    <n v="6.53"/>
  </r>
  <r>
    <s v="Banca Lombarda Group"/>
    <x v="8"/>
    <x v="0"/>
    <n v="2.71"/>
  </r>
  <r>
    <s v="SES Global"/>
    <x v="24"/>
    <x v="15"/>
    <n v="1.46"/>
  </r>
  <r>
    <s v="Thomson"/>
    <x v="5"/>
    <x v="5"/>
    <n v="10.85"/>
  </r>
  <r>
    <s v="Fluor"/>
    <x v="0"/>
    <x v="26"/>
    <n v="11.94"/>
  </r>
  <r>
    <s v="Adobe Systems"/>
    <x v="0"/>
    <x v="14"/>
    <n v="1.97"/>
  </r>
  <r>
    <s v="Arrow Electronics"/>
    <x v="0"/>
    <x v="8"/>
    <n v="11.16"/>
  </r>
  <r>
    <s v="CapitaLand"/>
    <x v="35"/>
    <x v="4"/>
    <n v="2.31"/>
  </r>
  <r>
    <s v="Consol Energy"/>
    <x v="0"/>
    <x v="18"/>
    <n v="3.81"/>
  </r>
  <r>
    <s v="Samsung"/>
    <x v="9"/>
    <x v="22"/>
    <n v="15.4"/>
  </r>
  <r>
    <s v="Ingram Micro"/>
    <x v="0"/>
    <x v="8"/>
    <n v="28.81"/>
  </r>
  <r>
    <s v="Sun Life Financial"/>
    <x v="13"/>
    <x v="2"/>
    <n v="18.739999999999998"/>
  </r>
  <r>
    <s v="Estee Lauder Cos"/>
    <x v="0"/>
    <x v="7"/>
    <n v="6.36"/>
  </r>
  <r>
    <s v="Keppel"/>
    <x v="35"/>
    <x v="1"/>
    <n v="3.42"/>
  </r>
  <r>
    <s v="Capgemini Group"/>
    <x v="5"/>
    <x v="14"/>
    <n v="8.2200000000000006"/>
  </r>
  <r>
    <s v="Bharat Petroleum"/>
    <x v="29"/>
    <x v="3"/>
    <n v="14.75"/>
  </r>
  <r>
    <s v="Citic Pacific"/>
    <x v="20"/>
    <x v="1"/>
    <n v="2.95"/>
  </r>
  <r>
    <s v="Wisconsin Energy"/>
    <x v="0"/>
    <x v="11"/>
    <n v="3.82"/>
  </r>
  <r>
    <s v="Omnicare"/>
    <x v="0"/>
    <x v="19"/>
    <n v="5.29"/>
  </r>
  <r>
    <s v="Delta Air Lines"/>
    <x v="0"/>
    <x v="17"/>
    <n v="15.69"/>
  </r>
  <r>
    <s v="Salzgitter"/>
    <x v="7"/>
    <x v="18"/>
    <n v="8.06"/>
  </r>
  <r>
    <s v="Dollar General"/>
    <x v="0"/>
    <x v="6"/>
    <n v="8.3000000000000007"/>
  </r>
  <r>
    <s v="China Minsheng Банк"/>
    <x v="11"/>
    <x v="0"/>
    <n v="2.17"/>
  </r>
  <r>
    <s v="Olympus"/>
    <x v="4"/>
    <x v="19"/>
    <n v="7.59"/>
  </r>
  <r>
    <s v="GlobalSantaFe"/>
    <x v="42"/>
    <x v="3"/>
    <n v="2.2599999999999998"/>
  </r>
  <r>
    <s v="Bluescope Steel"/>
    <x v="14"/>
    <x v="18"/>
    <n v="6.04"/>
  </r>
  <r>
    <s v="Mattel"/>
    <x v="0"/>
    <x v="7"/>
    <n v="5.18"/>
  </r>
  <r>
    <s v="Bankinter"/>
    <x v="6"/>
    <x v="0"/>
    <n v="1.7"/>
  </r>
  <r>
    <s v="NVR"/>
    <x v="0"/>
    <x v="26"/>
    <n v="5.28"/>
  </r>
  <r>
    <s v="Sonae SGPS"/>
    <x v="38"/>
    <x v="1"/>
    <n v="9"/>
  </r>
  <r>
    <s v="BJ Services"/>
    <x v="0"/>
    <x v="3"/>
    <n v="3.46"/>
  </r>
  <r>
    <s v="Randstad Holding"/>
    <x v="2"/>
    <x v="24"/>
    <n v="7.85"/>
  </r>
  <r>
    <s v="Omron"/>
    <x v="4"/>
    <x v="24"/>
    <n v="5.68"/>
  </r>
  <r>
    <s v="Juniper Networks"/>
    <x v="0"/>
    <x v="8"/>
    <n v="2.06"/>
  </r>
  <r>
    <s v="Moody's"/>
    <x v="0"/>
    <x v="24"/>
    <n v="1.73"/>
  </r>
  <r>
    <s v="BPER-Emilia Romagna"/>
    <x v="8"/>
    <x v="0"/>
    <n v="3.18"/>
  </r>
  <r>
    <s v="Broadcom"/>
    <x v="0"/>
    <x v="13"/>
    <n v="2.67"/>
  </r>
  <r>
    <s v="Leucadia National"/>
    <x v="0"/>
    <x v="4"/>
    <n v="1.04"/>
  </r>
  <r>
    <s v="Mediolanum"/>
    <x v="8"/>
    <x v="2"/>
    <n v="3.41"/>
  </r>
  <r>
    <s v="Nikon"/>
    <x v="4"/>
    <x v="13"/>
    <n v="5.96"/>
  </r>
  <r>
    <s v="SPX"/>
    <x v="0"/>
    <x v="1"/>
    <n v="4.29"/>
  </r>
  <r>
    <s v="Huntsman"/>
    <x v="0"/>
    <x v="20"/>
    <n v="12.94"/>
  </r>
  <r>
    <s v="Banco BPI"/>
    <x v="38"/>
    <x v="4"/>
    <n v="2.4"/>
  </r>
  <r>
    <s v="Bidvest Group"/>
    <x v="31"/>
    <x v="1"/>
    <n v="9.4499999999999993"/>
  </r>
  <r>
    <s v="Ishikawajima-Harima"/>
    <x v="4"/>
    <x v="23"/>
    <n v="10.16"/>
  </r>
  <r>
    <s v="Energy East"/>
    <x v="0"/>
    <x v="11"/>
    <n v="5.3"/>
  </r>
  <r>
    <s v="Teijin"/>
    <x v="4"/>
    <x v="20"/>
    <n v="8.48"/>
  </r>
  <r>
    <s v="Smith International"/>
    <x v="0"/>
    <x v="3"/>
    <n v="5.58"/>
  </r>
  <r>
    <s v="Altana"/>
    <x v="7"/>
    <x v="12"/>
    <n v="4.0199999999999996"/>
  </r>
  <r>
    <s v="GS Holdings"/>
    <x v="9"/>
    <x v="4"/>
    <n v="9.48"/>
  </r>
  <r>
    <s v="Cattolica Assicurazioni"/>
    <x v="8"/>
    <x v="2"/>
    <n v="6.42"/>
  </r>
  <r>
    <s v="Investec"/>
    <x v="52"/>
    <x v="4"/>
    <n v="2.4700000000000002"/>
  </r>
  <r>
    <s v="Cemig"/>
    <x v="10"/>
    <x v="11"/>
    <n v="2.69"/>
  </r>
  <r>
    <s v="Uniqa"/>
    <x v="32"/>
    <x v="2"/>
    <n v="5.75"/>
  </r>
  <r>
    <s v="Calpine"/>
    <x v="0"/>
    <x v="11"/>
    <n v="9.23"/>
  </r>
  <r>
    <s v="Whitbread"/>
    <x v="1"/>
    <x v="25"/>
    <n v="3.68"/>
  </r>
  <r>
    <s v="New York Community"/>
    <x v="0"/>
    <x v="0"/>
    <n v="1.28"/>
  </r>
  <r>
    <s v="Goodrich"/>
    <x v="0"/>
    <x v="16"/>
    <n v="5.4"/>
  </r>
  <r>
    <s v="Health Net"/>
    <x v="0"/>
    <x v="19"/>
    <n v="11.94"/>
  </r>
  <r>
    <s v="TRW Automotive Hldgs"/>
    <x v="0"/>
    <x v="5"/>
    <n v="12.64"/>
  </r>
  <r>
    <s v="WW Grainger"/>
    <x v="0"/>
    <x v="23"/>
    <n v="5.53"/>
  </r>
  <r>
    <s v="Associated Banc-Corp"/>
    <x v="0"/>
    <x v="0"/>
    <n v="1.39"/>
  </r>
  <r>
    <s v="Schindler Holding"/>
    <x v="3"/>
    <x v="23"/>
    <n v="7.21"/>
  </r>
  <r>
    <s v="Furukawa Electric"/>
    <x v="4"/>
    <x v="23"/>
    <n v="7.24"/>
  </r>
  <r>
    <s v="Bank Central Asia"/>
    <x v="48"/>
    <x v="0"/>
    <n v="1.43"/>
  </r>
  <r>
    <s v="Everest Re Group"/>
    <x v="19"/>
    <x v="2"/>
    <n v="4.5599999999999996"/>
  </r>
  <r>
    <s v="Allied Waste Inds"/>
    <x v="0"/>
    <x v="24"/>
    <n v="5.73"/>
  </r>
  <r>
    <s v="Cablevision NY Group"/>
    <x v="0"/>
    <x v="15"/>
    <n v="5.18"/>
  </r>
  <r>
    <s v="Ecolab"/>
    <x v="0"/>
    <x v="20"/>
    <n v="4.53"/>
  </r>
  <r>
    <s v="Hanjin Shipping"/>
    <x v="9"/>
    <x v="17"/>
    <n v="6.93"/>
  </r>
  <r>
    <s v="Tata Steel"/>
    <x v="29"/>
    <x v="18"/>
    <n v="3.66"/>
  </r>
  <r>
    <s v="Sekisui Chemical"/>
    <x v="4"/>
    <x v="26"/>
    <n v="8"/>
  </r>
  <r>
    <s v="Fairfax Financial"/>
    <x v="13"/>
    <x v="2"/>
    <n v="6.1"/>
  </r>
  <r>
    <s v="Impala Platinum Holdings"/>
    <x v="31"/>
    <x v="18"/>
    <n v="1.89"/>
  </r>
  <r>
    <s v="Hachijuni Bank"/>
    <x v="4"/>
    <x v="0"/>
    <n v="1.56"/>
  </r>
  <r>
    <s v="Neptune Orient Lines"/>
    <x v="35"/>
    <x v="17"/>
    <n v="6.76"/>
  </r>
  <r>
    <s v="Micron Technology"/>
    <x v="0"/>
    <x v="13"/>
    <n v="4.9800000000000004"/>
  </r>
  <r>
    <s v="Technip"/>
    <x v="5"/>
    <x v="3"/>
    <n v="6.35"/>
  </r>
  <r>
    <s v="William Hill"/>
    <x v="1"/>
    <x v="25"/>
    <n v="15.91"/>
  </r>
  <r>
    <s v="Barratt Developments"/>
    <x v="1"/>
    <x v="26"/>
    <n v="4.5"/>
  </r>
  <r>
    <s v="Molson Coors Brewing"/>
    <x v="0"/>
    <x v="10"/>
    <n v="5.51"/>
  </r>
  <r>
    <s v="Kasikornbank"/>
    <x v="36"/>
    <x v="0"/>
    <n v="1.19"/>
  </r>
  <r>
    <s v="Australian Gas Light"/>
    <x v="14"/>
    <x v="11"/>
    <n v="3.09"/>
  </r>
  <r>
    <s v="Imperial Holdings"/>
    <x v="31"/>
    <x v="17"/>
    <n v="6.4"/>
  </r>
  <r>
    <s v="SMC"/>
    <x v="4"/>
    <x v="23"/>
    <n v="2.61"/>
  </r>
  <r>
    <s v="Rockwell Collins"/>
    <x v="0"/>
    <x v="16"/>
    <n v="3.56"/>
  </r>
  <r>
    <s v="British Land"/>
    <x v="1"/>
    <x v="4"/>
    <n v="1.1499999999999999"/>
  </r>
  <r>
    <s v="Rite Aid"/>
    <x v="0"/>
    <x v="6"/>
    <n v="16.84"/>
  </r>
  <r>
    <s v="Darden Restaurants"/>
    <x v="0"/>
    <x v="25"/>
    <n v="5.5"/>
  </r>
  <r>
    <s v="Tobu Railway"/>
    <x v="4"/>
    <x v="17"/>
    <n v="5.95"/>
  </r>
  <r>
    <s v="Astra International"/>
    <x v="48"/>
    <x v="5"/>
    <n v="4.79"/>
  </r>
  <r>
    <s v="Tata Consultancy Svcs"/>
    <x v="29"/>
    <x v="24"/>
    <n v="2.23"/>
  </r>
  <r>
    <s v="Public Storage"/>
    <x v="0"/>
    <x v="4"/>
    <n v="1.06"/>
  </r>
  <r>
    <s v="Taiheiyo Cement"/>
    <x v="4"/>
    <x v="26"/>
    <n v="8.14"/>
  </r>
  <r>
    <s v="Hochtief"/>
    <x v="7"/>
    <x v="26"/>
    <n v="16.21"/>
  </r>
  <r>
    <s v="George Wimpey"/>
    <x v="1"/>
    <x v="26"/>
    <n v="5.16"/>
  </r>
  <r>
    <s v="Autoliv"/>
    <x v="0"/>
    <x v="5"/>
    <n v="6.2"/>
  </r>
  <r>
    <s v="Industrial Alliance Insur"/>
    <x v="13"/>
    <x v="2"/>
    <n v="3.46"/>
  </r>
  <r>
    <s v="Publishing &amp; Broadcasting"/>
    <x v="14"/>
    <x v="15"/>
    <n v="2.5299999999999998"/>
  </r>
  <r>
    <s v="ITC"/>
    <x v="29"/>
    <x v="10"/>
    <n v="1.84"/>
  </r>
  <r>
    <s v="Smithfield Foods"/>
    <x v="0"/>
    <x v="10"/>
    <n v="11.84"/>
  </r>
  <r>
    <s v="MGIC Investment"/>
    <x v="0"/>
    <x v="2"/>
    <n v="1.53"/>
  </r>
  <r>
    <s v="Mechel"/>
    <x v="12"/>
    <x v="18"/>
    <n v="3.64"/>
  </r>
  <r>
    <s v="Mediceo Paltac Hldgs"/>
    <x v="4"/>
    <x v="19"/>
    <n v="15.54"/>
  </r>
  <r>
    <s v="American Finl Group"/>
    <x v="0"/>
    <x v="2"/>
    <n v="4.04"/>
  </r>
  <r>
    <s v="Infosys Technologies"/>
    <x v="29"/>
    <x v="24"/>
    <n v="1.63"/>
  </r>
  <r>
    <s v="Mirant"/>
    <x v="0"/>
    <x v="11"/>
    <n v="3.7"/>
  </r>
  <r>
    <s v="Marui"/>
    <x v="4"/>
    <x v="6"/>
    <n v="5.19"/>
  </r>
  <r>
    <s v="Carlsberg"/>
    <x v="22"/>
    <x v="10"/>
    <n v="6.56"/>
  </r>
  <r>
    <s v="Lexmark International"/>
    <x v="0"/>
    <x v="24"/>
    <n v="5.22"/>
  </r>
  <r>
    <s v="Northwest Airlines"/>
    <x v="0"/>
    <x v="17"/>
    <n v="12.12"/>
  </r>
  <r>
    <s v="Piraeus Bank"/>
    <x v="39"/>
    <x v="0"/>
    <n v="1.4"/>
  </r>
  <r>
    <s v="Kühne &amp; Nagel Intl"/>
    <x v="3"/>
    <x v="17"/>
    <n v="8"/>
  </r>
  <r>
    <s v="Analog Devices"/>
    <x v="0"/>
    <x v="13"/>
    <n v="2.4300000000000002"/>
  </r>
  <r>
    <s v="Celanese Corp"/>
    <x v="0"/>
    <x v="20"/>
    <n v="6.07"/>
  </r>
  <r>
    <s v="Coca-Cola HBC"/>
    <x v="39"/>
    <x v="10"/>
    <n v="5.76"/>
  </r>
  <r>
    <s v="Interpublic Group"/>
    <x v="0"/>
    <x v="15"/>
    <n v="6.35"/>
  </r>
  <r>
    <s v="Hindustan Petroleum"/>
    <x v="29"/>
    <x v="3"/>
    <n v="14.29"/>
  </r>
  <r>
    <s v="Pioneer Natural Res"/>
    <x v="0"/>
    <x v="3"/>
    <n v="2.37"/>
  </r>
  <r>
    <s v="Bank of Kyoto"/>
    <x v="4"/>
    <x v="0"/>
    <n v="0.94"/>
  </r>
  <r>
    <s v="Hokuhoku Finl Group"/>
    <x v="4"/>
    <x v="0"/>
    <n v="1.79"/>
  </r>
  <r>
    <s v="Newell Rubbermaid"/>
    <x v="0"/>
    <x v="7"/>
    <n v="6.48"/>
  </r>
  <r>
    <s v="KT&amp;G"/>
    <x v="9"/>
    <x v="10"/>
    <n v="2.93"/>
  </r>
  <r>
    <s v="Tate &amp; Lyle Group"/>
    <x v="1"/>
    <x v="10"/>
    <n v="5.67"/>
  </r>
  <r>
    <s v="Willis Group Holdings"/>
    <x v="1"/>
    <x v="2"/>
    <n v="2.27"/>
  </r>
  <r>
    <s v="Takashimaya"/>
    <x v="4"/>
    <x v="6"/>
    <n v="9.82"/>
  </r>
  <r>
    <s v="Italmobiliare"/>
    <x v="8"/>
    <x v="26"/>
    <n v="6.35"/>
  </r>
  <r>
    <s v="Mercantile Bkshs"/>
    <x v="0"/>
    <x v="0"/>
    <n v="1.06"/>
  </r>
  <r>
    <s v="Rentokil Initial"/>
    <x v="1"/>
    <x v="24"/>
    <n v="3.95"/>
  </r>
  <r>
    <s v="Henderson Group"/>
    <x v="1"/>
    <x v="4"/>
    <n v="4.79"/>
  </r>
  <r>
    <s v="Amcor"/>
    <x v="14"/>
    <x v="18"/>
    <n v="8.4499999999999993"/>
  </r>
  <r>
    <s v="Paychex"/>
    <x v="0"/>
    <x v="24"/>
    <n v="1.56"/>
  </r>
  <r>
    <s v="Julius Baer Holding"/>
    <x v="3"/>
    <x v="4"/>
    <n v="1.42"/>
  </r>
  <r>
    <s v="New Century Financial"/>
    <x v="0"/>
    <x v="4"/>
    <n v="2.44"/>
  </r>
  <r>
    <s v="HDFC-Housing Devel"/>
    <x v="29"/>
    <x v="4"/>
    <n v="0.85"/>
  </r>
  <r>
    <s v="Showa Denko"/>
    <x v="4"/>
    <x v="20"/>
    <n v="6.88"/>
  </r>
  <r>
    <s v="Falconbridge"/>
    <x v="13"/>
    <x v="18"/>
    <n v="8.4600000000000009"/>
  </r>
  <r>
    <s v="Rakuten"/>
    <x v="4"/>
    <x v="24"/>
    <n v="1.1000000000000001"/>
  </r>
  <r>
    <s v="Valeo"/>
    <x v="5"/>
    <x v="5"/>
    <n v="11.74"/>
  </r>
  <r>
    <s v="Siam Commercial Bank"/>
    <x v="36"/>
    <x v="0"/>
    <n v="1.24"/>
  </r>
  <r>
    <s v="MeadWestvaco"/>
    <x v="0"/>
    <x v="18"/>
    <n v="6.17"/>
  </r>
  <r>
    <s v="Odakyu Electric Railway"/>
    <x v="4"/>
    <x v="17"/>
    <n v="5.86"/>
  </r>
  <r>
    <s v="Tenet Healthcare"/>
    <x v="0"/>
    <x v="19"/>
    <n v="9.7200000000000006"/>
  </r>
  <r>
    <s v="ASML Holding"/>
    <x v="2"/>
    <x v="14"/>
    <n v="2.99"/>
  </r>
  <r>
    <s v="Brunswick"/>
    <x v="0"/>
    <x v="5"/>
    <n v="5.92"/>
  </r>
  <r>
    <s v="Krung-Thai Bank"/>
    <x v="36"/>
    <x v="0"/>
    <n v="1.39"/>
  </r>
  <r>
    <s v="Sapporo Hokuyo"/>
    <x v="4"/>
    <x v="0"/>
    <n v="1.54"/>
  </r>
  <r>
    <s v="Tata Motors"/>
    <x v="29"/>
    <x v="23"/>
    <n v="4.41"/>
  </r>
  <r>
    <s v="OKO Bank"/>
    <x v="21"/>
    <x v="0"/>
    <n v="1.18"/>
  </r>
  <r>
    <s v="Rautaruukki"/>
    <x v="21"/>
    <x v="18"/>
    <n v="4.32"/>
  </r>
  <r>
    <s v="Coach"/>
    <x v="0"/>
    <x v="7"/>
    <n v="1.93"/>
  </r>
  <r>
    <s v="Buzzi Unicem"/>
    <x v="8"/>
    <x v="26"/>
    <n v="3.76"/>
  </r>
  <r>
    <s v="Enterprise Inns"/>
    <x v="1"/>
    <x v="25"/>
    <n v="1.62"/>
  </r>
  <r>
    <s v="Wipro"/>
    <x v="29"/>
    <x v="24"/>
    <n v="1.87"/>
  </r>
  <r>
    <s v="Wendel Investissement"/>
    <x v="5"/>
    <x v="4"/>
    <n v="1.18"/>
  </r>
  <r>
    <s v="Promina Group"/>
    <x v="14"/>
    <x v="4"/>
    <n v="3"/>
  </r>
  <r>
    <s v="Univision Commun"/>
    <x v="0"/>
    <x v="15"/>
    <n v="1.9"/>
  </r>
  <r>
    <s v="Colruyt"/>
    <x v="18"/>
    <x v="21"/>
    <n v="5.75"/>
  </r>
  <r>
    <s v="Hyundai Steel"/>
    <x v="9"/>
    <x v="18"/>
    <n v="5.52"/>
  </r>
  <r>
    <s v="Oil &amp; Gas Development"/>
    <x v="53"/>
    <x v="3"/>
    <n v="1.1200000000000001"/>
  </r>
  <r>
    <s v="Gecina"/>
    <x v="5"/>
    <x v="4"/>
    <n v="0.79"/>
  </r>
  <r>
    <s v="Reliant Energy"/>
    <x v="0"/>
    <x v="11"/>
    <n v="9.73"/>
  </r>
  <r>
    <s v="Shiseido"/>
    <x v="4"/>
    <x v="7"/>
    <n v="5.97"/>
  </r>
  <r>
    <s v="Host Marriott"/>
    <x v="0"/>
    <x v="4"/>
    <n v="3.88"/>
  </r>
  <r>
    <s v="Maxim Integrated Prods"/>
    <x v="0"/>
    <x v="13"/>
    <n v="1.67"/>
  </r>
  <r>
    <s v="Electronic Arts"/>
    <x v="0"/>
    <x v="14"/>
    <n v="2.86"/>
  </r>
  <r>
    <s v="YRC Worldwide"/>
    <x v="0"/>
    <x v="17"/>
    <n v="8.74"/>
  </r>
  <r>
    <s v="Arch Capital Group"/>
    <x v="19"/>
    <x v="2"/>
    <n v="3.17"/>
  </r>
  <r>
    <s v="Bank Rakyat Indonesia"/>
    <x v="48"/>
    <x v="0"/>
    <n v="1.83"/>
  </r>
  <r>
    <s v="Washington Post"/>
    <x v="0"/>
    <x v="15"/>
    <n v="3.51"/>
  </r>
  <r>
    <s v="Laboratory Corp Amer"/>
    <x v="0"/>
    <x v="19"/>
    <n v="3.33"/>
  </r>
  <r>
    <s v="Fuji Television Network"/>
    <x v="4"/>
    <x v="15"/>
    <n v="4.45"/>
  </r>
  <r>
    <s v="Punjab National Bank"/>
    <x v="29"/>
    <x v="0"/>
    <n v="2.38"/>
  </r>
  <r>
    <s v="Marvell Technology Group"/>
    <x v="19"/>
    <x v="13"/>
    <n v="1.67"/>
  </r>
  <r>
    <s v="Tomkins"/>
    <x v="1"/>
    <x v="1"/>
    <n v="5.47"/>
  </r>
  <r>
    <s v="Taishin Financial Holding"/>
    <x v="34"/>
    <x v="4"/>
    <n v="1.82"/>
  </r>
  <r>
    <s v="Keyence"/>
    <x v="4"/>
    <x v="8"/>
    <n v="1.33"/>
  </r>
  <r>
    <s v="Bumiputra-Commerce Hldgs"/>
    <x v="43"/>
    <x v="0"/>
    <n v="1.76"/>
  </r>
  <r>
    <s v="Avnet"/>
    <x v="0"/>
    <x v="8"/>
    <n v="12.61"/>
  </r>
  <r>
    <s v="Allergan"/>
    <x v="0"/>
    <x v="12"/>
    <n v="2.3199999999999998"/>
  </r>
  <r>
    <s v="Fast Ритэйл"/>
    <x v="4"/>
    <x v="6"/>
    <n v="3.47"/>
  </r>
  <r>
    <s v="Radian Group"/>
    <x v="0"/>
    <x v="2"/>
    <n v="1.3"/>
  </r>
  <r>
    <s v="Wolters Kluwer"/>
    <x v="2"/>
    <x v="15"/>
    <n v="4.42"/>
  </r>
  <r>
    <s v="CH Robinson Worldwide"/>
    <x v="0"/>
    <x v="17"/>
    <n v="5.69"/>
  </r>
  <r>
    <s v="Terex"/>
    <x v="0"/>
    <x v="23"/>
    <n v="6.12"/>
  </r>
  <r>
    <s v="Daewoo Ship &amp; Marine"/>
    <x v="9"/>
    <x v="23"/>
    <n v="4.78"/>
  </r>
  <r>
    <s v="Dogan Holding"/>
    <x v="33"/>
    <x v="23"/>
    <n v="5.7"/>
  </r>
  <r>
    <s v="Biogen Idec"/>
    <x v="0"/>
    <x v="12"/>
    <n v="2.42"/>
  </r>
  <r>
    <s v="Great A&amp;P Tea"/>
    <x v="0"/>
    <x v="21"/>
    <n v="9.69"/>
  </r>
  <r>
    <s v="Metso"/>
    <x v="21"/>
    <x v="23"/>
    <n v="4.99"/>
  </r>
  <r>
    <s v="Hong Kong &amp; China Gas"/>
    <x v="20"/>
    <x v="11"/>
    <n v="1.05"/>
  </r>
  <r>
    <s v="Intl Game Technology"/>
    <x v="0"/>
    <x v="25"/>
    <n v="2.35"/>
  </r>
  <r>
    <s v="Safran"/>
    <x v="5"/>
    <x v="8"/>
    <n v="4.84"/>
  </r>
  <r>
    <s v="Thornburg Mortgage"/>
    <x v="0"/>
    <x v="4"/>
    <n v="1.51"/>
  </r>
  <r>
    <s v="China Resources Ent"/>
    <x v="20"/>
    <x v="1"/>
    <n v="6.06"/>
  </r>
  <r>
    <s v="Iberia"/>
    <x v="6"/>
    <x v="17"/>
    <n v="6.24"/>
  </r>
  <r>
    <s v="Lear"/>
    <x v="0"/>
    <x v="5"/>
    <n v="17.100000000000001"/>
  </r>
  <r>
    <s v="Leopalace21"/>
    <x v="4"/>
    <x v="4"/>
    <n v="4.4400000000000004"/>
  </r>
  <r>
    <s v="GAIL (India)"/>
    <x v="29"/>
    <x v="11"/>
    <n v="3.18"/>
  </r>
  <r>
    <s v="Kimco Realty"/>
    <x v="0"/>
    <x v="4"/>
    <n v="0.52"/>
  </r>
  <r>
    <s v="Avery Dennison"/>
    <x v="0"/>
    <x v="24"/>
    <n v="5.47"/>
  </r>
  <r>
    <s v="Kelda Group"/>
    <x v="1"/>
    <x v="11"/>
    <n v="1.44"/>
  </r>
  <r>
    <s v="Esprit Holdings"/>
    <x v="20"/>
    <x v="6"/>
    <n v="2.66"/>
  </r>
  <r>
    <s v="Sumitomo Heavy Inds"/>
    <x v="4"/>
    <x v="23"/>
    <n v="4.8600000000000003"/>
  </r>
  <r>
    <s v="CDW"/>
    <x v="0"/>
    <x v="6"/>
    <n v="6.29"/>
  </r>
  <r>
    <s v="CMS Energy"/>
    <x v="0"/>
    <x v="11"/>
    <n v="6.41"/>
  </r>
  <r>
    <s v="Diamond Lease"/>
    <x v="4"/>
    <x v="4"/>
    <n v="5.01"/>
  </r>
  <r>
    <s v="GPT Group"/>
    <x v="14"/>
    <x v="4"/>
    <n v="0.53"/>
  </r>
  <r>
    <s v="Barloworld"/>
    <x v="31"/>
    <x v="1"/>
    <n v="6.19"/>
  </r>
  <r>
    <s v="Linear Technology"/>
    <x v="0"/>
    <x v="13"/>
    <n v="1.07"/>
  </r>
  <r>
    <s v="Continental Airlines"/>
    <x v="0"/>
    <x v="17"/>
    <n v="11.21"/>
  </r>
  <r>
    <s v="Agricultural Bank Greece"/>
    <x v="39"/>
    <x v="0"/>
    <n v="1.29"/>
  </r>
  <r>
    <s v="Daito Trust Строительство"/>
    <x v="4"/>
    <x v="26"/>
    <n v="4.59"/>
  </r>
  <r>
    <s v="Helvetia Patria"/>
    <x v="3"/>
    <x v="2"/>
    <n v="5.16"/>
  </r>
  <r>
    <s v="Las Vegas Sands"/>
    <x v="0"/>
    <x v="25"/>
    <n v="1.74"/>
  </r>
  <r>
    <s v="Banque Nat de Belgique"/>
    <x v="18"/>
    <x v="0"/>
    <n v="1.25"/>
  </r>
  <r>
    <s v="Acer"/>
    <x v="34"/>
    <x v="8"/>
    <n v="7.08"/>
  </r>
  <r>
    <s v="Atos Origin"/>
    <x v="5"/>
    <x v="24"/>
    <n v="7.19"/>
  </r>
  <r>
    <s v="British Energy"/>
    <x v="1"/>
    <x v="11"/>
    <n v="3.14"/>
  </r>
  <r>
    <s v="Nextel Partners"/>
    <x v="0"/>
    <x v="9"/>
    <n v="1.8"/>
  </r>
  <r>
    <s v="PICC Property &amp; Casualty"/>
    <x v="11"/>
    <x v="2"/>
    <n v="6.21"/>
  </r>
  <r>
    <s v="Assa Abloy"/>
    <x v="25"/>
    <x v="23"/>
    <n v="3.49"/>
  </r>
  <r>
    <s v="Vulcan Materials"/>
    <x v="0"/>
    <x v="26"/>
    <n v="2.9"/>
  </r>
  <r>
    <s v="Ball"/>
    <x v="0"/>
    <x v="18"/>
    <n v="5.75"/>
  </r>
  <r>
    <s v="International Power"/>
    <x v="1"/>
    <x v="11"/>
    <n v="1.47"/>
  </r>
  <r>
    <s v="Protective Life"/>
    <x v="0"/>
    <x v="2"/>
    <n v="2.0699999999999998"/>
  </r>
  <r>
    <s v="Colonial BancGroup"/>
    <x v="0"/>
    <x v="0"/>
    <n v="0.89"/>
  </r>
  <r>
    <s v="Canara Bank"/>
    <x v="29"/>
    <x v="0"/>
    <n v="2.16"/>
  </r>
  <r>
    <s v="Synthes"/>
    <x v="3"/>
    <x v="19"/>
    <n v="1.93"/>
  </r>
  <r>
    <s v="Orascom Telecom"/>
    <x v="54"/>
    <x v="9"/>
    <n v="2.06"/>
  </r>
  <r>
    <s v="Taisho Pharmaceutical"/>
    <x v="4"/>
    <x v="12"/>
    <n v="2.61"/>
  </r>
  <r>
    <s v="Alcan"/>
    <x v="13"/>
    <x v="18"/>
    <n v="21.1"/>
  </r>
  <r>
    <s v="Yapi ve Kredi"/>
    <x v="33"/>
    <x v="0"/>
    <n v="3.31"/>
  </r>
  <r>
    <s v="BCV Group"/>
    <x v="3"/>
    <x v="0"/>
    <n v="1.26"/>
  </r>
  <r>
    <s v="Inco"/>
    <x v="13"/>
    <x v="18"/>
    <n v="4.6900000000000004"/>
  </r>
  <r>
    <s v="Precision Castparts"/>
    <x v="0"/>
    <x v="16"/>
    <n v="3.4"/>
  </r>
  <r>
    <s v="T Rowe Price"/>
    <x v="0"/>
    <x v="4"/>
    <n v="1.52"/>
  </r>
  <r>
    <s v="Imerys"/>
    <x v="5"/>
    <x v="26"/>
    <n v="3.9"/>
  </r>
  <r>
    <s v="Sinopec-Yangzi Petrochemical"/>
    <x v="11"/>
    <x v="20"/>
    <n v="3.79"/>
  </r>
  <r>
    <s v="NSK"/>
    <x v="4"/>
    <x v="23"/>
    <n v="5.42"/>
  </r>
  <r>
    <s v="VimpelCom"/>
    <x v="12"/>
    <x v="9"/>
    <n v="2.2200000000000002"/>
  </r>
  <r>
    <s v="Chicago Mercantile Exchange"/>
    <x v="0"/>
    <x v="4"/>
    <n v="0.98"/>
  </r>
  <r>
    <s v="Li &amp; Fung"/>
    <x v="20"/>
    <x v="22"/>
    <n v="6.07"/>
  </r>
  <r>
    <s v="Johnson Matthey"/>
    <x v="1"/>
    <x v="18"/>
    <n v="8.77"/>
  </r>
  <r>
    <s v="Essilor International"/>
    <x v="5"/>
    <x v="19"/>
    <n v="3.07"/>
  </r>
  <r>
    <s v="SanDisk"/>
    <x v="0"/>
    <x v="8"/>
    <n v="2.31"/>
  </r>
  <r>
    <s v="Dainippon Ink &amp; Chems"/>
    <x v="4"/>
    <x v="20"/>
    <n v="9.36"/>
  </r>
  <r>
    <s v="Jyske Bank"/>
    <x v="22"/>
    <x v="0"/>
    <n v="1.1399999999999999"/>
  </r>
  <r>
    <s v="UNY"/>
    <x v="4"/>
    <x v="6"/>
    <n v="11.4"/>
  </r>
  <r>
    <s v="Antofagasta"/>
    <x v="1"/>
    <x v="18"/>
    <n v="1.99"/>
  </r>
  <r>
    <s v="KLA-Tencor"/>
    <x v="0"/>
    <x v="13"/>
    <n v="2.0099999999999998"/>
  </r>
  <r>
    <s v="Smurfit-Stone"/>
    <x v="0"/>
    <x v="18"/>
    <n v="8.4"/>
  </r>
  <r>
    <s v="American Natl Ins"/>
    <x v="0"/>
    <x v="2"/>
    <n v="2.85"/>
  </r>
  <r>
    <s v="Health Management"/>
    <x v="0"/>
    <x v="19"/>
    <n v="3.71"/>
  </r>
  <r>
    <s v="CenturyTel"/>
    <x v="0"/>
    <x v="9"/>
    <n v="2.48"/>
  </r>
  <r>
    <s v="Slough Estates"/>
    <x v="1"/>
    <x v="4"/>
    <n v="0.65"/>
  </r>
  <r>
    <s v="Stockland"/>
    <x v="14"/>
    <x v="4"/>
    <n v="0.72"/>
  </r>
  <r>
    <s v="Northeast Коммунальные услуги"/>
    <x v="0"/>
    <x v="11"/>
    <n v="7.4"/>
  </r>
  <r>
    <s v="Thai Oil"/>
    <x v="36"/>
    <x v="3"/>
    <n v="6.06"/>
  </r>
  <r>
    <s v="Hovnanian Enterprises"/>
    <x v="0"/>
    <x v="26"/>
    <n v="5.35"/>
  </r>
  <r>
    <s v="Espirito Santo Finl"/>
    <x v="24"/>
    <x v="0"/>
    <n v="3.4"/>
  </r>
  <r>
    <s v="Metrovacesa"/>
    <x v="6"/>
    <x v="4"/>
    <n v="1.1299999999999999"/>
  </r>
  <r>
    <s v="NOK"/>
    <x v="4"/>
    <x v="20"/>
    <n v="3.8"/>
  </r>
  <r>
    <s v="Apollo-Education Group"/>
    <x v="0"/>
    <x v="24"/>
    <n v="2.35"/>
  </r>
  <r>
    <s v="Bharti Tele-Ventures"/>
    <x v="29"/>
    <x v="9"/>
    <n v="1.86"/>
  </r>
  <r>
    <s v="Air China"/>
    <x v="11"/>
    <x v="17"/>
    <n v="3.72"/>
  </r>
  <r>
    <s v="Advanced Info Service"/>
    <x v="36"/>
    <x v="9"/>
    <n v="2.48"/>
  </r>
  <r>
    <s v="Expeditors Intl"/>
    <x v="0"/>
    <x v="17"/>
    <n v="3.9"/>
  </r>
  <r>
    <s v="Nürnberger Beteiligungs"/>
    <x v="7"/>
    <x v="2"/>
    <n v="4.6500000000000004"/>
  </r>
  <r>
    <s v="Tokyu Land"/>
    <x v="4"/>
    <x v="4"/>
    <n v="5.04"/>
  </r>
  <r>
    <s v="Impac Mortgage Holding"/>
    <x v="0"/>
    <x v="4"/>
    <n v="1.25"/>
  </r>
  <r>
    <s v="Advantest"/>
    <x v="4"/>
    <x v="14"/>
    <n v="2.23"/>
  </r>
  <r>
    <s v="Dongkuk Steel Mill"/>
    <x v="9"/>
    <x v="18"/>
    <n v="4.68"/>
  </r>
  <r>
    <s v="Daewoo Engineering"/>
    <x v="9"/>
    <x v="26"/>
    <n v="4.6500000000000004"/>
  </r>
  <r>
    <s v="Hormel Foods"/>
    <x v="0"/>
    <x v="10"/>
    <n v="5.41"/>
  </r>
  <r>
    <s v="Visteon"/>
    <x v="0"/>
    <x v="5"/>
    <n v="16.98"/>
  </r>
  <r>
    <s v="Balfour Beatty"/>
    <x v="1"/>
    <x v="26"/>
    <n v="6.72"/>
  </r>
  <r>
    <s v="Avalonbay Communities"/>
    <x v="0"/>
    <x v="4"/>
    <n v="0.66"/>
  </r>
  <r>
    <s v="Natl Semiconductor"/>
    <x v="0"/>
    <x v="13"/>
    <n v="1.95"/>
  </r>
  <r>
    <s v="KKPC-Korea Kumho"/>
    <x v="9"/>
    <x v="20"/>
    <n v="7.71"/>
  </r>
  <r>
    <s v="China Cosco Holdings"/>
    <x v="11"/>
    <x v="17"/>
    <n v="3.89"/>
  </r>
  <r>
    <s v="Cintas"/>
    <x v="0"/>
    <x v="24"/>
    <n v="3.22"/>
  </r>
  <r>
    <s v="American Tower"/>
    <x v="0"/>
    <x v="9"/>
    <n v="0.94"/>
  </r>
  <r>
    <s v="IndyMac Bancorp"/>
    <x v="0"/>
    <x v="0"/>
    <n v="1.78"/>
  </r>
  <r>
    <s v="LG Corp"/>
    <x v="9"/>
    <x v="4"/>
    <n v="0.49"/>
  </r>
  <r>
    <s v="Philippine Long Dist Tele"/>
    <x v="55"/>
    <x v="9"/>
    <n v="2.25"/>
  </r>
  <r>
    <s v="DaVita"/>
    <x v="0"/>
    <x v="19"/>
    <n v="2.97"/>
  </r>
  <r>
    <s v="Fuji Electric Holdings"/>
    <x v="4"/>
    <x v="23"/>
    <n v="7.88"/>
  </r>
  <r>
    <s v="Biomet"/>
    <x v="0"/>
    <x v="19"/>
    <n v="1.96"/>
  </r>
  <r>
    <s v="Sealed Air"/>
    <x v="0"/>
    <x v="18"/>
    <n v="4.09"/>
  </r>
  <r>
    <s v="Nagoya Railroad"/>
    <x v="4"/>
    <x v="17"/>
    <n v="7.38"/>
  </r>
  <r>
    <s v="Toyo Seikan Kaisha"/>
    <x v="4"/>
    <x v="18"/>
    <n v="6.53"/>
  </r>
  <r>
    <s v="Banca Carige"/>
    <x v="8"/>
    <x v="0"/>
    <n v="1.58"/>
  </r>
  <r>
    <s v="Charter Commun"/>
    <x v="0"/>
    <x v="15"/>
    <n v="5.19"/>
  </r>
  <r>
    <s v="Intuit"/>
    <x v="0"/>
    <x v="14"/>
    <n v="2.1800000000000002"/>
  </r>
  <r>
    <s v="Allegheny Technologies"/>
    <x v="0"/>
    <x v="18"/>
    <n v="3.54"/>
  </r>
  <r>
    <s v="Finansbank"/>
    <x v="33"/>
    <x v="0"/>
    <n v="1.36"/>
  </r>
  <r>
    <s v="Tomen"/>
    <x v="4"/>
    <x v="22"/>
    <n v="14.72"/>
  </r>
  <r>
    <s v="Terna"/>
    <x v="8"/>
    <x v="11"/>
    <n v="1.34"/>
  </r>
  <r>
    <s v="Ciba Specialty Химическая отрасль"/>
    <x v="3"/>
    <x v="20"/>
    <n v="5.63"/>
  </r>
  <r>
    <s v="AmeriCredit"/>
    <x v="0"/>
    <x v="4"/>
    <n v="1.63"/>
  </r>
  <r>
    <s v="Circuit City Stores"/>
    <x v="0"/>
    <x v="6"/>
    <n v="11.16"/>
  </r>
  <r>
    <s v="Chugoku Bank"/>
    <x v="4"/>
    <x v="0"/>
    <n v="1.1100000000000001"/>
  </r>
  <r>
    <s v="iStar Financial"/>
    <x v="0"/>
    <x v="4"/>
    <n v="0.79"/>
  </r>
  <r>
    <s v="Ryanair Holdings"/>
    <x v="30"/>
    <x v="17"/>
    <n v="1.73"/>
  </r>
  <r>
    <s v="Polo Ralph Lauren"/>
    <x v="0"/>
    <x v="7"/>
    <n v="3.68"/>
  </r>
  <r>
    <s v="Tosoh"/>
    <x v="4"/>
    <x v="20"/>
    <n v="5.49"/>
  </r>
  <r>
    <s v="Wheelock &amp; Co"/>
    <x v="20"/>
    <x v="4"/>
    <n v="0.56999999999999995"/>
  </r>
  <r>
    <s v="Schroders"/>
    <x v="1"/>
    <x v="4"/>
    <n v="1.43"/>
  </r>
  <r>
    <s v="UST"/>
    <x v="0"/>
    <x v="10"/>
    <n v="1.85"/>
  </r>
  <r>
    <s v="Suzuken"/>
    <x v="4"/>
    <x v="19"/>
    <n v="12.42"/>
  </r>
  <r>
    <s v="Noble"/>
    <x v="42"/>
    <x v="3"/>
    <n v="1.38"/>
  </r>
  <r>
    <s v="Liz Claiborne"/>
    <x v="0"/>
    <x v="7"/>
    <n v="4.8499999999999996"/>
  </r>
  <r>
    <s v="Peninsular &amp; Oriental"/>
    <x v="1"/>
    <x v="17"/>
    <n v="4.5999999999999996"/>
  </r>
  <r>
    <s v="Vallourec"/>
    <x v="5"/>
    <x v="18"/>
    <n v="4.12"/>
  </r>
  <r>
    <s v="Cencosud"/>
    <x v="49"/>
    <x v="6"/>
    <n v="4.88"/>
  </r>
  <r>
    <s v="Expedia"/>
    <x v="0"/>
    <x v="24"/>
    <n v="2.12"/>
  </r>
  <r>
    <s v="PartyGaming"/>
    <x v="1"/>
    <x v="25"/>
    <n v="0.63"/>
  </r>
  <r>
    <s v="Hiroshima Bank"/>
    <x v="4"/>
    <x v="0"/>
    <n v="1.25"/>
  </r>
  <r>
    <s v="Plum Creek Timber"/>
    <x v="0"/>
    <x v="4"/>
    <n v="1.58"/>
  </r>
  <r>
    <s v="Grupo Bimbo"/>
    <x v="28"/>
    <x v="10"/>
    <n v="5.29"/>
  </r>
  <r>
    <s v="Leggett &amp; Platt"/>
    <x v="0"/>
    <x v="5"/>
    <n v="5.3"/>
  </r>
  <r>
    <s v="Brown-Forman"/>
    <x v="0"/>
    <x v="10"/>
    <n v="2.02"/>
  </r>
  <r>
    <s v="Teck Cominco"/>
    <x v="13"/>
    <x v="18"/>
    <n v="3.83"/>
  </r>
  <r>
    <s v="Shin Kong Financial"/>
    <x v="34"/>
    <x v="2"/>
    <n v="2.64"/>
  </r>
  <r>
    <s v="Developers Diversified Realty"/>
    <x v="0"/>
    <x v="4"/>
    <n v="0.73"/>
  </r>
  <r>
    <s v="City National"/>
    <x v="0"/>
    <x v="0"/>
    <n v="0.93"/>
  </r>
  <r>
    <s v="Santos"/>
    <x v="14"/>
    <x v="3"/>
    <n v="1.81"/>
  </r>
  <r>
    <s v="Credito Emiliano"/>
    <x v="8"/>
    <x v="0"/>
    <n v="1.71"/>
  </r>
  <r>
    <s v="Hyundai Merchant Marine"/>
    <x v="9"/>
    <x v="17"/>
    <n v="5.56"/>
  </r>
  <r>
    <s v="Ryland Group"/>
    <x v="0"/>
    <x v="26"/>
    <n v="4.82"/>
  </r>
  <r>
    <s v="Amvescap"/>
    <x v="1"/>
    <x v="4"/>
    <n v="2.06"/>
  </r>
  <r>
    <s v="Kazakhmys"/>
    <x v="1"/>
    <x v="18"/>
    <n v="1.31"/>
  </r>
  <r>
    <s v="OOIL-Orient Overseas"/>
    <x v="20"/>
    <x v="17"/>
    <n v="4.1500000000000004"/>
  </r>
  <r>
    <s v="Dana"/>
    <x v="0"/>
    <x v="5"/>
    <n v="9.76"/>
  </r>
  <r>
    <s v="Noble Group"/>
    <x v="20"/>
    <x v="17"/>
    <n v="8.64"/>
  </r>
  <r>
    <s v="Wendy's International"/>
    <x v="0"/>
    <x v="25"/>
    <n v="3.78"/>
  </r>
  <r>
    <s v="Israel Corp"/>
    <x v="45"/>
    <x v="20"/>
    <n v="5.44"/>
  </r>
  <r>
    <s v="Western Digital"/>
    <x v="0"/>
    <x v="8"/>
    <n v="3.99"/>
  </r>
  <r>
    <s v="Gunma Bank"/>
    <x v="4"/>
    <x v="0"/>
    <n v="1.24"/>
  </r>
  <r>
    <s v="Network Appliance"/>
    <x v="0"/>
    <x v="8"/>
    <n v="1.92"/>
  </r>
  <r>
    <s v="Toro Assicurazioni"/>
    <x v="8"/>
    <x v="2"/>
    <n v="3.87"/>
  </r>
  <r>
    <s v="SSAB-Svenskt Stal"/>
    <x v="25"/>
    <x v="18"/>
    <n v="3.49"/>
  </r>
  <r>
    <s v="Whole Foods Market"/>
    <x v="0"/>
    <x v="21"/>
    <n v="5"/>
  </r>
  <r>
    <s v="Inbursa Financiero"/>
    <x v="28"/>
    <x v="0"/>
    <n v="1.76"/>
  </r>
  <r>
    <s v="Erdemir"/>
    <x v="33"/>
    <x v="18"/>
    <n v="3.25"/>
  </r>
  <r>
    <s v="Braskem"/>
    <x v="10"/>
    <x v="20"/>
    <n v="4.7699999999999996"/>
  </r>
  <r>
    <s v="Thai Petrochemical Ind"/>
    <x v="36"/>
    <x v="20"/>
    <n v="3.97"/>
  </r>
  <r>
    <s v="MDC Holdings"/>
    <x v="0"/>
    <x v="26"/>
    <n v="4.88"/>
  </r>
  <r>
    <s v="Knight Ridder"/>
    <x v="0"/>
    <x v="15"/>
    <n v="3"/>
  </r>
  <r>
    <s v="Pinnacle West"/>
    <x v="0"/>
    <x v="11"/>
    <n v="2.99"/>
  </r>
  <r>
    <s v="Telephone &amp; Data Sys"/>
    <x v="0"/>
    <x v="9"/>
    <n v="3.81"/>
  </r>
  <r>
    <s v="Nishi-Nippon City Bank"/>
    <x v="4"/>
    <x v="0"/>
    <n v="1.26"/>
  </r>
  <r>
    <s v="Barrick Gold"/>
    <x v="13"/>
    <x v="18"/>
    <n v="2.44"/>
  </r>
  <r>
    <s v="Harman International"/>
    <x v="0"/>
    <x v="8"/>
    <n v="3.14"/>
  </r>
  <r>
    <s v="Engelhard"/>
    <x v="0"/>
    <x v="20"/>
    <n v="4.5999999999999996"/>
  </r>
  <r>
    <s v="Jtekt"/>
    <x v="4"/>
    <x v="23"/>
    <n v="5.32"/>
  </r>
  <r>
    <s v="Triad Hospitals"/>
    <x v="0"/>
    <x v="19"/>
    <n v="4.7"/>
  </r>
  <r>
    <s v="Landsbanki Islands"/>
    <x v="50"/>
    <x v="0"/>
    <n v="0.89"/>
  </r>
  <r>
    <s v="Emporiki Bank of Greece"/>
    <x v="39"/>
    <x v="0"/>
    <n v="1.57"/>
  </r>
  <r>
    <s v="Astoria Financial"/>
    <x v="0"/>
    <x v="0"/>
    <n v="1.19"/>
  </r>
  <r>
    <s v="Ryder System"/>
    <x v="0"/>
    <x v="24"/>
    <n v="5.74"/>
  </r>
  <r>
    <s v="Duke Realty"/>
    <x v="0"/>
    <x v="4"/>
    <n v="1.1299999999999999"/>
  </r>
  <r>
    <s v="Far Eastern Textile"/>
    <x v="34"/>
    <x v="23"/>
    <n v="3.82"/>
  </r>
  <r>
    <s v="Questar"/>
    <x v="0"/>
    <x v="11"/>
    <n v="2.72"/>
  </r>
  <r>
    <s v="TabCorp Holdings"/>
    <x v="14"/>
    <x v="25"/>
    <n v="2.86"/>
  </r>
  <r>
    <s v="CSL"/>
    <x v="14"/>
    <x v="12"/>
    <n v="2.09"/>
  </r>
  <r>
    <s v="Owens-Illinois"/>
    <x v="0"/>
    <x v="18"/>
    <n v="7.19"/>
  </r>
  <r>
    <s v="Larsen &amp; Toubro"/>
    <x v="29"/>
    <x v="23"/>
    <n v="3.29"/>
  </r>
  <r>
    <s v="Shinko Securities"/>
    <x v="4"/>
    <x v="4"/>
    <n v="1.05"/>
  </r>
  <r>
    <s v="Xilinx"/>
    <x v="0"/>
    <x v="13"/>
    <n v="1.64"/>
  </r>
  <r>
    <s v="Independence Community"/>
    <x v="0"/>
    <x v="0"/>
    <n v="0.96"/>
  </r>
  <r>
    <s v="Nisshin Steel"/>
    <x v="4"/>
    <x v="18"/>
    <n v="5"/>
  </r>
  <r>
    <s v="BanColombia"/>
    <x v="56"/>
    <x v="0"/>
    <n v="0.99"/>
  </r>
  <r>
    <s v="Mitsubishi Gas Chemical"/>
    <x v="4"/>
    <x v="20"/>
    <n v="3.63"/>
  </r>
  <r>
    <s v="LG Card"/>
    <x v="9"/>
    <x v="4"/>
    <n v="3.22"/>
  </r>
  <r>
    <s v="Iyo Bank"/>
    <x v="4"/>
    <x v="0"/>
    <n v="0.95"/>
  </r>
  <r>
    <s v="Kerry Group"/>
    <x v="30"/>
    <x v="10"/>
    <n v="5.6"/>
  </r>
  <r>
    <s v="Casio Computer"/>
    <x v="4"/>
    <x v="8"/>
    <n v="5.22"/>
  </r>
  <r>
    <s v="Lite-On Technology"/>
    <x v="34"/>
    <x v="8"/>
    <n v="6.75"/>
  </r>
  <r>
    <s v="PartnerRe"/>
    <x v="19"/>
    <x v="2"/>
    <n v="4.21"/>
  </r>
  <r>
    <s v="Hang Lung Group"/>
    <x v="20"/>
    <x v="4"/>
    <n v="0.96"/>
  </r>
  <r>
    <s v="TCF Financial"/>
    <x v="0"/>
    <x v="0"/>
    <n v="1.21"/>
  </r>
  <r>
    <s v="Unitrin"/>
    <x v="0"/>
    <x v="2"/>
    <n v="3.05"/>
  </r>
  <r>
    <s v="Smith &amp; Nephew"/>
    <x v="1"/>
    <x v="19"/>
    <n v="2.42"/>
  </r>
  <r>
    <s v="Clariant"/>
    <x v="3"/>
    <x v="20"/>
    <n v="7.48"/>
  </r>
  <r>
    <s v="Chunghwa Picture Tubes"/>
    <x v="34"/>
    <x v="8"/>
    <n v="3.68"/>
  </r>
  <r>
    <s v="Bank of Greece"/>
    <x v="39"/>
    <x v="0"/>
    <n v="0.81"/>
  </r>
  <r>
    <s v="Kesko Group"/>
    <x v="21"/>
    <x v="21"/>
    <n v="9.84"/>
  </r>
  <r>
    <s v="Sanmina-SCI"/>
    <x v="0"/>
    <x v="8"/>
    <n v="11.34"/>
  </r>
  <r>
    <s v="Autodesk"/>
    <x v="0"/>
    <x v="14"/>
    <n v="1.46"/>
  </r>
  <r>
    <s v="Family Dollar Stores"/>
    <x v="0"/>
    <x v="6"/>
    <n v="5.96"/>
  </r>
  <r>
    <s v="Jones Apparel Group"/>
    <x v="0"/>
    <x v="7"/>
    <n v="5.07"/>
  </r>
  <r>
    <s v="CMPC"/>
    <x v="49"/>
    <x v="18"/>
    <n v="1.94"/>
  </r>
  <r>
    <s v="Abercrombie &amp; Fitch"/>
    <x v="0"/>
    <x v="6"/>
    <n v="2.78"/>
  </r>
  <r>
    <s v="Foot Locker"/>
    <x v="0"/>
    <x v="6"/>
    <n v="5.62"/>
  </r>
  <r>
    <s v="NTL"/>
    <x v="0"/>
    <x v="9"/>
    <n v="2.83"/>
  </r>
  <r>
    <s v="Banca CR Firenze"/>
    <x v="8"/>
    <x v="0"/>
    <n v="2.09"/>
  </r>
  <r>
    <s v="Gambro"/>
    <x v="25"/>
    <x v="19"/>
    <n v="1.85"/>
  </r>
  <r>
    <s v="Allegheny Energy"/>
    <x v="0"/>
    <x v="11"/>
    <n v="3.04"/>
  </r>
  <r>
    <s v="China Yangtze Power"/>
    <x v="11"/>
    <x v="11"/>
    <n v="0.73"/>
  </r>
  <r>
    <s v="Maxis Communications"/>
    <x v="43"/>
    <x v="9"/>
    <n v="1.68"/>
  </r>
  <r>
    <s v="Rhodia"/>
    <x v="5"/>
    <x v="20"/>
    <n v="7.17"/>
  </r>
  <r>
    <s v="Sankyo"/>
    <x v="4"/>
    <x v="5"/>
    <n v="2.1800000000000002"/>
  </r>
  <r>
    <s v="Commerce Bancshs"/>
    <x v="0"/>
    <x v="0"/>
    <n v="1.04"/>
  </r>
  <r>
    <s v="Umicore"/>
    <x v="18"/>
    <x v="18"/>
    <n v="7.76"/>
  </r>
  <r>
    <s v="Ipsco"/>
    <x v="13"/>
    <x v="18"/>
    <n v="3.15"/>
  </r>
  <r>
    <s v="JSR"/>
    <x v="4"/>
    <x v="20"/>
    <n v="2.85"/>
  </r>
  <r>
    <s v="Robert Half Intl"/>
    <x v="0"/>
    <x v="24"/>
    <n v="3.34"/>
  </r>
  <r>
    <s v="TECO Energy"/>
    <x v="0"/>
    <x v="11"/>
    <n v="3.01"/>
  </r>
  <r>
    <s v="Fremont General"/>
    <x v="0"/>
    <x v="4"/>
    <n v="1.27"/>
  </r>
  <r>
    <s v="Hermès International"/>
    <x v="5"/>
    <x v="7"/>
    <n v="1.81"/>
  </r>
  <r>
    <s v="Daelim Industrial"/>
    <x v="9"/>
    <x v="26"/>
    <n v="5.09"/>
  </r>
  <r>
    <s v="Inchcape"/>
    <x v="1"/>
    <x v="22"/>
    <n v="7.91"/>
  </r>
  <r>
    <s v="Orient"/>
    <x v="4"/>
    <x v="4"/>
    <n v="2.9"/>
  </r>
  <r>
    <s v="Origin Energy"/>
    <x v="14"/>
    <x v="11"/>
    <n v="3.7"/>
  </r>
  <r>
    <s v="Resolution"/>
    <x v="1"/>
    <x v="2"/>
    <n v="1.88"/>
  </r>
  <r>
    <s v="Jacobs Engineering"/>
    <x v="0"/>
    <x v="26"/>
    <n v="6.04"/>
  </r>
  <r>
    <s v="Aker"/>
    <x v="16"/>
    <x v="3"/>
    <n v="8.52"/>
  </r>
  <r>
    <s v="Aareal Bank"/>
    <x v="7"/>
    <x v="4"/>
    <n v="2.69"/>
  </r>
  <r>
    <s v="Basler Kantonalbank"/>
    <x v="3"/>
    <x v="0"/>
    <n v="0.82"/>
  </r>
  <r>
    <s v="MEMC Electronic Mats"/>
    <x v="0"/>
    <x v="13"/>
    <n v="1.1200000000000001"/>
  </r>
  <r>
    <s v="Nvidia"/>
    <x v="0"/>
    <x v="13"/>
    <n v="2.38"/>
  </r>
  <r>
    <s v="Commercial Metals"/>
    <x v="0"/>
    <x v="18"/>
    <n v="6.71"/>
  </r>
  <r>
    <s v="Doosan"/>
    <x v="9"/>
    <x v="22"/>
    <n v="6.59"/>
  </r>
  <r>
    <s v="Advance Auto Parts"/>
    <x v="0"/>
    <x v="6"/>
    <n v="4.26"/>
  </r>
  <r>
    <s v="Hyundai Eng &amp; Const"/>
    <x v="9"/>
    <x v="26"/>
    <n v="4.6900000000000004"/>
  </r>
  <r>
    <s v="Newfield Exploration"/>
    <x v="0"/>
    <x v="3"/>
    <n v="1.76"/>
  </r>
  <r>
    <s v="Scor"/>
    <x v="5"/>
    <x v="2"/>
    <n v="3.77"/>
  </r>
  <r>
    <s v="JFE Shoji Holdings"/>
    <x v="4"/>
    <x v="22"/>
    <n v="14.21"/>
  </r>
  <r>
    <s v="Solectron"/>
    <x v="0"/>
    <x v="8"/>
    <n v="10.210000000000001"/>
  </r>
  <r>
    <s v="SAS Group"/>
    <x v="25"/>
    <x v="17"/>
    <n v="7.78"/>
  </r>
  <r>
    <s v="VeriSign"/>
    <x v="0"/>
    <x v="14"/>
    <n v="1.61"/>
  </r>
  <r>
    <s v="CR Bard"/>
    <x v="0"/>
    <x v="19"/>
    <n v="1.77"/>
  </r>
  <r>
    <s v="UFJ Central Leasing"/>
    <x v="4"/>
    <x v="4"/>
    <n v="4.7300000000000004"/>
  </r>
  <r>
    <s v="Lend Lease"/>
    <x v="14"/>
    <x v="4"/>
    <n v="6.5"/>
  </r>
  <r>
    <s v="Naspers"/>
    <x v="31"/>
    <x v="15"/>
    <n v="2.23"/>
  </r>
  <r>
    <s v="Converium Holding"/>
    <x v="3"/>
    <x v="2"/>
    <n v="4.41"/>
  </r>
  <r>
    <s v="ERG"/>
    <x v="8"/>
    <x v="3"/>
    <n v="9.0299999999999994"/>
  </r>
  <r>
    <s v="Garmin"/>
    <x v="42"/>
    <x v="8"/>
    <n v="1.03"/>
  </r>
  <r>
    <s v="Hellenic Petroleum"/>
    <x v="39"/>
    <x v="3"/>
    <n v="7.27"/>
  </r>
  <r>
    <s v="Kaneka"/>
    <x v="4"/>
    <x v="20"/>
    <n v="4.09"/>
  </r>
  <r>
    <s v="AmerUs Group"/>
    <x v="0"/>
    <x v="2"/>
    <n v="1.62"/>
  </r>
  <r>
    <s v="Credicorp"/>
    <x v="19"/>
    <x v="0"/>
    <n v="1.91"/>
  </r>
  <r>
    <s v="Alfresa Holdings"/>
    <x v="4"/>
    <x v="19"/>
    <n v="11.15"/>
  </r>
  <r>
    <s v="MDU Resources"/>
    <x v="0"/>
    <x v="11"/>
    <n v="3.46"/>
  </r>
  <r>
    <s v="Punch Taverns"/>
    <x v="1"/>
    <x v="25"/>
    <n v="1.39"/>
  </r>
  <r>
    <s v="Redwood Trust"/>
    <x v="0"/>
    <x v="4"/>
    <n v="0.93"/>
  </r>
  <r>
    <s v="AMB Property"/>
    <x v="0"/>
    <x v="4"/>
    <n v="0.68"/>
  </r>
  <r>
    <s v="Standard Pacific"/>
    <x v="0"/>
    <x v="26"/>
    <n v="4.01"/>
  </r>
  <r>
    <s v="Tech Data"/>
    <x v="0"/>
    <x v="8"/>
    <n v="20.61"/>
  </r>
  <r>
    <s v="Japan Securities Fin"/>
    <x v="4"/>
    <x v="4"/>
    <n v="0.34"/>
  </r>
  <r>
    <s v="Bharat Heavy Electricals"/>
    <x v="29"/>
    <x v="23"/>
    <n v="2.1800000000000002"/>
  </r>
  <r>
    <s v="Metropolitan Holdings"/>
    <x v="31"/>
    <x v="4"/>
    <n v="3.02"/>
  </r>
  <r>
    <s v="Sime Darby"/>
    <x v="43"/>
    <x v="1"/>
    <n v="4.91"/>
  </r>
  <r>
    <s v="OfficeMax"/>
    <x v="0"/>
    <x v="6"/>
    <n v="9.16"/>
  </r>
  <r>
    <s v="Samsung Heavy Industries"/>
    <x v="9"/>
    <x v="23"/>
    <n v="4.5"/>
  </r>
  <r>
    <s v="Outokumpu"/>
    <x v="21"/>
    <x v="18"/>
    <n v="6.56"/>
  </r>
  <r>
    <s v="HDFC Bank"/>
    <x v="29"/>
    <x v="0"/>
    <n v="0.86"/>
  </r>
  <r>
    <s v="Taiwan Mobile"/>
    <x v="34"/>
    <x v="9"/>
    <n v="1.74"/>
  </r>
  <r>
    <s v="Adelphia Commun"/>
    <x v="0"/>
    <x v="15"/>
    <n v="4.32"/>
  </r>
  <r>
    <s v="Owens Corning"/>
    <x v="0"/>
    <x v="26"/>
    <n v="6.09"/>
  </r>
  <r>
    <s v="Doral Financial"/>
    <x v="0"/>
    <x v="0"/>
    <n v="0.74"/>
  </r>
  <r>
    <s v="First BanCorp"/>
    <x v="0"/>
    <x v="0"/>
    <n v="0.9"/>
  </r>
  <r>
    <s v="Brisa"/>
    <x v="38"/>
    <x v="17"/>
    <n v="0.76"/>
  </r>
  <r>
    <s v="OGE Energy"/>
    <x v="0"/>
    <x v="11"/>
    <n v="6.98"/>
  </r>
  <r>
    <s v="Banco Pastor"/>
    <x v="6"/>
    <x v="0"/>
    <n v="1.05"/>
  </r>
  <r>
    <s v="Cameco"/>
    <x v="13"/>
    <x v="18"/>
    <n v="1.1299999999999999"/>
  </r>
  <r>
    <s v="Compal Electronics"/>
    <x v="34"/>
    <x v="8"/>
    <n v="7.23"/>
  </r>
  <r>
    <s v="Pogo Producing"/>
    <x v="0"/>
    <x v="3"/>
    <n v="1.23"/>
  </r>
  <r>
    <s v="Republic Services"/>
    <x v="0"/>
    <x v="24"/>
    <n v="2.86"/>
  </r>
  <r>
    <s v="Lanxess"/>
    <x v="7"/>
    <x v="20"/>
    <n v="9.19"/>
  </r>
  <r>
    <s v="Downey Financial"/>
    <x v="0"/>
    <x v="0"/>
    <n v="1.03"/>
  </r>
  <r>
    <s v="Financière de l'Odet"/>
    <x v="5"/>
    <x v="17"/>
    <n v="7.61"/>
  </r>
  <r>
    <s v="Taiwan Cooperative Bank"/>
    <x v="34"/>
    <x v="0"/>
    <n v="1.46"/>
  </r>
  <r>
    <s v="Dongfeng Motor Group"/>
    <x v="11"/>
    <x v="5"/>
    <n v="3.95"/>
  </r>
  <r>
    <s v="SGS"/>
    <x v="3"/>
    <x v="24"/>
    <n v="2.5099999999999998"/>
  </r>
  <r>
    <s v="Michaels Stores"/>
    <x v="0"/>
    <x v="6"/>
    <n v="3.59"/>
  </r>
  <r>
    <s v="Axis Capital Holdings"/>
    <x v="19"/>
    <x v="2"/>
    <n v="2.79"/>
  </r>
  <r>
    <s v="Federal-Mogul"/>
    <x v="0"/>
    <x v="5"/>
    <n v="6.29"/>
  </r>
  <r>
    <s v="PCCW"/>
    <x v="20"/>
    <x v="9"/>
    <n v="2.95"/>
  </r>
  <r>
    <s v="Novelis"/>
    <x v="13"/>
    <x v="18"/>
    <n v="8.35"/>
  </r>
  <r>
    <s v="Falabella"/>
    <x v="49"/>
    <x v="6"/>
    <n v="2.89"/>
  </r>
  <r>
    <s v="Abitibi Consolidated"/>
    <x v="13"/>
    <x v="18"/>
    <n v="4.59"/>
  </r>
  <r>
    <s v="Euler Hermes"/>
    <x v="5"/>
    <x v="2"/>
    <n v="1.81"/>
  </r>
  <r>
    <s v="Oriental Land"/>
    <x v="4"/>
    <x v="15"/>
    <n v="3.09"/>
  </r>
  <r>
    <s v="Mitsukoshi"/>
    <x v="4"/>
    <x v="6"/>
    <n v="8.5"/>
  </r>
  <r>
    <s v="EW Scripps"/>
    <x v="0"/>
    <x v="15"/>
    <n v="2.5099999999999998"/>
  </r>
  <r>
    <s v="New York Times"/>
    <x v="0"/>
    <x v="15"/>
    <n v="3.37"/>
  </r>
  <r>
    <s v="Bunzl"/>
    <x v="1"/>
    <x v="18"/>
    <n v="5.0199999999999996"/>
  </r>
  <r>
    <s v="Islandsbanki"/>
    <x v="50"/>
    <x v="0"/>
    <n v="0.9"/>
  </r>
  <r>
    <s v="Ensco International"/>
    <x v="0"/>
    <x v="3"/>
    <n v="1.05"/>
  </r>
  <r>
    <s v="Altera"/>
    <x v="0"/>
    <x v="13"/>
    <n v="1.1200000000000001"/>
  </r>
  <r>
    <s v="Evergreen Marine"/>
    <x v="34"/>
    <x v="17"/>
    <n v="4.1100000000000003"/>
  </r>
  <r>
    <s v="Nelnet"/>
    <x v="0"/>
    <x v="4"/>
    <n v="0.95"/>
  </r>
  <r>
    <s v="Puma"/>
    <x v="7"/>
    <x v="7"/>
    <n v="2.1"/>
  </r>
  <r>
    <s v="PMI Group"/>
    <x v="0"/>
    <x v="2"/>
    <n v="1.1200000000000001"/>
  </r>
  <r>
    <s v="Amdocs"/>
    <x v="1"/>
    <x v="24"/>
    <n v="2.16"/>
  </r>
  <r>
    <s v="77 Bank"/>
    <x v="4"/>
    <x v="0"/>
    <n v="1.04"/>
  </r>
  <r>
    <s v="Suruga Bank"/>
    <x v="4"/>
    <x v="0"/>
    <n v="0.83"/>
  </r>
  <r>
    <s v="ArvinMeritor"/>
    <x v="0"/>
    <x v="5"/>
    <n v="8.9"/>
  </r>
  <r>
    <s v="M-real"/>
    <x v="21"/>
    <x v="18"/>
    <n v="6.2"/>
  </r>
  <r>
    <s v="Goldcorp"/>
    <x v="13"/>
    <x v="18"/>
    <n v="0.21"/>
  </r>
  <r>
    <s v="Barr Pharmaceuticals"/>
    <x v="0"/>
    <x v="12"/>
    <n v="1.18"/>
  </r>
  <r>
    <s v="Far EasTone Telecom"/>
    <x v="34"/>
    <x v="9"/>
    <n v="2.06"/>
  </r>
  <r>
    <s v="Kesa Electricals"/>
    <x v="1"/>
    <x v="6"/>
    <n v="7.46"/>
  </r>
  <r>
    <s v="SinoPac Financial Holdings"/>
    <x v="34"/>
    <x v="0"/>
    <n v="0.98"/>
  </r>
  <r>
    <s v="KGHM Polska Miedz"/>
    <x v="44"/>
    <x v="18"/>
    <n v="2.37"/>
  </r>
  <r>
    <s v="Ono Pharmaceutical"/>
    <x v="4"/>
    <x v="12"/>
    <n v="1.36"/>
  </r>
  <r>
    <s v="Crown Holdings"/>
    <x v="0"/>
    <x v="18"/>
    <n v="6.91"/>
  </r>
  <r>
    <s v="AMEC"/>
    <x v="1"/>
    <x v="26"/>
    <n v="8.94"/>
  </r>
  <r>
    <s v="Fraport"/>
    <x v="7"/>
    <x v="17"/>
    <n v="2.71"/>
  </r>
  <r>
    <s v="Genting"/>
    <x v="43"/>
    <x v="25"/>
    <n v="1.44"/>
  </r>
  <r>
    <s v="Parmalat"/>
    <x v="8"/>
    <x v="10"/>
    <n v="5.17"/>
  </r>
  <r>
    <s v="Group 4 Securicor"/>
    <x v="1"/>
    <x v="24"/>
    <n v="6.09"/>
  </r>
  <r>
    <s v="Pilkington"/>
    <x v="1"/>
    <x v="26"/>
    <n v="4.53"/>
  </r>
  <r>
    <s v="BOK Financial"/>
    <x v="0"/>
    <x v="0"/>
    <n v="1.1200000000000001"/>
  </r>
  <r>
    <s v="USG"/>
    <x v="0"/>
    <x v="26"/>
    <n v="5.14"/>
  </r>
  <r>
    <s v="Orica"/>
    <x v="14"/>
    <x v="20"/>
    <n v="3.91"/>
  </r>
  <r>
    <s v="Pioneer"/>
    <x v="4"/>
    <x v="5"/>
    <n v="6.84"/>
  </r>
  <r>
    <s v="Royal Numico"/>
    <x v="2"/>
    <x v="10"/>
    <n v="2.35"/>
  </r>
  <r>
    <s v="Acerinox"/>
    <x v="6"/>
    <x v="18"/>
    <n v="4.9800000000000004"/>
  </r>
  <r>
    <s v="Frontline"/>
    <x v="19"/>
    <x v="17"/>
    <n v="1.74"/>
  </r>
  <r>
    <s v="Nippon Meat Packers"/>
    <x v="4"/>
    <x v="10"/>
    <n v="8.7200000000000006"/>
  </r>
  <r>
    <s v="Yamaguchi Bank"/>
    <x v="4"/>
    <x v="0"/>
    <n v="0.8"/>
  </r>
  <r>
    <s v="Beazer Homes USA"/>
    <x v="0"/>
    <x v="26"/>
    <n v="5.19"/>
  </r>
  <r>
    <s v="Dillard's"/>
    <x v="0"/>
    <x v="6"/>
    <n v="7.75"/>
  </r>
  <r>
    <s v="WPS Resources"/>
    <x v="0"/>
    <x v="11"/>
    <n v="6.96"/>
  </r>
  <r>
    <s v="Chang Hwa Com Bank"/>
    <x v="34"/>
    <x v="0"/>
    <n v="1.07"/>
  </r>
  <r>
    <s v="Bank of Baroda"/>
    <x v="29"/>
    <x v="0"/>
    <n v="1.84"/>
  </r>
  <r>
    <s v="Mitchells &amp; Butlers"/>
    <x v="1"/>
    <x v="25"/>
    <n v="2.93"/>
  </r>
  <r>
    <s v="Novatek"/>
    <x v="12"/>
    <x v="3"/>
    <n v="0.89"/>
  </r>
  <r>
    <s v="Hakuhodo DY Holdings"/>
    <x v="4"/>
    <x v="15"/>
    <n v="10.17"/>
  </r>
  <r>
    <s v="Eramet"/>
    <x v="5"/>
    <x v="18"/>
    <n v="3.42"/>
  </r>
  <r>
    <s v="Harris"/>
    <x v="0"/>
    <x v="8"/>
    <n v="3.2"/>
  </r>
  <r>
    <s v="Brasil Telecom"/>
    <x v="10"/>
    <x v="9"/>
    <n v="3.41"/>
  </r>
  <r>
    <s v="Phoenix Cos"/>
    <x v="0"/>
    <x v="2"/>
    <n v="2.61"/>
  </r>
  <r>
    <s v="Nanto Bank"/>
    <x v="4"/>
    <x v="0"/>
    <n v="0.92"/>
  </r>
  <r>
    <s v="Vedior"/>
    <x v="2"/>
    <x v="24"/>
    <n v="8.1"/>
  </r>
  <r>
    <s v="American Home Mortgage"/>
    <x v="0"/>
    <x v="4"/>
    <n v="0.72"/>
  </r>
  <r>
    <s v="Daishi Bank"/>
    <x v="4"/>
    <x v="0"/>
    <n v="0.75"/>
  </r>
  <r>
    <s v="Chiron"/>
    <x v="0"/>
    <x v="12"/>
    <n v="1.92"/>
  </r>
  <r>
    <s v="Shiga Bank"/>
    <x v="4"/>
    <x v="0"/>
    <n v="0.77"/>
  </r>
  <r>
    <s v="Juroku Bank"/>
    <x v="4"/>
    <x v="0"/>
    <n v="0.94"/>
  </r>
  <r>
    <s v="Tiffany &amp; Co"/>
    <x v="0"/>
    <x v="6"/>
    <n v="2.35"/>
  </r>
  <r>
    <s v="Ultra Petroleum"/>
    <x v="0"/>
    <x v="3"/>
    <n v="0.51"/>
  </r>
  <r>
    <s v="Performance Food"/>
    <x v="0"/>
    <x v="21"/>
    <n v="5.72"/>
  </r>
  <r>
    <s v="Webster Financial"/>
    <x v="0"/>
    <x v="0"/>
    <n v="1.0900000000000001"/>
  </r>
  <r>
    <s v="Sumisho Lease"/>
    <x v="4"/>
    <x v="4"/>
    <n v="4.0199999999999996"/>
  </r>
  <r>
    <s v="BCI-Banco Credito"/>
    <x v="49"/>
    <x v="0"/>
    <n v="1.1499999999999999"/>
  </r>
  <r>
    <s v="Hospira"/>
    <x v="0"/>
    <x v="19"/>
    <n v="2.63"/>
  </r>
  <r>
    <s v="Aracruz Celulose"/>
    <x v="10"/>
    <x v="18"/>
    <n v="1.35"/>
  </r>
  <r>
    <s v="Atmos Energy"/>
    <x v="0"/>
    <x v="11"/>
    <n v="5.89"/>
  </r>
  <r>
    <s v="Keio"/>
    <x v="4"/>
    <x v="17"/>
    <n v="4.04"/>
  </r>
  <r>
    <s v="Hyakugo Bank"/>
    <x v="4"/>
    <x v="0"/>
    <n v="0.8"/>
  </r>
  <r>
    <s v="Stanley Works"/>
    <x v="0"/>
    <x v="5"/>
    <n v="3.29"/>
  </r>
  <r>
    <s v="Yamaha"/>
    <x v="4"/>
    <x v="7"/>
    <n v="4.99"/>
  </r>
  <r>
    <s v="CIR"/>
    <x v="8"/>
    <x v="23"/>
    <n v="4.1500000000000004"/>
  </r>
  <r>
    <s v="Pilgrim's Pride"/>
    <x v="0"/>
    <x v="10"/>
    <n v="5.64"/>
  </r>
  <r>
    <s v="StanCorp Financial"/>
    <x v="0"/>
    <x v="2"/>
    <n v="2.34"/>
  </r>
  <r>
    <s v="Teekay Shipping"/>
    <x v="57"/>
    <x v="17"/>
    <n v="1.95"/>
  </r>
  <r>
    <s v="Powerchip Semiconductor"/>
    <x v="34"/>
    <x v="13"/>
    <n v="1.81"/>
  </r>
  <r>
    <s v="Check Point Software"/>
    <x v="45"/>
    <x v="14"/>
    <n v="0.57999999999999996"/>
  </r>
  <r>
    <s v="San-In Godo Bank"/>
    <x v="4"/>
    <x v="0"/>
    <n v="0.91"/>
  </r>
  <r>
    <s v="Ross Stores"/>
    <x v="0"/>
    <x v="6"/>
    <n v="4.74"/>
  </r>
  <r>
    <s v="RadioShack"/>
    <x v="0"/>
    <x v="6"/>
    <n v="5.08"/>
  </r>
  <r>
    <s v="Israel Discount Bank"/>
    <x v="45"/>
    <x v="0"/>
    <n v="2.12"/>
  </r>
  <r>
    <s v="SembCorp Industries"/>
    <x v="35"/>
    <x v="23"/>
    <n v="3.64"/>
  </r>
  <r>
    <s v="Ogaki Kyoritsu Bank"/>
    <x v="4"/>
    <x v="0"/>
    <n v="0.64"/>
  </r>
  <r>
    <s v="Link Real Estate Invest"/>
    <x v="20"/>
    <x v="4"/>
    <n v="0.47"/>
  </r>
  <r>
    <s v="Timken"/>
    <x v="0"/>
    <x v="23"/>
    <n v="5.17"/>
  </r>
  <r>
    <s v="Taiwan Business Bank"/>
    <x v="34"/>
    <x v="0"/>
    <n v="0.9"/>
  </r>
  <r>
    <s v="DST Systems"/>
    <x v="0"/>
    <x v="14"/>
    <n v="2.52"/>
  </r>
  <r>
    <s v="Hyakujushi Bank"/>
    <x v="4"/>
    <x v="0"/>
    <n v="0.62"/>
  </r>
  <r>
    <s v="Higo Bank"/>
    <x v="4"/>
    <x v="0"/>
    <n v="0.61"/>
  </r>
  <r>
    <s v="Benq"/>
    <x v="34"/>
    <x v="8"/>
    <n v="5.5"/>
  </r>
  <r>
    <s v="Tsim Sha Tsui Properties"/>
    <x v="20"/>
    <x v="4"/>
    <n v="0.54"/>
  </r>
  <r>
    <s v="Pakistan Telecom"/>
    <x v="53"/>
    <x v="9"/>
    <n v="1.41"/>
  </r>
  <r>
    <s v="Boral"/>
    <x v="14"/>
    <x v="26"/>
    <n v="3.27"/>
  </r>
  <r>
    <s v="Isetan"/>
    <x v="4"/>
    <x v="6"/>
    <n v="5.87"/>
  </r>
  <r>
    <s v="Nissay Dowa General Ins"/>
    <x v="4"/>
    <x v="2"/>
    <n v="3.72"/>
  </r>
  <r>
    <s v="AvtoVaz"/>
    <x v="12"/>
    <x v="5"/>
    <n v="5.79"/>
  </r>
  <r>
    <s v="China Merchants (International)"/>
    <x v="20"/>
    <x v="17"/>
    <n v="0.31"/>
  </r>
  <r>
    <s v="NStar"/>
    <x v="0"/>
    <x v="11"/>
    <n v="3.24"/>
  </r>
  <r>
    <s v="US Airways Group"/>
    <x v="0"/>
    <x v="17"/>
    <n v="5.08"/>
  </r>
  <r>
    <s v="Aval Grupo"/>
    <x v="56"/>
    <x v="4"/>
    <n v="0.81"/>
  </r>
  <r>
    <s v="Petrol Ofisi"/>
    <x v="33"/>
    <x v="3"/>
    <n v="7.67"/>
  </r>
  <r>
    <s v="Williams-Sonoma"/>
    <x v="0"/>
    <x v="6"/>
    <n v="3.41"/>
  </r>
  <r>
    <s v="Microchip Technology"/>
    <x v="0"/>
    <x v="13"/>
    <n v="0.89"/>
  </r>
  <r>
    <s v="Banca Popolare di Sondrio"/>
    <x v="8"/>
    <x v="0"/>
    <n v="0.82"/>
  </r>
  <r>
    <s v="Kagoshima Bank"/>
    <x v="4"/>
    <x v="0"/>
    <n v="0.68"/>
  </r>
  <r>
    <s v="Sumitomo Rubber"/>
    <x v="4"/>
    <x v="5"/>
    <n v="4.34"/>
  </r>
  <r>
    <s v="Sky Financial Group"/>
    <x v="0"/>
    <x v="0"/>
    <n v="1.04"/>
  </r>
  <r>
    <s v="Musashino Bank"/>
    <x v="4"/>
    <x v="0"/>
    <n v="0.57999999999999996"/>
  </r>
  <r>
    <s v="Terumo"/>
    <x v="4"/>
    <x v="19"/>
    <n v="2.15"/>
  </r>
  <r>
    <s v="Thermo Electron"/>
    <x v="0"/>
    <x v="19"/>
    <n v="2.63"/>
  </r>
  <r>
    <s v="Sage Group"/>
    <x v="1"/>
    <x v="14"/>
    <n v="1.37"/>
  </r>
  <r>
    <s v="Alberto-Culver"/>
    <x v="0"/>
    <x v="7"/>
    <n v="3.58"/>
  </r>
  <r>
    <s v="Givaudan"/>
    <x v="3"/>
    <x v="7"/>
    <n v="2.35"/>
  </r>
  <r>
    <s v="BCE"/>
    <x v="13"/>
    <x v="9"/>
    <n v="16.43"/>
  </r>
  <r>
    <s v="Dah Sing Financial"/>
    <x v="20"/>
    <x v="0"/>
    <n v="0.39"/>
  </r>
  <r>
    <s v="Hokkoku Bank"/>
    <x v="4"/>
    <x v="0"/>
    <n v="0.63"/>
  </r>
  <r>
    <s v="W Holding"/>
    <x v="0"/>
    <x v="0"/>
    <n v="0.78"/>
  </r>
  <r>
    <s v="Wuhan Iron &amp; Steel"/>
    <x v="11"/>
    <x v="18"/>
    <n v="2.91"/>
  </r>
  <r>
    <s v="Bank of Nagoya"/>
    <x v="4"/>
    <x v="0"/>
    <n v="0.66"/>
  </r>
  <r>
    <s v="Bilfinger &amp; Berger"/>
    <x v="7"/>
    <x v="26"/>
    <n v="8.35"/>
  </r>
  <r>
    <s v="Daimaru"/>
    <x v="4"/>
    <x v="6"/>
    <n v="7.76"/>
  </r>
  <r>
    <s v="GEA Group"/>
    <x v="7"/>
    <x v="23"/>
    <n v="5.51"/>
  </r>
  <r>
    <s v="Keiyo Bank"/>
    <x v="4"/>
    <x v="0"/>
    <n v="0.61"/>
  </r>
  <r>
    <s v="Jaccs"/>
    <x v="4"/>
    <x v="4"/>
    <n v="1.35"/>
  </r>
  <r>
    <s v="Alliant Energy"/>
    <x v="0"/>
    <x v="11"/>
    <n v="3.28"/>
  </r>
  <r>
    <s v="Toho Bank"/>
    <x v="4"/>
    <x v="0"/>
    <n v="0.59"/>
  </r>
  <r>
    <s v="Maanshan Iron &amp; Steel"/>
    <x v="11"/>
    <x v="18"/>
    <n v="3.23"/>
  </r>
  <r>
    <s v="Datang Intl Power"/>
    <x v="11"/>
    <x v="11"/>
    <n v="1.64"/>
  </r>
  <r>
    <s v="Citizens Commun"/>
    <x v="0"/>
    <x v="9"/>
    <n v="2.16"/>
  </r>
  <r>
    <s v="Kiyo Holdings"/>
    <x v="4"/>
    <x v="0"/>
    <n v="0.6"/>
  </r>
  <r>
    <s v="People's Bank"/>
    <x v="0"/>
    <x v="0"/>
    <n v="0.68"/>
  </r>
  <r>
    <s v="Varian Medical Systems"/>
    <x v="0"/>
    <x v="19"/>
    <n v="1.42"/>
  </r>
  <r>
    <s v="CBD-Brasil Distribuição"/>
    <x v="10"/>
    <x v="21"/>
    <n v="4.7300000000000004"/>
  </r>
  <r>
    <s v="LG International"/>
    <x v="9"/>
    <x v="22"/>
    <n v="11.41"/>
  </r>
  <r>
    <s v="Oki Electric Industry"/>
    <x v="4"/>
    <x v="24"/>
    <n v="6.42"/>
  </r>
  <r>
    <s v="Fuji Fire &amp; Marine"/>
    <x v="4"/>
    <x v="2"/>
    <n v="3.68"/>
  </r>
  <r>
    <s v="Mitsui Mining &amp; Smelting"/>
    <x v="4"/>
    <x v="18"/>
    <n v="4.09"/>
  </r>
  <r>
    <s v="Momiji Holdings"/>
    <x v="4"/>
    <x v="0"/>
    <n v="0.75"/>
  </r>
  <r>
    <s v="CB Richard Ellis"/>
    <x v="0"/>
    <x v="24"/>
    <n v="2.91"/>
  </r>
  <r>
    <s v="Nissan Diesel Motor"/>
    <x v="4"/>
    <x v="5"/>
    <n v="4.3"/>
  </r>
  <r>
    <s v="Bull"/>
    <x v="5"/>
    <x v="8"/>
    <n v="1.55"/>
  </r>
  <r>
    <s v="Shenzhen Develop Bank"/>
    <x v="11"/>
    <x v="0"/>
    <n v="1.1399999999999999"/>
  </r>
  <r>
    <s v="Danisco"/>
    <x v="22"/>
    <x v="10"/>
    <n v="3.08"/>
  </r>
  <r>
    <s v="Kanematsu"/>
    <x v="4"/>
    <x v="22"/>
    <n v="8.27"/>
  </r>
  <r>
    <s v="Oita Bank"/>
    <x v="4"/>
    <x v="0"/>
    <n v="0.56000000000000005"/>
  </r>
  <r>
    <s v="JGC"/>
    <x v="4"/>
    <x v="26"/>
    <n v="4.0599999999999996"/>
  </r>
  <r>
    <s v="Yamanashi Chuo Bank"/>
    <x v="4"/>
    <x v="0"/>
    <n v="0.48"/>
  </r>
  <r>
    <s v="Bank of Ikeda"/>
    <x v="4"/>
    <x v="0"/>
    <n v="0.59"/>
  </r>
  <r>
    <s v="Telus"/>
    <x v="13"/>
    <x v="9"/>
    <n v="7"/>
  </r>
  <r>
    <s v="Ube Industries"/>
    <x v="4"/>
    <x v="20"/>
    <n v="5.25"/>
  </r>
  <r>
    <s v="Kyushu-Shinwa Holdings"/>
    <x v="4"/>
    <x v="0"/>
    <n v="0.63"/>
  </r>
  <r>
    <s v="Aichi Bank"/>
    <x v="4"/>
    <x v="0"/>
    <n v="0.49"/>
  </r>
  <r>
    <s v="Union Bank of India"/>
    <x v="29"/>
    <x v="0"/>
    <n v="1.31"/>
  </r>
  <r>
    <s v="H Lundbeck"/>
    <x v="22"/>
    <x v="12"/>
    <n v="1.78"/>
  </r>
  <r>
    <s v="Nippon Electric Glass"/>
    <x v="4"/>
    <x v="24"/>
    <n v="2.89"/>
  </r>
  <r>
    <s v="Tokyo Leasing"/>
    <x v="4"/>
    <x v="6"/>
    <n v="3.72"/>
  </r>
  <r>
    <s v="BorgWarner"/>
    <x v="0"/>
    <x v="5"/>
    <n v="4.29"/>
  </r>
  <r>
    <s v="Alitalia Group"/>
    <x v="8"/>
    <x v="17"/>
    <n v="5.52"/>
  </r>
  <r>
    <s v="Banco de Valencia"/>
    <x v="6"/>
    <x v="0"/>
    <n v="0.56999999999999995"/>
  </r>
  <r>
    <s v="Alexandria Natl Iron &amp; St"/>
    <x v="54"/>
    <x v="18"/>
    <n v="1.36"/>
  </r>
  <r>
    <s v="Shikoku Bank"/>
    <x v="4"/>
    <x v="0"/>
    <n v="0.48"/>
  </r>
  <r>
    <s v="Awa Bank"/>
    <x v="4"/>
    <x v="0"/>
    <n v="0.65"/>
  </r>
  <r>
    <s v="Chico's FAS"/>
    <x v="0"/>
    <x v="6"/>
    <n v="1.31"/>
  </r>
  <r>
    <s v="ALK-Abelló"/>
    <x v="22"/>
    <x v="12"/>
    <n v="0.72"/>
  </r>
  <r>
    <s v="Dassault Systèmes"/>
    <x v="5"/>
    <x v="14"/>
    <n v="1.1200000000000001"/>
  </r>
  <r>
    <s v="Shanghai Electric Group"/>
    <x v="11"/>
    <x v="23"/>
    <n v="2.94"/>
  </r>
  <r>
    <s v="Lam Research"/>
    <x v="0"/>
    <x v="13"/>
    <n v="1.38"/>
  </r>
  <r>
    <s v="United Auto Group"/>
    <x v="0"/>
    <x v="6"/>
    <n v="10.19"/>
  </r>
  <r>
    <s v="City Developments"/>
    <x v="35"/>
    <x v="4"/>
    <n v="1.46"/>
  </r>
  <r>
    <s v="Rogers Communications"/>
    <x v="13"/>
    <x v="9"/>
    <n v="6.43"/>
  </r>
  <r>
    <s v="Yanzhou Coal Mining"/>
    <x v="11"/>
    <x v="18"/>
    <n v="1.28"/>
  </r>
  <r>
    <s v="Tokyo Tomin Bank"/>
    <x v="4"/>
    <x v="0"/>
    <n v="0.53"/>
  </r>
  <r>
    <s v="Bank of Iwate"/>
    <x v="4"/>
    <x v="0"/>
    <n v="0.41"/>
  </r>
  <r>
    <s v="IMS Health"/>
    <x v="0"/>
    <x v="19"/>
    <n v="1.75"/>
  </r>
  <r>
    <s v="Van Lanschot"/>
    <x v="2"/>
    <x v="4"/>
    <n v="1.19"/>
  </r>
  <r>
    <s v="Daewoo International"/>
    <x v="9"/>
    <x v="22"/>
    <n v="5.4"/>
  </r>
  <r>
    <s v="Keihin Electric Express"/>
    <x v="4"/>
    <x v="17"/>
    <n v="2.95"/>
  </r>
  <r>
    <s v="Patterson-UTI Energy"/>
    <x v="0"/>
    <x v="3"/>
    <n v="1.5"/>
  </r>
  <r>
    <s v="Bank of India"/>
    <x v="29"/>
    <x v="0"/>
    <n v="1.64"/>
  </r>
  <r>
    <s v="Rashid Hussain"/>
    <x v="43"/>
    <x v="0"/>
    <n v="0.98"/>
  </r>
  <r>
    <s v="Celgene"/>
    <x v="0"/>
    <x v="12"/>
    <n v="0.54"/>
  </r>
  <r>
    <s v="Singapore Petroleum"/>
    <x v="35"/>
    <x v="3"/>
    <n v="4.53"/>
  </r>
  <r>
    <s v="Royal BAM Group"/>
    <x v="2"/>
    <x v="26"/>
    <n v="8.61"/>
  </r>
  <r>
    <s v="Jefferies Group"/>
    <x v="0"/>
    <x v="4"/>
    <n v="1.5"/>
  </r>
  <r>
    <s v="Akita Bank"/>
    <x v="4"/>
    <x v="0"/>
    <n v="0.43"/>
  </r>
  <r>
    <s v="Daily Mail &amp; General"/>
    <x v="1"/>
    <x v="15"/>
    <n v="3.77"/>
  </r>
  <r>
    <s v="Ipiranga"/>
    <x v="10"/>
    <x v="3"/>
    <n v="9.73"/>
  </r>
  <r>
    <s v="Frontier Oil"/>
    <x v="0"/>
    <x v="3"/>
    <n v="4"/>
  </r>
  <r>
    <s v="Eighteenth Bank"/>
    <x v="4"/>
    <x v="0"/>
    <n v="0.56999999999999995"/>
  </r>
  <r>
    <s v="CSK"/>
    <x v="4"/>
    <x v="14"/>
    <n v="2.99"/>
  </r>
  <r>
    <s v="Yell Group"/>
    <x v="1"/>
    <x v="15"/>
    <n v="2.4300000000000002"/>
  </r>
  <r>
    <s v="Euronext"/>
    <x v="2"/>
    <x v="4"/>
    <n v="1.2"/>
  </r>
  <r>
    <s v="Burns, Philp &amp; Co"/>
    <x v="14"/>
    <x v="10"/>
    <n v="1.96"/>
  </r>
  <r>
    <s v="Singapore Technologies"/>
    <x v="35"/>
    <x v="16"/>
    <n v="2.0099999999999998"/>
  </r>
  <r>
    <s v="Sumikin Bussan"/>
    <x v="4"/>
    <x v="22"/>
    <n v="9.61"/>
  </r>
  <r>
    <s v="Apartment Investment"/>
    <x v="0"/>
    <x v="4"/>
    <n v="1.52"/>
  </r>
  <r>
    <s v="Tochigi Bank"/>
    <x v="4"/>
    <x v="0"/>
    <n v="0.44"/>
  </r>
  <r>
    <s v="Aomori Bank"/>
    <x v="4"/>
    <x v="0"/>
    <n v="0.39"/>
  </r>
  <r>
    <s v="Global Yatirim Holdings"/>
    <x v="33"/>
    <x v="4"/>
    <n v="9.58"/>
  </r>
  <r>
    <s v="UGI"/>
    <x v="0"/>
    <x v="11"/>
    <n v="5.0999999999999996"/>
  </r>
  <r>
    <s v="Buhrmann"/>
    <x v="2"/>
    <x v="24"/>
    <n v="6.96"/>
  </r>
  <r>
    <s v="Indl Dev Bank of India"/>
    <x v="29"/>
    <x v="0"/>
    <n v="1.53"/>
  </r>
  <r>
    <s v="Fukui Bank"/>
    <x v="4"/>
    <x v="0"/>
    <n v="0.44"/>
  </r>
  <r>
    <s v="Nippon Steel Trading"/>
    <x v="4"/>
    <x v="22"/>
    <n v="9.41"/>
  </r>
  <r>
    <s v="Dynegy"/>
    <x v="0"/>
    <x v="3"/>
    <n v="3.1"/>
  </r>
  <r>
    <s v="AK Steel Holding"/>
    <x v="0"/>
    <x v="18"/>
    <n v="5.65"/>
  </r>
  <r>
    <s v="Orascom Строительство Inds"/>
    <x v="54"/>
    <x v="26"/>
    <n v="1.41"/>
  </r>
  <r>
    <s v="Kone"/>
    <x v="21"/>
    <x v="26"/>
    <n v="3.83"/>
  </r>
  <r>
    <s v="Attijariwafa Bank"/>
    <x v="58"/>
    <x v="0"/>
    <n v="0.93"/>
  </r>
  <r>
    <s v="Nortel Networks"/>
    <x v="13"/>
    <x v="8"/>
    <n v="10.59"/>
  </r>
  <r>
    <s v="Western Gas Resources"/>
    <x v="0"/>
    <x v="3"/>
    <n v="3.96"/>
  </r>
  <r>
    <s v="Chiba Kogyo Bank"/>
    <x v="4"/>
    <x v="0"/>
    <n v="0.43"/>
  </r>
  <r>
    <s v="NII Holdings"/>
    <x v="0"/>
    <x v="9"/>
    <n v="1.75"/>
  </r>
  <r>
    <s v="AWG"/>
    <x v="1"/>
    <x v="11"/>
    <n v="3.19"/>
  </r>
  <r>
    <s v="Mizrahi Tefahot Bank"/>
    <x v="45"/>
    <x v="0"/>
    <n v="1.33"/>
  </r>
  <r>
    <s v="Research In Motion"/>
    <x v="13"/>
    <x v="8"/>
    <n v="1.4"/>
  </r>
  <r>
    <s v="China Shipping Container"/>
    <x v="11"/>
    <x v="17"/>
    <n v="2.7"/>
  </r>
  <r>
    <s v="Singapore Press"/>
    <x v="35"/>
    <x v="15"/>
    <n v="0.6"/>
  </r>
  <r>
    <s v="Alps Electric"/>
    <x v="4"/>
    <x v="24"/>
    <n v="6.01"/>
  </r>
  <r>
    <s v="Henry Schein"/>
    <x v="0"/>
    <x v="19"/>
    <n v="4.6399999999999997"/>
  </r>
  <r>
    <s v="Power Corp of Canada"/>
    <x v="13"/>
    <x v="4"/>
    <n v="20.27"/>
  </r>
  <r>
    <s v="Investment AB Kinnevik"/>
    <x v="25"/>
    <x v="4"/>
    <n v="0.57999999999999996"/>
  </r>
  <r>
    <s v="Axel Springer Verlag"/>
    <x v="7"/>
    <x v="15"/>
    <n v="2.83"/>
  </r>
  <r>
    <s v="Daegu Bank"/>
    <x v="9"/>
    <x v="0"/>
    <n v="1.17"/>
  </r>
  <r>
    <s v="Friedman Billings"/>
    <x v="0"/>
    <x v="4"/>
    <n v="1"/>
  </r>
  <r>
    <s v="Louisiana-Pacific"/>
    <x v="0"/>
    <x v="18"/>
    <n v="2.6"/>
  </r>
  <r>
    <s v="Hyosung"/>
    <x v="9"/>
    <x v="7"/>
    <n v="5.5"/>
  </r>
  <r>
    <s v="Universal Health"/>
    <x v="0"/>
    <x v="19"/>
    <n v="3.86"/>
  </r>
  <r>
    <s v="Hokuetsu Bank"/>
    <x v="4"/>
    <x v="0"/>
    <n v="0.43"/>
  </r>
  <r>
    <s v="Hanwa"/>
    <x v="4"/>
    <x v="22"/>
    <n v="8.7100000000000009"/>
  </r>
  <r>
    <s v="Indah Kiat Pulp &amp; Paper"/>
    <x v="48"/>
    <x v="18"/>
    <n v="1.38"/>
  </r>
  <r>
    <s v="Farmers Bank of China"/>
    <x v="34"/>
    <x v="0"/>
    <n v="0.43"/>
  </r>
  <r>
    <s v="Michinoku Bank"/>
    <x v="4"/>
    <x v="0"/>
    <n v="0.38"/>
  </r>
  <r>
    <s v="Industrivarden"/>
    <x v="25"/>
    <x v="26"/>
    <n v="0.65"/>
  </r>
  <r>
    <s v="Gamesa"/>
    <x v="6"/>
    <x v="23"/>
    <n v="2.36"/>
  </r>
  <r>
    <s v="Winn-Dixie Stores"/>
    <x v="0"/>
    <x v="21"/>
    <n v="8.58"/>
  </r>
  <r>
    <s v="Oriental Bank of Commerce"/>
    <x v="29"/>
    <x v="0"/>
    <n v="0.93"/>
  </r>
  <r>
    <s v="Transmontaigne"/>
    <x v="0"/>
    <x v="3"/>
    <n v="8.5500000000000007"/>
  </r>
  <r>
    <s v="Kuraray"/>
    <x v="4"/>
    <x v="20"/>
    <n v="3.31"/>
  </r>
  <r>
    <s v="Pixar"/>
    <x v="0"/>
    <x v="15"/>
    <n v="0.34"/>
  </r>
  <r>
    <s v="AEM"/>
    <x v="8"/>
    <x v="11"/>
    <n v="2.4"/>
  </r>
  <r>
    <s v="Brookfield Asset Mgmt"/>
    <x v="13"/>
    <x v="4"/>
    <n v="5.99"/>
  </r>
  <r>
    <s v="E.Sun Financial"/>
    <x v="34"/>
    <x v="0"/>
    <n v="0.63"/>
  </r>
  <r>
    <s v="Novell"/>
    <x v="0"/>
    <x v="8"/>
    <n v="1.2"/>
  </r>
  <r>
    <s v="BEKB-BCBE"/>
    <x v="3"/>
    <x v="0"/>
    <n v="0.62"/>
  </r>
  <r>
    <s v="Energizer Holdings"/>
    <x v="0"/>
    <x v="7"/>
    <n v="3"/>
  </r>
  <r>
    <s v="Serono"/>
    <x v="3"/>
    <x v="12"/>
    <n v="2.2200000000000002"/>
  </r>
  <r>
    <s v="RHM"/>
    <x v="1"/>
    <x v="10"/>
    <n v="3.13"/>
  </r>
  <r>
    <s v="MediaTek"/>
    <x v="34"/>
    <x v="13"/>
    <n v="1.42"/>
  </r>
  <r>
    <s v="PriМедиа"/>
    <x v="0"/>
    <x v="15"/>
    <n v="0.99"/>
  </r>
  <r>
    <s v="Red Eléctrica de España"/>
    <x v="6"/>
    <x v="11"/>
    <n v="1.02"/>
  </r>
  <r>
    <s v="Bank of Saga"/>
    <x v="4"/>
    <x v="0"/>
    <n v="0.38"/>
  </r>
  <r>
    <s v="CI Financial"/>
    <x v="13"/>
    <x v="4"/>
    <n v="0.86"/>
  </r>
  <r>
    <s v="Overseas Shipholding"/>
    <x v="0"/>
    <x v="17"/>
    <n v="1"/>
  </r>
  <r>
    <s v="Enka"/>
    <x v="33"/>
    <x v="26"/>
    <n v="1.98"/>
  </r>
  <r>
    <s v="Gold Fields"/>
    <x v="31"/>
    <x v="18"/>
    <n v="1.77"/>
  </r>
  <r>
    <s v="BayWa"/>
    <x v="7"/>
    <x v="10"/>
    <n v="8.2899999999999991"/>
  </r>
  <r>
    <s v="IDB Holding"/>
    <x v="45"/>
    <x v="4"/>
    <n v="2.65"/>
  </r>
  <r>
    <s v="Banco de Chile"/>
    <x v="49"/>
    <x v="0"/>
    <n v="1.35"/>
  </r>
  <r>
    <s v="Hays"/>
    <x v="1"/>
    <x v="24"/>
    <n v="2.94"/>
  </r>
  <r>
    <s v="Norske Skogindustrier"/>
    <x v="16"/>
    <x v="18"/>
    <n v="3.81"/>
  </r>
  <r>
    <s v="TMB Bank"/>
    <x v="36"/>
    <x v="0"/>
    <n v="0.56999999999999995"/>
  </r>
  <r>
    <s v="Cognizant Technology"/>
    <x v="0"/>
    <x v="24"/>
    <n v="0.89"/>
  </r>
  <r>
    <s v="Hindalco Industries"/>
    <x v="29"/>
    <x v="18"/>
    <n v="2.2599999999999998"/>
  </r>
  <r>
    <s v="Nishimatsu Строительство"/>
    <x v="4"/>
    <x v="26"/>
    <n v="4.2"/>
  </r>
  <r>
    <s v="CNF"/>
    <x v="0"/>
    <x v="17"/>
    <n v="4.17"/>
  </r>
  <r>
    <s v="Equifax"/>
    <x v="0"/>
    <x v="24"/>
    <n v="1.44"/>
  </r>
  <r>
    <s v="Yamagata Bank"/>
    <x v="4"/>
    <x v="0"/>
    <n v="0.4"/>
  </r>
  <r>
    <s v="Pusan Bank"/>
    <x v="9"/>
    <x v="0"/>
    <n v="1.07"/>
  </r>
  <r>
    <s v="IBJ Leasing"/>
    <x v="4"/>
    <x v="4"/>
    <n v="3.32"/>
  </r>
  <r>
    <s v="Coca-Cola Amatil"/>
    <x v="14"/>
    <x v="10"/>
    <n v="2.93"/>
  </r>
  <r>
    <s v="Grupo Elektra"/>
    <x v="28"/>
    <x v="6"/>
    <n v="3"/>
  </r>
  <r>
    <s v="Fuyo General Lease"/>
    <x v="4"/>
    <x v="4"/>
    <n v="3.4"/>
  </r>
  <r>
    <s v="Towa Bank"/>
    <x v="4"/>
    <x v="0"/>
    <n v="0.37"/>
  </r>
  <r>
    <s v="World Fuel Services"/>
    <x v="0"/>
    <x v="24"/>
    <n v="7.99"/>
  </r>
  <r>
    <s v="Hanwha Chemical"/>
    <x v="9"/>
    <x v="20"/>
    <n v="3.11"/>
  </r>
  <r>
    <s v="Fulton Financial"/>
    <x v="0"/>
    <x v="0"/>
    <n v="0.77"/>
  </r>
  <r>
    <s v="Higashi-Nippon Bank"/>
    <x v="4"/>
    <x v="0"/>
    <n v="0.4"/>
  </r>
  <r>
    <s v="Mitsui Engineering &amp; Ship"/>
    <x v="4"/>
    <x v="23"/>
    <n v="4.82"/>
  </r>
  <r>
    <s v="Carphone Warehouse"/>
    <x v="1"/>
    <x v="6"/>
    <n v="4.45"/>
  </r>
  <r>
    <s v="Sonic Automotive"/>
    <x v="0"/>
    <x v="6"/>
    <n v="7.88"/>
  </r>
  <r>
    <s v="St Galler Kantonalbank"/>
    <x v="3"/>
    <x v="0"/>
    <n v="0.4"/>
  </r>
  <r>
    <s v="Luzerner Kantonalbank"/>
    <x v="3"/>
    <x v="0"/>
    <n v="0.54"/>
  </r>
  <r>
    <s v="Sappi"/>
    <x v="31"/>
    <x v="18"/>
    <n v="4.88"/>
  </r>
  <r>
    <s v="BJ's Wholesale Club"/>
    <x v="0"/>
    <x v="6"/>
    <n v="7.85"/>
  </r>
  <r>
    <s v="ServiceMaster"/>
    <x v="0"/>
    <x v="24"/>
    <n v="3.24"/>
  </r>
  <r>
    <s v="Annaly Mortgage Mgmt"/>
    <x v="0"/>
    <x v="4"/>
    <n v="0.71"/>
  </r>
  <r>
    <s v="Travis Perkins"/>
    <x v="1"/>
    <x v="6"/>
    <n v="3.51"/>
  </r>
  <r>
    <s v="AMMB Holdings"/>
    <x v="43"/>
    <x v="4"/>
    <n v="1.18"/>
  </r>
  <r>
    <s v="Brinker International"/>
    <x v="0"/>
    <x v="25"/>
    <n v="4.04"/>
  </r>
  <r>
    <s v="Hong Leong Credit"/>
    <x v="43"/>
    <x v="4"/>
    <n v="0.83"/>
  </r>
  <r>
    <s v="Minmetals Development"/>
    <x v="11"/>
    <x v="22"/>
    <n v="7.8"/>
  </r>
  <r>
    <s v="KAS Bank"/>
    <x v="2"/>
    <x v="4"/>
    <n v="0.27"/>
  </r>
  <r>
    <s v="Miyazaki Bank"/>
    <x v="4"/>
    <x v="0"/>
    <n v="0.41"/>
  </r>
  <r>
    <s v="Petsmart"/>
    <x v="0"/>
    <x v="6"/>
    <n v="3.64"/>
  </r>
  <r>
    <s v="Valley Natl Bancorp"/>
    <x v="0"/>
    <x v="0"/>
    <n v="0.7"/>
  </r>
  <r>
    <s v="FIBI Holding"/>
    <x v="45"/>
    <x v="0"/>
    <n v="1.01"/>
  </r>
  <r>
    <s v="Equitable Resources"/>
    <x v="0"/>
    <x v="11"/>
    <n v="1.25"/>
  </r>
  <r>
    <s v="Level 3 Commun"/>
    <x v="0"/>
    <x v="9"/>
    <n v="3.65"/>
  </r>
  <r>
    <s v="CarMax"/>
    <x v="0"/>
    <x v="6"/>
    <n v="6.03"/>
  </r>
  <r>
    <s v="CPFL Energia"/>
    <x v="10"/>
    <x v="11"/>
    <n v="2.54"/>
  </r>
  <r>
    <s v="Akamai Technologies"/>
    <x v="0"/>
    <x v="14"/>
    <n v="0.28000000000000003"/>
  </r>
  <r>
    <s v="Tong Yang Major"/>
    <x v="9"/>
    <x v="26"/>
    <n v="2.84"/>
  </r>
  <r>
    <s v="CJ"/>
    <x v="9"/>
    <x v="10"/>
    <n v="5.4"/>
  </r>
  <r>
    <s v="Siam City Bank"/>
    <x v="36"/>
    <x v="0"/>
    <n v="0.54"/>
  </r>
  <r>
    <s v="China Intl Marine Container"/>
    <x v="11"/>
    <x v="23"/>
    <n v="3.21"/>
  </r>
  <r>
    <s v="Cullen/Frost Bankers"/>
    <x v="0"/>
    <x v="0"/>
    <n v="0.74"/>
  </r>
  <r>
    <s v="HCC Страхование"/>
    <x v="0"/>
    <x v="2"/>
    <n v="1.64"/>
  </r>
  <r>
    <s v="Thai Airways Intl"/>
    <x v="36"/>
    <x v="17"/>
    <n v="3.96"/>
  </r>
  <r>
    <s v="Potash of Saskatchewan"/>
    <x v="13"/>
    <x v="20"/>
    <n v="3.61"/>
  </r>
  <r>
    <s v="Credito Valtellinese"/>
    <x v="8"/>
    <x v="0"/>
    <n v="0.89"/>
  </r>
  <r>
    <s v="Tokyo Broadcasting Sys"/>
    <x v="4"/>
    <x v="15"/>
    <n v="2.82"/>
  </r>
  <r>
    <s v="Enagas"/>
    <x v="6"/>
    <x v="3"/>
    <n v="0.76"/>
  </r>
  <r>
    <s v="Sigma-Aldrich"/>
    <x v="0"/>
    <x v="20"/>
    <n v="1.67"/>
  </r>
  <r>
    <s v="Daisan Bank"/>
    <x v="4"/>
    <x v="0"/>
    <n v="0.36"/>
  </r>
  <r>
    <s v="Honam Petrochemical"/>
    <x v="9"/>
    <x v="20"/>
    <n v="2.29"/>
  </r>
  <r>
    <s v="Soriana"/>
    <x v="28"/>
    <x v="6"/>
    <n v="4.5599999999999996"/>
  </r>
  <r>
    <s v="Bank of Hawaii"/>
    <x v="0"/>
    <x v="0"/>
    <n v="0.72"/>
  </r>
  <r>
    <s v="Hagemeyer"/>
    <x v="2"/>
    <x v="22"/>
    <n v="7.36"/>
  </r>
  <r>
    <s v="Kangwon Land"/>
    <x v="9"/>
    <x v="25"/>
    <n v="0.74"/>
  </r>
  <r>
    <s v="Tellabs"/>
    <x v="0"/>
    <x v="8"/>
    <n v="1.88"/>
  </r>
  <r>
    <s v="PHH"/>
    <x v="0"/>
    <x v="4"/>
    <n v="3"/>
  </r>
  <r>
    <s v="Valiant Holding"/>
    <x v="3"/>
    <x v="0"/>
    <n v="0.54"/>
  </r>
  <r>
    <s v="Flagstar Bancorp"/>
    <x v="0"/>
    <x v="0"/>
    <n v="0.9"/>
  </r>
  <r>
    <s v="Oberbank"/>
    <x v="32"/>
    <x v="0"/>
    <n v="0.65"/>
  </r>
  <r>
    <s v="Invensys"/>
    <x v="1"/>
    <x v="23"/>
    <n v="5.53"/>
  </r>
  <r>
    <s v="Funai Electric"/>
    <x v="4"/>
    <x v="5"/>
    <n v="3.57"/>
  </r>
  <r>
    <s v="Chukyo Bank"/>
    <x v="4"/>
    <x v="0"/>
    <n v="0.33"/>
  </r>
  <r>
    <s v="Cimarex Energy"/>
    <x v="0"/>
    <x v="3"/>
    <n v="1.1200000000000001"/>
  </r>
  <r>
    <s v="Dun &amp; Bradstreet"/>
    <x v="0"/>
    <x v="24"/>
    <n v="1.44"/>
  </r>
  <r>
    <s v="National Aluminium"/>
    <x v="29"/>
    <x v="18"/>
    <n v="0.94"/>
  </r>
  <r>
    <s v="Bank of Ayudhya"/>
    <x v="36"/>
    <x v="0"/>
    <n v="0.66"/>
  </r>
  <r>
    <s v="Ehime Bank"/>
    <x v="4"/>
    <x v="0"/>
    <n v="0.37"/>
  </r>
  <r>
    <s v="Namco Bandai Holdings"/>
    <x v="4"/>
    <x v="5"/>
    <n v="3.98"/>
  </r>
  <r>
    <s v="Steinhoff Intl Holdings"/>
    <x v="31"/>
    <x v="5"/>
    <n v="2.88"/>
  </r>
  <r>
    <s v="Heidelberg"/>
    <x v="7"/>
    <x v="23"/>
    <n v="4.3499999999999996"/>
  </r>
  <r>
    <s v="Alexander Forbes"/>
    <x v="31"/>
    <x v="4"/>
    <n v="0.74"/>
  </r>
  <r>
    <s v="First Citizens Bancshs"/>
    <x v="0"/>
    <x v="0"/>
    <n v="0.93"/>
  </r>
  <r>
    <s v="Mercantil Servicios Fin"/>
    <x v="59"/>
    <x v="4"/>
    <n v="1.01"/>
  </r>
  <r>
    <s v="Bank Danamon"/>
    <x v="48"/>
    <x v="0"/>
    <n v="0.83"/>
  </r>
  <r>
    <s v="Investors Financial"/>
    <x v="0"/>
    <x v="4"/>
    <n v="0.97"/>
  </r>
  <r>
    <s v="Maruha Group"/>
    <x v="4"/>
    <x v="10"/>
    <n v="6.97"/>
  </r>
  <r>
    <s v="SanomaWSOY"/>
    <x v="21"/>
    <x v="15"/>
    <n v="3.38"/>
  </r>
  <r>
    <s v="Eurotunnel"/>
    <x v="60"/>
    <x v="17"/>
    <n v="1.07"/>
  </r>
  <r>
    <s v="Tokyo Steel Mfg"/>
    <x v="4"/>
    <x v="18"/>
    <n v="2.17"/>
  </r>
  <r>
    <s v="South Financial Group"/>
    <x v="0"/>
    <x v="0"/>
    <n v="0.82"/>
  </r>
  <r>
    <s v="SunCom Wireless Holdings"/>
    <x v="0"/>
    <x v="9"/>
    <n v="0.83"/>
  </r>
  <r>
    <s v="Liberty Property"/>
    <x v="0"/>
    <x v="4"/>
    <n v="0.68"/>
  </r>
  <r>
    <s v="Petronas Gas"/>
    <x v="43"/>
    <x v="3"/>
    <n v="0.61"/>
  </r>
  <r>
    <s v="Sydbank"/>
    <x v="22"/>
    <x v="0"/>
    <n v="0.74"/>
  </r>
  <r>
    <s v="Forest City Ent"/>
    <x v="0"/>
    <x v="4"/>
    <n v="1.1100000000000001"/>
  </r>
  <r>
    <s v="Mills"/>
    <x v="0"/>
    <x v="4"/>
    <n v="0.69"/>
  </r>
  <r>
    <s v="McCormick &amp; Co"/>
    <x v="0"/>
    <x v="10"/>
    <n v="2.59"/>
  </r>
  <r>
    <s v="Patterson Cos"/>
    <x v="0"/>
    <x v="19"/>
    <n v="2.5499999999999998"/>
  </r>
  <r>
    <s v="Meiji Dairies"/>
    <x v="4"/>
    <x v="10"/>
    <n v="6.76"/>
  </r>
  <r>
    <s v="Toda"/>
    <x v="4"/>
    <x v="26"/>
    <n v="4.58"/>
  </r>
  <r>
    <s v="China Development Finl"/>
    <x v="34"/>
    <x v="0"/>
    <n v="0.47"/>
  </r>
  <r>
    <s v="MedImmune"/>
    <x v="0"/>
    <x v="12"/>
    <n v="1.24"/>
  </r>
  <r>
    <s v="Saks"/>
    <x v="0"/>
    <x v="6"/>
    <n v="6.25"/>
  </r>
  <r>
    <s v="Sumitomo Forestry"/>
    <x v="4"/>
    <x v="26"/>
    <n v="6.75"/>
  </r>
  <r>
    <s v="Wilmington Trust"/>
    <x v="0"/>
    <x v="0"/>
    <n v="0.83"/>
  </r>
  <r>
    <s v="Bank of Ryukyus"/>
    <x v="4"/>
    <x v="0"/>
    <n v="0.41"/>
  </r>
  <r>
    <s v="Fastenal"/>
    <x v="0"/>
    <x v="6"/>
    <n v="1.52"/>
  </r>
  <r>
    <s v="Capita Group"/>
    <x v="1"/>
    <x v="24"/>
    <n v="2.4700000000000002"/>
  </r>
  <r>
    <s v="Eurazeo"/>
    <x v="5"/>
    <x v="4"/>
    <n v="0.63"/>
  </r>
  <r>
    <s v="Sumitomo Mitsui Const"/>
    <x v="4"/>
    <x v="26"/>
    <n v="5"/>
  </r>
  <r>
    <s v="Amer Eagle Outfitters"/>
    <x v="0"/>
    <x v="6"/>
    <n v="2.2200000000000002"/>
  </r>
  <r>
    <s v="Agrium"/>
    <x v="13"/>
    <x v="20"/>
    <n v="3.42"/>
  </r>
  <r>
    <s v="Macerich"/>
    <x v="0"/>
    <x v="4"/>
    <n v="0.77"/>
  </r>
  <r>
    <s v="JB Hunt Transport"/>
    <x v="0"/>
    <x v="17"/>
    <n v="3.13"/>
  </r>
  <r>
    <s v="NCC Group"/>
    <x v="25"/>
    <x v="26"/>
    <n v="6.22"/>
  </r>
  <r>
    <s v="Applera-Applied Biosys"/>
    <x v="0"/>
    <x v="19"/>
    <n v="1.83"/>
  </r>
  <r>
    <s v="Yokogawa Electric"/>
    <x v="4"/>
    <x v="24"/>
    <n v="3.61"/>
  </r>
  <r>
    <s v="Cimpor-Cimentos Portugal"/>
    <x v="38"/>
    <x v="26"/>
    <n v="1.85"/>
  </r>
  <r>
    <s v="FirstGroup"/>
    <x v="1"/>
    <x v="17"/>
    <n v="5.09"/>
  </r>
  <r>
    <s v="Hasbro"/>
    <x v="0"/>
    <x v="7"/>
    <n v="3.09"/>
  </r>
  <r>
    <s v="Aplus"/>
    <x v="4"/>
    <x v="4"/>
    <n v="0.87"/>
  </r>
  <r>
    <s v="Kimberly-Clark de Mexico"/>
    <x v="28"/>
    <x v="7"/>
    <n v="2.0699999999999998"/>
  </r>
  <r>
    <s v="Calsonic Kansei"/>
    <x v="4"/>
    <x v="5"/>
    <n v="6.48"/>
  </r>
  <r>
    <s v="Lubrizol"/>
    <x v="0"/>
    <x v="20"/>
    <n v="4.04"/>
  </r>
  <r>
    <s v="NOVA Химическая отрасль"/>
    <x v="13"/>
    <x v="20"/>
    <n v="5.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FAB70-8D5F-429F-9BD4-9B78F56253FF}" name="Сводная таблица11" cacheId="25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20" firstHeaderRow="1" firstDataRow="1" firstDataCol="1" rowPageCount="1" colPageCount="1"/>
  <pivotFields count="4">
    <pivotField showAll="0"/>
    <pivotField axis="axisPage" multipleItemSelectionAllowed="1" showAll="0">
      <items count="62">
        <item h="1" x="14"/>
        <item h="1" x="17"/>
        <item h="1" x="32"/>
        <item h="1" x="57"/>
        <item h="1" x="18"/>
        <item h="1" x="19"/>
        <item h="1" x="10"/>
        <item h="1" x="26"/>
        <item h="1" x="37"/>
        <item h="1" x="52"/>
        <item h="1" x="40"/>
        <item h="1" x="59"/>
        <item h="1" x="7"/>
        <item h="1" x="20"/>
        <item h="1" x="39"/>
        <item h="1" x="22"/>
        <item h="1" x="54"/>
        <item h="1" x="45"/>
        <item h="1" x="29"/>
        <item h="1" x="48"/>
        <item h="1" x="47"/>
        <item h="1" x="30"/>
        <item h="1" x="50"/>
        <item h="1" x="6"/>
        <item h="1" x="8"/>
        <item h="1" x="42"/>
        <item x="13"/>
        <item h="1" x="11"/>
        <item h="1" x="56"/>
        <item h="1" x="46"/>
        <item h="1" x="24"/>
        <item h="1" x="43"/>
        <item h="1" x="58"/>
        <item h="1" x="28"/>
        <item h="1" x="2"/>
        <item h="1" x="15"/>
        <item h="1" x="51"/>
        <item h="1" x="16"/>
        <item h="1" x="53"/>
        <item h="1" x="27"/>
        <item h="1" x="44"/>
        <item h="1" x="38"/>
        <item h="1" x="12"/>
        <item h="1" x="23"/>
        <item h="1" x="35"/>
        <item h="1" x="1"/>
        <item h="1" x="0"/>
        <item h="1" x="36"/>
        <item h="1" x="34"/>
        <item h="1" x="33"/>
        <item h="1" x="55"/>
        <item h="1" x="21"/>
        <item h="1" x="5"/>
        <item h="1" x="60"/>
        <item h="1" x="41"/>
        <item h="1" x="49"/>
        <item h="1" x="3"/>
        <item h="1" x="25"/>
        <item h="1" x="31"/>
        <item h="1" x="9"/>
        <item h="1" x="4"/>
        <item t="default"/>
      </items>
    </pivotField>
    <pivotField axis="axisRow" showAll="0">
      <items count="28">
        <item x="16"/>
        <item x="0"/>
        <item x="24"/>
        <item x="10"/>
        <item x="11"/>
        <item x="1"/>
        <item x="15"/>
        <item x="3"/>
        <item x="25"/>
        <item x="17"/>
        <item x="13"/>
        <item x="5"/>
        <item x="14"/>
        <item x="21"/>
        <item x="6"/>
        <item x="23"/>
        <item x="2"/>
        <item x="26"/>
        <item x="18"/>
        <item x="9"/>
        <item x="8"/>
        <item x="7"/>
        <item x="19"/>
        <item x="22"/>
        <item x="12"/>
        <item x="4"/>
        <item x="20"/>
        <item t="default"/>
      </items>
    </pivotField>
    <pivotField dataField="1" numFmtId="164" showAll="0"/>
  </pivotFields>
  <rowFields count="1">
    <field x="2"/>
  </rowFields>
  <rowItems count="17">
    <i>
      <x/>
    </i>
    <i>
      <x v="1"/>
    </i>
    <i>
      <x v="2"/>
    </i>
    <i>
      <x v="4"/>
    </i>
    <i>
      <x v="6"/>
    </i>
    <i>
      <x v="7"/>
    </i>
    <i>
      <x v="9"/>
    </i>
    <i>
      <x v="11"/>
    </i>
    <i>
      <x v="13"/>
    </i>
    <i>
      <x v="14"/>
    </i>
    <i>
      <x v="16"/>
    </i>
    <i>
      <x v="18"/>
    </i>
    <i>
      <x v="19"/>
    </i>
    <i>
      <x v="20"/>
    </i>
    <i>
      <x v="25"/>
    </i>
    <i>
      <x v="26"/>
    </i>
    <i t="grand">
      <x/>
    </i>
  </rowItems>
  <colItems count="1">
    <i/>
  </colItems>
  <pageFields count="1">
    <pageField fld="1" hier="-1"/>
  </pageFields>
  <dataFields count="1">
    <dataField name="Среднее по полю Продажи (млрд $)" fld="3" subtotal="average" baseField="2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99AD-004A-4657-BEFF-08F8AC3E88AB}">
  <dimension ref="F4:J2004"/>
  <sheetViews>
    <sheetView workbookViewId="0">
      <selection activeCell="N10" sqref="N10"/>
    </sheetView>
  </sheetViews>
  <sheetFormatPr defaultRowHeight="14.4" x14ac:dyDescent="0.3"/>
  <cols>
    <col min="5" max="5" width="8.6640625" customWidth="1"/>
    <col min="6" max="6" width="9.109375" hidden="1" customWidth="1"/>
    <col min="7" max="7" width="21.6640625" customWidth="1"/>
    <col min="8" max="8" width="20.88671875" customWidth="1"/>
    <col min="9" max="9" width="19.109375" customWidth="1"/>
    <col min="10" max="10" width="21.6640625" customWidth="1"/>
  </cols>
  <sheetData>
    <row r="4" spans="7:10" x14ac:dyDescent="0.3">
      <c r="G4" s="4" t="s">
        <v>1974</v>
      </c>
      <c r="H4" s="5" t="s">
        <v>1973</v>
      </c>
      <c r="I4" s="5" t="s">
        <v>1972</v>
      </c>
      <c r="J4" s="6" t="s">
        <v>1971</v>
      </c>
    </row>
    <row r="5" spans="7:10" x14ac:dyDescent="0.3">
      <c r="G5" s="7" t="s">
        <v>0</v>
      </c>
      <c r="H5" s="8" t="s">
        <v>2034</v>
      </c>
      <c r="I5" s="8" t="s">
        <v>1979</v>
      </c>
      <c r="J5" s="9">
        <v>120.32</v>
      </c>
    </row>
    <row r="6" spans="7:10" x14ac:dyDescent="0.3">
      <c r="G6" s="10" t="s">
        <v>1</v>
      </c>
      <c r="H6" s="11" t="s">
        <v>2034</v>
      </c>
      <c r="I6" s="11" t="s">
        <v>1992</v>
      </c>
      <c r="J6" s="12">
        <v>149.69999999999999</v>
      </c>
    </row>
    <row r="7" spans="7:10" x14ac:dyDescent="0.3">
      <c r="G7" s="7" t="s">
        <v>2</v>
      </c>
      <c r="H7" s="8" t="s">
        <v>2034</v>
      </c>
      <c r="I7" s="8" t="s">
        <v>1979</v>
      </c>
      <c r="J7" s="9">
        <v>85.39</v>
      </c>
    </row>
    <row r="8" spans="7:10" x14ac:dyDescent="0.3">
      <c r="G8" s="10" t="s">
        <v>3</v>
      </c>
      <c r="H8" s="11" t="s">
        <v>2034</v>
      </c>
      <c r="I8" s="11" t="s">
        <v>2005</v>
      </c>
      <c r="J8" s="12">
        <v>106.98</v>
      </c>
    </row>
    <row r="9" spans="7:10" x14ac:dyDescent="0.3">
      <c r="G9" s="7" t="s">
        <v>4</v>
      </c>
      <c r="H9" s="8" t="s">
        <v>2035</v>
      </c>
      <c r="I9" s="8" t="s">
        <v>1979</v>
      </c>
      <c r="J9" s="9">
        <v>76.38</v>
      </c>
    </row>
    <row r="10" spans="7:10" x14ac:dyDescent="0.3">
      <c r="G10" s="10" t="s">
        <v>5</v>
      </c>
      <c r="H10" s="11" t="s">
        <v>2034</v>
      </c>
      <c r="I10" s="11" t="s">
        <v>2022</v>
      </c>
      <c r="J10" s="12">
        <v>328.21</v>
      </c>
    </row>
    <row r="11" spans="7:10" x14ac:dyDescent="0.3">
      <c r="G11" s="7" t="s">
        <v>6</v>
      </c>
      <c r="H11" s="8" t="s">
        <v>2036</v>
      </c>
      <c r="I11" s="8" t="s">
        <v>2022</v>
      </c>
      <c r="J11" s="9">
        <v>306.73</v>
      </c>
    </row>
    <row r="12" spans="7:10" x14ac:dyDescent="0.3">
      <c r="G12" s="10" t="s">
        <v>7</v>
      </c>
      <c r="H12" s="11" t="s">
        <v>2035</v>
      </c>
      <c r="I12" s="11" t="s">
        <v>2022</v>
      </c>
      <c r="J12" s="12">
        <v>249.47</v>
      </c>
    </row>
    <row r="13" spans="7:10" x14ac:dyDescent="0.3">
      <c r="G13" s="7" t="s">
        <v>8</v>
      </c>
      <c r="H13" s="8" t="s">
        <v>2034</v>
      </c>
      <c r="I13" s="8" t="s">
        <v>1979</v>
      </c>
      <c r="J13" s="9">
        <v>79.900000000000006</v>
      </c>
    </row>
    <row r="14" spans="7:10" x14ac:dyDescent="0.3">
      <c r="G14" s="10" t="s">
        <v>9</v>
      </c>
      <c r="H14" s="11" t="s">
        <v>2037</v>
      </c>
      <c r="I14" s="11" t="s">
        <v>1998</v>
      </c>
      <c r="J14" s="12">
        <v>78.25</v>
      </c>
    </row>
    <row r="15" spans="7:10" x14ac:dyDescent="0.3">
      <c r="G15" s="7" t="s">
        <v>10</v>
      </c>
      <c r="H15" s="8" t="s">
        <v>2036</v>
      </c>
      <c r="I15" s="8" t="s">
        <v>1998</v>
      </c>
      <c r="J15" s="9">
        <v>137.11000000000001</v>
      </c>
    </row>
    <row r="16" spans="7:10" x14ac:dyDescent="0.3">
      <c r="G16" s="10" t="s">
        <v>11</v>
      </c>
      <c r="H16" s="11" t="s">
        <v>2038</v>
      </c>
      <c r="I16" s="11" t="s">
        <v>1997</v>
      </c>
      <c r="J16" s="12">
        <v>173.09</v>
      </c>
    </row>
    <row r="17" spans="7:10" x14ac:dyDescent="0.3">
      <c r="G17" s="7" t="s">
        <v>12</v>
      </c>
      <c r="H17" s="8" t="s">
        <v>2034</v>
      </c>
      <c r="I17" s="8" t="s">
        <v>2023</v>
      </c>
      <c r="J17" s="9">
        <v>312.43</v>
      </c>
    </row>
    <row r="18" spans="7:10" x14ac:dyDescent="0.3">
      <c r="G18" s="10" t="s">
        <v>13</v>
      </c>
      <c r="H18" s="11" t="s">
        <v>2035</v>
      </c>
      <c r="I18" s="11" t="s">
        <v>1979</v>
      </c>
      <c r="J18" s="12">
        <v>55.05</v>
      </c>
    </row>
    <row r="19" spans="7:10" x14ac:dyDescent="0.3">
      <c r="G19" s="7" t="s">
        <v>14</v>
      </c>
      <c r="H19" s="8" t="s">
        <v>2039</v>
      </c>
      <c r="I19" s="8" t="s">
        <v>2022</v>
      </c>
      <c r="J19" s="9">
        <v>144.94</v>
      </c>
    </row>
    <row r="20" spans="7:10" x14ac:dyDescent="0.3">
      <c r="G20" s="10" t="s">
        <v>15</v>
      </c>
      <c r="H20" s="11" t="s">
        <v>2034</v>
      </c>
      <c r="I20" s="11" t="s">
        <v>2022</v>
      </c>
      <c r="J20" s="12">
        <v>184.92</v>
      </c>
    </row>
    <row r="21" spans="7:10" x14ac:dyDescent="0.3">
      <c r="G21" s="7" t="s">
        <v>16</v>
      </c>
      <c r="H21" s="8" t="s">
        <v>2039</v>
      </c>
      <c r="I21" s="8" t="s">
        <v>1979</v>
      </c>
      <c r="J21" s="9">
        <v>60.9</v>
      </c>
    </row>
    <row r="22" spans="7:10" x14ac:dyDescent="0.3">
      <c r="G22" s="10" t="s">
        <v>17</v>
      </c>
      <c r="H22" s="11" t="s">
        <v>2034</v>
      </c>
      <c r="I22" s="11" t="s">
        <v>1998</v>
      </c>
      <c r="J22" s="12">
        <v>76.33</v>
      </c>
    </row>
    <row r="23" spans="7:10" x14ac:dyDescent="0.3">
      <c r="G23" s="7" t="s">
        <v>18</v>
      </c>
      <c r="H23" s="8" t="s">
        <v>2040</v>
      </c>
      <c r="I23" s="8" t="s">
        <v>1979</v>
      </c>
      <c r="J23" s="9">
        <v>44.81</v>
      </c>
    </row>
    <row r="24" spans="7:10" x14ac:dyDescent="0.3">
      <c r="G24" s="10" t="s">
        <v>19</v>
      </c>
      <c r="H24" s="11" t="s">
        <v>2035</v>
      </c>
      <c r="I24" s="11" t="s">
        <v>1979</v>
      </c>
      <c r="J24" s="12">
        <v>47.87</v>
      </c>
    </row>
    <row r="25" spans="7:10" x14ac:dyDescent="0.3">
      <c r="G25" s="7" t="s">
        <v>20</v>
      </c>
      <c r="H25" s="8" t="s">
        <v>2034</v>
      </c>
      <c r="I25" s="8" t="s">
        <v>2004</v>
      </c>
      <c r="J25" s="9">
        <v>61.68</v>
      </c>
    </row>
    <row r="26" spans="7:10" x14ac:dyDescent="0.3">
      <c r="G26" s="10" t="s">
        <v>21</v>
      </c>
      <c r="H26" s="11" t="s">
        <v>2034</v>
      </c>
      <c r="I26" s="11" t="s">
        <v>2022</v>
      </c>
      <c r="J26" s="12">
        <v>162.41</v>
      </c>
    </row>
    <row r="27" spans="7:10" x14ac:dyDescent="0.3">
      <c r="G27" s="7" t="s">
        <v>22</v>
      </c>
      <c r="H27" s="8" t="s">
        <v>2034</v>
      </c>
      <c r="I27" s="8" t="s">
        <v>2027</v>
      </c>
      <c r="J27" s="9">
        <v>91.13</v>
      </c>
    </row>
    <row r="28" spans="7:10" x14ac:dyDescent="0.3">
      <c r="G28" s="10" t="s">
        <v>23</v>
      </c>
      <c r="H28" s="11" t="s">
        <v>2035</v>
      </c>
      <c r="I28" s="11" t="s">
        <v>1979</v>
      </c>
      <c r="J28" s="12">
        <v>51.74</v>
      </c>
    </row>
    <row r="29" spans="7:10" x14ac:dyDescent="0.3">
      <c r="G29" s="7" t="s">
        <v>24</v>
      </c>
      <c r="H29" s="8" t="s">
        <v>2034</v>
      </c>
      <c r="I29" s="8" t="s">
        <v>2028</v>
      </c>
      <c r="J29" s="9">
        <v>75.11</v>
      </c>
    </row>
    <row r="30" spans="7:10" x14ac:dyDescent="0.3">
      <c r="G30" s="10" t="s">
        <v>25</v>
      </c>
      <c r="H30" s="11" t="s">
        <v>2034</v>
      </c>
      <c r="I30" s="11" t="s">
        <v>1979</v>
      </c>
      <c r="J30" s="12">
        <v>40.409999999999997</v>
      </c>
    </row>
    <row r="31" spans="7:10" x14ac:dyDescent="0.3">
      <c r="G31" s="7" t="s">
        <v>26</v>
      </c>
      <c r="H31" s="8" t="s">
        <v>2034</v>
      </c>
      <c r="I31" s="8" t="s">
        <v>2001</v>
      </c>
      <c r="J31" s="9">
        <v>68.92</v>
      </c>
    </row>
    <row r="32" spans="7:10" x14ac:dyDescent="0.3">
      <c r="G32" s="10" t="s">
        <v>27</v>
      </c>
      <c r="H32" s="11" t="s">
        <v>2039</v>
      </c>
      <c r="I32" s="11" t="s">
        <v>2005</v>
      </c>
      <c r="J32" s="12">
        <v>115.2</v>
      </c>
    </row>
    <row r="33" spans="7:10" x14ac:dyDescent="0.3">
      <c r="G33" s="7" t="s">
        <v>28</v>
      </c>
      <c r="H33" s="8" t="s">
        <v>2041</v>
      </c>
      <c r="I33" s="8" t="s">
        <v>2005</v>
      </c>
      <c r="J33" s="9">
        <v>124.41</v>
      </c>
    </row>
    <row r="34" spans="7:10" x14ac:dyDescent="0.3">
      <c r="G34" s="10" t="s">
        <v>29</v>
      </c>
      <c r="H34" s="11" t="s">
        <v>2037</v>
      </c>
      <c r="I34" s="11" t="s">
        <v>1998</v>
      </c>
      <c r="J34" s="12">
        <v>68.31</v>
      </c>
    </row>
    <row r="35" spans="7:10" x14ac:dyDescent="0.3">
      <c r="G35" s="7" t="s">
        <v>30</v>
      </c>
      <c r="H35" s="8" t="s">
        <v>2042</v>
      </c>
      <c r="I35" s="8" t="s">
        <v>2022</v>
      </c>
      <c r="J35" s="9">
        <v>83.09</v>
      </c>
    </row>
    <row r="36" spans="7:10" x14ac:dyDescent="0.3">
      <c r="G36" s="10" t="s">
        <v>31</v>
      </c>
      <c r="H36" s="11" t="s">
        <v>2038</v>
      </c>
      <c r="I36" s="11" t="s">
        <v>2028</v>
      </c>
      <c r="J36" s="12">
        <v>100.82</v>
      </c>
    </row>
    <row r="37" spans="7:10" x14ac:dyDescent="0.3">
      <c r="G37" s="7" t="s">
        <v>32</v>
      </c>
      <c r="H37" s="8" t="s">
        <v>2041</v>
      </c>
      <c r="I37" s="8" t="s">
        <v>2031</v>
      </c>
      <c r="J37" s="9">
        <v>66.67</v>
      </c>
    </row>
    <row r="38" spans="7:10" x14ac:dyDescent="0.3">
      <c r="G38" s="10" t="s">
        <v>33</v>
      </c>
      <c r="H38" s="11" t="s">
        <v>2034</v>
      </c>
      <c r="I38" s="11" t="s">
        <v>1998</v>
      </c>
      <c r="J38" s="12">
        <v>52.08</v>
      </c>
    </row>
    <row r="39" spans="7:10" x14ac:dyDescent="0.3">
      <c r="G39" s="7" t="s">
        <v>34</v>
      </c>
      <c r="H39" s="8" t="s">
        <v>2034</v>
      </c>
      <c r="I39" s="8" t="s">
        <v>1999</v>
      </c>
      <c r="J39" s="9">
        <v>51.3</v>
      </c>
    </row>
    <row r="40" spans="7:10" x14ac:dyDescent="0.3">
      <c r="G40" s="10" t="s">
        <v>35</v>
      </c>
      <c r="H40" s="11" t="s">
        <v>2034</v>
      </c>
      <c r="I40" s="11" t="s">
        <v>1998</v>
      </c>
      <c r="J40" s="12">
        <v>47.78</v>
      </c>
    </row>
    <row r="41" spans="7:10" x14ac:dyDescent="0.3">
      <c r="G41" s="7" t="s">
        <v>36</v>
      </c>
      <c r="H41" s="8" t="s">
        <v>2034</v>
      </c>
      <c r="I41" s="8" t="s">
        <v>1998</v>
      </c>
      <c r="J41" s="9">
        <v>52.46</v>
      </c>
    </row>
    <row r="42" spans="7:10" x14ac:dyDescent="0.3">
      <c r="G42" s="10" t="s">
        <v>37</v>
      </c>
      <c r="H42" s="11" t="s">
        <v>2036</v>
      </c>
      <c r="I42" s="11" t="s">
        <v>1998</v>
      </c>
      <c r="J42" s="12">
        <v>81.48</v>
      </c>
    </row>
    <row r="43" spans="7:10" x14ac:dyDescent="0.3">
      <c r="G43" s="7" t="s">
        <v>38</v>
      </c>
      <c r="H43" s="8" t="s">
        <v>2041</v>
      </c>
      <c r="I43" s="8" t="s">
        <v>2028</v>
      </c>
      <c r="J43" s="9">
        <v>78.53</v>
      </c>
    </row>
    <row r="44" spans="7:10" x14ac:dyDescent="0.3">
      <c r="G44" s="10" t="s">
        <v>39</v>
      </c>
      <c r="H44" s="11" t="s">
        <v>2034</v>
      </c>
      <c r="I44" s="11" t="s">
        <v>1979</v>
      </c>
      <c r="J44" s="12">
        <v>35.909999999999997</v>
      </c>
    </row>
    <row r="45" spans="7:10" x14ac:dyDescent="0.3">
      <c r="G45" s="7" t="s">
        <v>40</v>
      </c>
      <c r="H45" s="8" t="s">
        <v>2036</v>
      </c>
      <c r="I45" s="8" t="s">
        <v>1979</v>
      </c>
      <c r="J45" s="9">
        <v>50.03</v>
      </c>
    </row>
    <row r="46" spans="7:10" x14ac:dyDescent="0.3">
      <c r="G46" s="10" t="s">
        <v>41</v>
      </c>
      <c r="H46" s="11" t="s">
        <v>2034</v>
      </c>
      <c r="I46" s="11" t="s">
        <v>1998</v>
      </c>
      <c r="J46" s="12">
        <v>43.39</v>
      </c>
    </row>
    <row r="47" spans="7:10" x14ac:dyDescent="0.3">
      <c r="G47" s="7" t="s">
        <v>42</v>
      </c>
      <c r="H47" s="8" t="s">
        <v>2039</v>
      </c>
      <c r="I47" s="8" t="s">
        <v>1979</v>
      </c>
      <c r="J47" s="9">
        <v>49.68</v>
      </c>
    </row>
    <row r="48" spans="7:10" x14ac:dyDescent="0.3">
      <c r="G48" s="10" t="s">
        <v>43</v>
      </c>
      <c r="H48" s="11" t="s">
        <v>2038</v>
      </c>
      <c r="I48" s="11" t="s">
        <v>1979</v>
      </c>
      <c r="J48" s="12">
        <v>27.96</v>
      </c>
    </row>
    <row r="49" spans="7:10" x14ac:dyDescent="0.3">
      <c r="G49" s="7" t="s">
        <v>44</v>
      </c>
      <c r="H49" s="8" t="s">
        <v>2041</v>
      </c>
      <c r="I49" s="8" t="s">
        <v>1997</v>
      </c>
      <c r="J49" s="9">
        <v>177.04</v>
      </c>
    </row>
    <row r="50" spans="7:10" x14ac:dyDescent="0.3">
      <c r="G50" s="10" t="s">
        <v>45</v>
      </c>
      <c r="H50" s="11" t="s">
        <v>2039</v>
      </c>
      <c r="I50" s="11" t="s">
        <v>1979</v>
      </c>
      <c r="J50" s="12">
        <v>81.099999999999994</v>
      </c>
    </row>
    <row r="51" spans="7:10" x14ac:dyDescent="0.3">
      <c r="G51" s="7" t="s">
        <v>46</v>
      </c>
      <c r="H51" s="8" t="s">
        <v>2035</v>
      </c>
      <c r="I51" s="8" t="s">
        <v>1979</v>
      </c>
      <c r="J51" s="9">
        <v>52.38</v>
      </c>
    </row>
    <row r="52" spans="7:10" x14ac:dyDescent="0.3">
      <c r="G52" s="10" t="s">
        <v>47</v>
      </c>
      <c r="H52" s="11" t="s">
        <v>2043</v>
      </c>
      <c r="I52" s="11" t="s">
        <v>2025</v>
      </c>
      <c r="J52" s="12">
        <v>79.180000000000007</v>
      </c>
    </row>
    <row r="53" spans="7:10" x14ac:dyDescent="0.3">
      <c r="G53" s="7" t="s">
        <v>48</v>
      </c>
      <c r="H53" s="8" t="s">
        <v>2034</v>
      </c>
      <c r="I53" s="8" t="s">
        <v>2028</v>
      </c>
      <c r="J53" s="9">
        <v>43.86</v>
      </c>
    </row>
    <row r="54" spans="7:10" x14ac:dyDescent="0.3">
      <c r="G54" s="10" t="s">
        <v>49</v>
      </c>
      <c r="H54" s="11" t="s">
        <v>2037</v>
      </c>
      <c r="I54" s="11" t="s">
        <v>2001</v>
      </c>
      <c r="J54" s="12">
        <v>76.11</v>
      </c>
    </row>
    <row r="55" spans="7:10" x14ac:dyDescent="0.3">
      <c r="G55" s="7" t="s">
        <v>50</v>
      </c>
      <c r="H55" s="8" t="s">
        <v>2044</v>
      </c>
      <c r="I55" s="8" t="s">
        <v>2022</v>
      </c>
      <c r="J55" s="9">
        <v>58.43</v>
      </c>
    </row>
    <row r="56" spans="7:10" x14ac:dyDescent="0.3">
      <c r="G56" s="10" t="s">
        <v>51</v>
      </c>
      <c r="H56" s="11" t="s">
        <v>2045</v>
      </c>
      <c r="I56" s="11" t="s">
        <v>2022</v>
      </c>
      <c r="J56" s="12">
        <v>46.95</v>
      </c>
    </row>
    <row r="57" spans="7:10" x14ac:dyDescent="0.3">
      <c r="G57" s="7" t="s">
        <v>52</v>
      </c>
      <c r="H57" s="8" t="s">
        <v>2046</v>
      </c>
      <c r="I57" s="8" t="s">
        <v>2022</v>
      </c>
      <c r="J57" s="9">
        <v>36.47</v>
      </c>
    </row>
    <row r="58" spans="7:10" x14ac:dyDescent="0.3">
      <c r="G58" s="10" t="s">
        <v>53</v>
      </c>
      <c r="H58" s="11" t="s">
        <v>2039</v>
      </c>
      <c r="I58" s="11" t="s">
        <v>2028</v>
      </c>
      <c r="J58" s="12">
        <v>57.96</v>
      </c>
    </row>
    <row r="59" spans="7:10" x14ac:dyDescent="0.3">
      <c r="G59" s="7" t="s">
        <v>54</v>
      </c>
      <c r="H59" s="8" t="s">
        <v>2034</v>
      </c>
      <c r="I59" s="8" t="s">
        <v>2026</v>
      </c>
      <c r="J59" s="9">
        <v>41.36</v>
      </c>
    </row>
    <row r="60" spans="7:10" x14ac:dyDescent="0.3">
      <c r="G60" s="10" t="s">
        <v>55</v>
      </c>
      <c r="H60" s="11" t="s">
        <v>2041</v>
      </c>
      <c r="I60" s="11" t="s">
        <v>1998</v>
      </c>
      <c r="J60" s="12">
        <v>29.82</v>
      </c>
    </row>
    <row r="61" spans="7:10" x14ac:dyDescent="0.3">
      <c r="G61" s="7" t="s">
        <v>56</v>
      </c>
      <c r="H61" s="8" t="s">
        <v>2034</v>
      </c>
      <c r="I61" s="8" t="s">
        <v>1999</v>
      </c>
      <c r="J61" s="9">
        <v>50.51</v>
      </c>
    </row>
    <row r="62" spans="7:10" x14ac:dyDescent="0.3">
      <c r="G62" s="10" t="s">
        <v>57</v>
      </c>
      <c r="H62" s="11" t="s">
        <v>2040</v>
      </c>
      <c r="I62" s="11" t="s">
        <v>1979</v>
      </c>
      <c r="J62" s="12">
        <v>28.21</v>
      </c>
    </row>
    <row r="63" spans="7:10" x14ac:dyDescent="0.3">
      <c r="G63" s="7" t="s">
        <v>58</v>
      </c>
      <c r="H63" s="8" t="s">
        <v>2039</v>
      </c>
      <c r="I63" s="8" t="s">
        <v>1999</v>
      </c>
      <c r="J63" s="9">
        <v>32.28</v>
      </c>
    </row>
    <row r="64" spans="7:10" x14ac:dyDescent="0.3">
      <c r="G64" s="10" t="s">
        <v>59</v>
      </c>
      <c r="H64" s="11" t="s">
        <v>2034</v>
      </c>
      <c r="I64" s="11" t="s">
        <v>2005</v>
      </c>
      <c r="J64" s="12">
        <v>44.78</v>
      </c>
    </row>
    <row r="65" spans="7:10" x14ac:dyDescent="0.3">
      <c r="G65" s="7" t="s">
        <v>60</v>
      </c>
      <c r="H65" s="8" t="s">
        <v>2041</v>
      </c>
      <c r="I65" s="8" t="s">
        <v>1992</v>
      </c>
      <c r="J65" s="9">
        <v>90.68</v>
      </c>
    </row>
    <row r="66" spans="7:10" x14ac:dyDescent="0.3">
      <c r="G66" s="10" t="s">
        <v>61</v>
      </c>
      <c r="H66" s="11" t="s">
        <v>2038</v>
      </c>
      <c r="I66" s="11" t="s">
        <v>1979</v>
      </c>
      <c r="J66" s="12">
        <v>23.5</v>
      </c>
    </row>
    <row r="67" spans="7:10" x14ac:dyDescent="0.3">
      <c r="G67" s="7" t="s">
        <v>62</v>
      </c>
      <c r="H67" s="8" t="s">
        <v>2038</v>
      </c>
      <c r="I67" s="8" t="s">
        <v>1997</v>
      </c>
      <c r="J67" s="9">
        <v>80.709999999999994</v>
      </c>
    </row>
    <row r="68" spans="7:10" x14ac:dyDescent="0.3">
      <c r="G68" s="10" t="s">
        <v>63</v>
      </c>
      <c r="H68" s="11" t="s">
        <v>2039</v>
      </c>
      <c r="I68" s="11" t="s">
        <v>2031</v>
      </c>
      <c r="J68" s="12">
        <v>63.68</v>
      </c>
    </row>
    <row r="69" spans="7:10" x14ac:dyDescent="0.3">
      <c r="G69" s="7" t="s">
        <v>64</v>
      </c>
      <c r="H69" s="8" t="s">
        <v>2045</v>
      </c>
      <c r="I69" s="8" t="s">
        <v>1979</v>
      </c>
      <c r="J69" s="9">
        <v>19.399999999999999</v>
      </c>
    </row>
    <row r="70" spans="7:10" x14ac:dyDescent="0.3">
      <c r="G70" s="10" t="s">
        <v>65</v>
      </c>
      <c r="H70" s="11" t="s">
        <v>2038</v>
      </c>
      <c r="I70" s="11" t="s">
        <v>1997</v>
      </c>
      <c r="J70" s="12">
        <v>80.02</v>
      </c>
    </row>
    <row r="71" spans="7:10" x14ac:dyDescent="0.3">
      <c r="G71" s="7" t="s">
        <v>66</v>
      </c>
      <c r="H71" s="8" t="s">
        <v>2034</v>
      </c>
      <c r="I71" s="8" t="s">
        <v>2027</v>
      </c>
      <c r="J71" s="9">
        <v>87.9</v>
      </c>
    </row>
    <row r="72" spans="7:10" x14ac:dyDescent="0.3">
      <c r="G72" s="10" t="s">
        <v>67</v>
      </c>
      <c r="H72" s="11" t="s">
        <v>2034</v>
      </c>
      <c r="I72" s="11" t="s">
        <v>2017</v>
      </c>
      <c r="J72" s="12">
        <v>43.65</v>
      </c>
    </row>
    <row r="73" spans="7:10" x14ac:dyDescent="0.3">
      <c r="G73" s="7" t="s">
        <v>68</v>
      </c>
      <c r="H73" s="8" t="s">
        <v>2042</v>
      </c>
      <c r="I73" s="8" t="s">
        <v>2005</v>
      </c>
      <c r="J73" s="9">
        <v>88.95</v>
      </c>
    </row>
    <row r="74" spans="7:10" x14ac:dyDescent="0.3">
      <c r="G74" s="10" t="s">
        <v>69</v>
      </c>
      <c r="H74" s="11" t="s">
        <v>2037</v>
      </c>
      <c r="I74" s="11" t="s">
        <v>2005</v>
      </c>
      <c r="J74" s="12">
        <v>64.930000000000007</v>
      </c>
    </row>
    <row r="75" spans="7:10" x14ac:dyDescent="0.3">
      <c r="G75" s="7" t="s">
        <v>70</v>
      </c>
      <c r="H75" s="8" t="s">
        <v>2034</v>
      </c>
      <c r="I75" s="8" t="s">
        <v>2023</v>
      </c>
      <c r="J75" s="9">
        <v>81.510000000000005</v>
      </c>
    </row>
    <row r="76" spans="7:10" x14ac:dyDescent="0.3">
      <c r="G76" s="10" t="s">
        <v>71</v>
      </c>
      <c r="H76" s="11" t="s">
        <v>2041</v>
      </c>
      <c r="I76" s="11" t="s">
        <v>2031</v>
      </c>
      <c r="J76" s="12">
        <v>55.63</v>
      </c>
    </row>
    <row r="77" spans="7:10" x14ac:dyDescent="0.3">
      <c r="G77" s="7" t="s">
        <v>72</v>
      </c>
      <c r="H77" s="8" t="s">
        <v>2034</v>
      </c>
      <c r="I77" s="8" t="s">
        <v>2005</v>
      </c>
      <c r="J77" s="9">
        <v>31.71</v>
      </c>
    </row>
    <row r="78" spans="7:10" x14ac:dyDescent="0.3">
      <c r="G78" s="10" t="s">
        <v>73</v>
      </c>
      <c r="H78" s="11" t="s">
        <v>2034</v>
      </c>
      <c r="I78" s="11" t="s">
        <v>2025</v>
      </c>
      <c r="J78" s="12">
        <v>38.83</v>
      </c>
    </row>
    <row r="79" spans="7:10" x14ac:dyDescent="0.3">
      <c r="G79" s="7" t="s">
        <v>74</v>
      </c>
      <c r="H79" s="8" t="s">
        <v>2034</v>
      </c>
      <c r="I79" s="8" t="s">
        <v>1998</v>
      </c>
      <c r="J79" s="9">
        <v>32.42</v>
      </c>
    </row>
    <row r="80" spans="7:10" x14ac:dyDescent="0.3">
      <c r="G80" s="10" t="s">
        <v>75</v>
      </c>
      <c r="H80" s="11" t="s">
        <v>2040</v>
      </c>
      <c r="I80" s="11" t="s">
        <v>2028</v>
      </c>
      <c r="J80" s="12">
        <v>41.14</v>
      </c>
    </row>
    <row r="81" spans="7:10" x14ac:dyDescent="0.3">
      <c r="G81" s="7" t="s">
        <v>76</v>
      </c>
      <c r="H81" s="8" t="s">
        <v>2045</v>
      </c>
      <c r="I81" s="8" t="s">
        <v>2022</v>
      </c>
      <c r="J81" s="9">
        <v>70.319999999999993</v>
      </c>
    </row>
    <row r="82" spans="7:10" x14ac:dyDescent="0.3">
      <c r="G82" s="10" t="s">
        <v>77</v>
      </c>
      <c r="H82" s="11" t="s">
        <v>2035</v>
      </c>
      <c r="I82" s="11" t="s">
        <v>2005</v>
      </c>
      <c r="J82" s="12">
        <v>75.61</v>
      </c>
    </row>
    <row r="83" spans="7:10" x14ac:dyDescent="0.3">
      <c r="G83" s="7" t="s">
        <v>78</v>
      </c>
      <c r="H83" s="8" t="s">
        <v>2042</v>
      </c>
      <c r="I83" s="8" t="s">
        <v>2031</v>
      </c>
      <c r="J83" s="9">
        <v>46.58</v>
      </c>
    </row>
    <row r="84" spans="7:10" x14ac:dyDescent="0.3">
      <c r="G84" s="10" t="s">
        <v>79</v>
      </c>
      <c r="H84" s="11" t="s">
        <v>2041</v>
      </c>
      <c r="I84" s="11" t="s">
        <v>2005</v>
      </c>
      <c r="J84" s="12">
        <v>62.06</v>
      </c>
    </row>
    <row r="85" spans="7:10" x14ac:dyDescent="0.3">
      <c r="G85" s="7" t="s">
        <v>80</v>
      </c>
      <c r="H85" s="8" t="s">
        <v>2042</v>
      </c>
      <c r="I85" s="8" t="s">
        <v>2028</v>
      </c>
      <c r="J85" s="9">
        <v>37.18</v>
      </c>
    </row>
    <row r="86" spans="7:10" x14ac:dyDescent="0.3">
      <c r="G86" s="10" t="s">
        <v>81</v>
      </c>
      <c r="H86" s="11" t="s">
        <v>2035</v>
      </c>
      <c r="I86" s="11" t="s">
        <v>1999</v>
      </c>
      <c r="J86" s="12">
        <v>37.22</v>
      </c>
    </row>
    <row r="87" spans="7:10" x14ac:dyDescent="0.3">
      <c r="G87" s="7" t="s">
        <v>82</v>
      </c>
      <c r="H87" s="8" t="s">
        <v>2037</v>
      </c>
      <c r="I87" s="8" t="s">
        <v>1999</v>
      </c>
      <c r="J87" s="9">
        <v>30.58</v>
      </c>
    </row>
    <row r="88" spans="7:10" x14ac:dyDescent="0.3">
      <c r="G88" s="10" t="s">
        <v>83</v>
      </c>
      <c r="H88" s="11" t="s">
        <v>2047</v>
      </c>
      <c r="I88" s="11" t="s">
        <v>1979</v>
      </c>
      <c r="J88" s="12">
        <v>24.96</v>
      </c>
    </row>
    <row r="89" spans="7:10" x14ac:dyDescent="0.3">
      <c r="G89" s="7" t="s">
        <v>84</v>
      </c>
      <c r="H89" s="8" t="s">
        <v>2042</v>
      </c>
      <c r="I89" s="8" t="s">
        <v>1979</v>
      </c>
      <c r="J89" s="9">
        <v>21.02</v>
      </c>
    </row>
    <row r="90" spans="7:10" x14ac:dyDescent="0.3">
      <c r="G90" s="10" t="s">
        <v>85</v>
      </c>
      <c r="H90" s="11" t="s">
        <v>1975</v>
      </c>
      <c r="I90" s="11" t="s">
        <v>1979</v>
      </c>
      <c r="J90" s="12">
        <v>26.36</v>
      </c>
    </row>
    <row r="91" spans="7:10" x14ac:dyDescent="0.3">
      <c r="G91" s="7" t="s">
        <v>86</v>
      </c>
      <c r="H91" s="8" t="s">
        <v>2048</v>
      </c>
      <c r="I91" s="8" t="s">
        <v>2001</v>
      </c>
      <c r="J91" s="9">
        <v>49.35</v>
      </c>
    </row>
    <row r="92" spans="7:10" x14ac:dyDescent="0.3">
      <c r="G92" s="10" t="s">
        <v>87</v>
      </c>
      <c r="H92" s="11" t="s">
        <v>2034</v>
      </c>
      <c r="I92" s="11" t="s">
        <v>1998</v>
      </c>
      <c r="J92" s="12">
        <v>24.27</v>
      </c>
    </row>
    <row r="93" spans="7:10" x14ac:dyDescent="0.3">
      <c r="G93" s="7" t="s">
        <v>88</v>
      </c>
      <c r="H93" s="8" t="s">
        <v>2041</v>
      </c>
      <c r="I93" s="8" t="s">
        <v>2030</v>
      </c>
      <c r="J93" s="9">
        <v>58.58</v>
      </c>
    </row>
    <row r="94" spans="7:10" x14ac:dyDescent="0.3">
      <c r="G94" s="10" t="s">
        <v>89</v>
      </c>
      <c r="H94" s="11" t="s">
        <v>2039</v>
      </c>
      <c r="I94" s="11" t="s">
        <v>2031</v>
      </c>
      <c r="J94" s="12">
        <v>55.28</v>
      </c>
    </row>
    <row r="95" spans="7:10" x14ac:dyDescent="0.3">
      <c r="G95" s="7" t="s">
        <v>90</v>
      </c>
      <c r="H95" s="8" t="s">
        <v>2041</v>
      </c>
      <c r="I95" s="8" t="s">
        <v>1997</v>
      </c>
      <c r="J95" s="9">
        <v>60.16</v>
      </c>
    </row>
    <row r="96" spans="7:10" x14ac:dyDescent="0.3">
      <c r="G96" s="10" t="s">
        <v>91</v>
      </c>
      <c r="H96" s="11" t="s">
        <v>2034</v>
      </c>
      <c r="I96" s="11" t="s">
        <v>1979</v>
      </c>
      <c r="J96" s="12">
        <v>21.23</v>
      </c>
    </row>
    <row r="97" spans="7:10" x14ac:dyDescent="0.3">
      <c r="G97" s="7" t="s">
        <v>92</v>
      </c>
      <c r="H97" s="8" t="s">
        <v>2034</v>
      </c>
      <c r="I97" s="8" t="s">
        <v>1978</v>
      </c>
      <c r="J97" s="9">
        <v>54.85</v>
      </c>
    </row>
    <row r="98" spans="7:10" x14ac:dyDescent="0.3">
      <c r="G98" s="10" t="s">
        <v>93</v>
      </c>
      <c r="H98" s="11" t="s">
        <v>2047</v>
      </c>
      <c r="I98" s="11" t="s">
        <v>2005</v>
      </c>
      <c r="J98" s="12">
        <v>26.7</v>
      </c>
    </row>
    <row r="99" spans="7:10" x14ac:dyDescent="0.3">
      <c r="G99" s="7" t="s">
        <v>94</v>
      </c>
      <c r="H99" s="8" t="s">
        <v>2039</v>
      </c>
      <c r="I99" s="8" t="s">
        <v>1997</v>
      </c>
      <c r="J99" s="9">
        <v>55.24</v>
      </c>
    </row>
    <row r="100" spans="7:10" x14ac:dyDescent="0.3">
      <c r="G100" s="10" t="s">
        <v>95</v>
      </c>
      <c r="H100" s="11" t="s">
        <v>2049</v>
      </c>
      <c r="I100" s="11" t="s">
        <v>2022</v>
      </c>
      <c r="J100" s="12">
        <v>57.81</v>
      </c>
    </row>
    <row r="101" spans="7:10" x14ac:dyDescent="0.3">
      <c r="G101" s="7" t="s">
        <v>96</v>
      </c>
      <c r="H101" s="8" t="s">
        <v>2037</v>
      </c>
      <c r="I101" s="8" t="s">
        <v>1999</v>
      </c>
      <c r="J101" s="9">
        <v>26.96</v>
      </c>
    </row>
    <row r="102" spans="7:10" x14ac:dyDescent="0.3">
      <c r="G102" s="10" t="s">
        <v>97</v>
      </c>
      <c r="H102" s="11" t="s">
        <v>2036</v>
      </c>
      <c r="I102" s="11" t="s">
        <v>2005</v>
      </c>
      <c r="J102" s="12">
        <v>46.38</v>
      </c>
    </row>
    <row r="103" spans="7:10" x14ac:dyDescent="0.3">
      <c r="G103" s="7" t="s">
        <v>98</v>
      </c>
      <c r="H103" s="8" t="s">
        <v>2038</v>
      </c>
      <c r="I103" s="8" t="s">
        <v>2031</v>
      </c>
      <c r="J103" s="9">
        <v>47.09</v>
      </c>
    </row>
    <row r="104" spans="7:10" x14ac:dyDescent="0.3">
      <c r="G104" s="10" t="s">
        <v>99</v>
      </c>
      <c r="H104" s="11" t="s">
        <v>2034</v>
      </c>
      <c r="I104" s="11" t="s">
        <v>2028</v>
      </c>
      <c r="J104" s="12">
        <v>34.68</v>
      </c>
    </row>
    <row r="105" spans="7:10" x14ac:dyDescent="0.3">
      <c r="G105" s="7" t="s">
        <v>100</v>
      </c>
      <c r="H105" s="8" t="s">
        <v>1976</v>
      </c>
      <c r="I105" s="8" t="s">
        <v>2015</v>
      </c>
      <c r="J105" s="9">
        <v>29.84</v>
      </c>
    </row>
    <row r="106" spans="7:10" x14ac:dyDescent="0.3">
      <c r="G106" s="10" t="s">
        <v>101</v>
      </c>
      <c r="H106" s="11" t="s">
        <v>2034</v>
      </c>
      <c r="I106" s="11" t="s">
        <v>1979</v>
      </c>
      <c r="J106" s="12">
        <v>16.600000000000001</v>
      </c>
    </row>
    <row r="107" spans="7:10" x14ac:dyDescent="0.3">
      <c r="G107" s="7" t="s">
        <v>102</v>
      </c>
      <c r="H107" s="8" t="s">
        <v>2034</v>
      </c>
      <c r="I107" s="8" t="s">
        <v>2002</v>
      </c>
      <c r="J107" s="9">
        <v>45.37</v>
      </c>
    </row>
    <row r="108" spans="7:10" x14ac:dyDescent="0.3">
      <c r="G108" s="10" t="s">
        <v>103</v>
      </c>
      <c r="H108" s="11" t="s">
        <v>2050</v>
      </c>
      <c r="I108" s="11" t="s">
        <v>1979</v>
      </c>
      <c r="J108" s="12">
        <v>24.48</v>
      </c>
    </row>
    <row r="109" spans="7:10" x14ac:dyDescent="0.3">
      <c r="G109" s="7" t="s">
        <v>104</v>
      </c>
      <c r="H109" s="8" t="s">
        <v>2051</v>
      </c>
      <c r="I109" s="8" t="s">
        <v>1992</v>
      </c>
      <c r="J109" s="9">
        <v>39.369999999999997</v>
      </c>
    </row>
    <row r="110" spans="7:10" x14ac:dyDescent="0.3">
      <c r="G110" s="10" t="s">
        <v>105</v>
      </c>
      <c r="H110" s="11" t="s">
        <v>2034</v>
      </c>
      <c r="I110" s="11" t="s">
        <v>1988</v>
      </c>
      <c r="J110" s="12">
        <v>46.31</v>
      </c>
    </row>
    <row r="111" spans="7:10" x14ac:dyDescent="0.3">
      <c r="G111" s="7" t="s">
        <v>106</v>
      </c>
      <c r="H111" s="8" t="s">
        <v>2038</v>
      </c>
      <c r="I111" s="8" t="s">
        <v>2027</v>
      </c>
      <c r="J111" s="9">
        <v>66.8</v>
      </c>
    </row>
    <row r="112" spans="7:10" x14ac:dyDescent="0.3">
      <c r="G112" s="10" t="s">
        <v>107</v>
      </c>
      <c r="H112" s="11" t="s">
        <v>2034</v>
      </c>
      <c r="I112" s="11" t="s">
        <v>1992</v>
      </c>
      <c r="J112" s="12">
        <v>42.73</v>
      </c>
    </row>
    <row r="113" spans="7:10" x14ac:dyDescent="0.3">
      <c r="G113" s="7" t="s">
        <v>108</v>
      </c>
      <c r="H113" s="8" t="s">
        <v>2034</v>
      </c>
      <c r="I113" s="8" t="s">
        <v>2030</v>
      </c>
      <c r="J113" s="9">
        <v>42.58</v>
      </c>
    </row>
    <row r="114" spans="7:10" x14ac:dyDescent="0.3">
      <c r="G114" s="10" t="s">
        <v>109</v>
      </c>
      <c r="H114" s="11" t="s">
        <v>2042</v>
      </c>
      <c r="I114" s="11" t="s">
        <v>1979</v>
      </c>
      <c r="J114" s="12">
        <v>19.809999999999999</v>
      </c>
    </row>
    <row r="115" spans="7:10" x14ac:dyDescent="0.3">
      <c r="G115" s="7" t="s">
        <v>110</v>
      </c>
      <c r="H115" s="8" t="s">
        <v>2034</v>
      </c>
      <c r="I115" s="8" t="s">
        <v>2005</v>
      </c>
      <c r="J115" s="9">
        <v>35.380000000000003</v>
      </c>
    </row>
    <row r="116" spans="7:10" x14ac:dyDescent="0.3">
      <c r="G116" s="10" t="s">
        <v>111</v>
      </c>
      <c r="H116" s="11" t="s">
        <v>2052</v>
      </c>
      <c r="I116" s="11" t="s">
        <v>2028</v>
      </c>
      <c r="J116" s="12">
        <v>23.3</v>
      </c>
    </row>
    <row r="117" spans="7:10" x14ac:dyDescent="0.3">
      <c r="G117" s="7" t="s">
        <v>112</v>
      </c>
      <c r="H117" s="8" t="s">
        <v>1975</v>
      </c>
      <c r="I117" s="8" t="s">
        <v>1979</v>
      </c>
      <c r="J117" s="9">
        <v>17.96</v>
      </c>
    </row>
    <row r="118" spans="7:10" x14ac:dyDescent="0.3">
      <c r="G118" s="10" t="s">
        <v>113</v>
      </c>
      <c r="H118" s="11" t="s">
        <v>2041</v>
      </c>
      <c r="I118" s="11" t="s">
        <v>1997</v>
      </c>
      <c r="J118" s="12">
        <v>112.61</v>
      </c>
    </row>
    <row r="119" spans="7:10" x14ac:dyDescent="0.3">
      <c r="G119" s="7" t="s">
        <v>114</v>
      </c>
      <c r="H119" s="8" t="s">
        <v>2034</v>
      </c>
      <c r="I119" s="8" t="s">
        <v>2002</v>
      </c>
      <c r="J119" s="9">
        <v>45.14</v>
      </c>
    </row>
    <row r="120" spans="7:10" x14ac:dyDescent="0.3">
      <c r="G120" s="10" t="s">
        <v>115</v>
      </c>
      <c r="H120" s="11" t="s">
        <v>2035</v>
      </c>
      <c r="I120" s="11" t="s">
        <v>2015</v>
      </c>
      <c r="J120" s="12">
        <v>27.89</v>
      </c>
    </row>
    <row r="121" spans="7:10" x14ac:dyDescent="0.3">
      <c r="G121" s="7" t="s">
        <v>116</v>
      </c>
      <c r="H121" s="8" t="s">
        <v>2034</v>
      </c>
      <c r="I121" s="8" t="s">
        <v>2027</v>
      </c>
      <c r="J121" s="9">
        <v>25.95</v>
      </c>
    </row>
    <row r="122" spans="7:10" x14ac:dyDescent="0.3">
      <c r="G122" s="10" t="s">
        <v>117</v>
      </c>
      <c r="H122" s="11" t="s">
        <v>2034</v>
      </c>
      <c r="I122" s="11" t="s">
        <v>2017</v>
      </c>
      <c r="J122" s="12">
        <v>32.130000000000003</v>
      </c>
    </row>
    <row r="123" spans="7:10" x14ac:dyDescent="0.3">
      <c r="G123" s="7" t="s">
        <v>118</v>
      </c>
      <c r="H123" s="8" t="s">
        <v>2039</v>
      </c>
      <c r="I123" s="8" t="s">
        <v>2000</v>
      </c>
      <c r="J123" s="9">
        <v>98.6</v>
      </c>
    </row>
    <row r="124" spans="7:10" x14ac:dyDescent="0.3">
      <c r="G124" s="10" t="s">
        <v>119</v>
      </c>
      <c r="H124" s="11" t="s">
        <v>2041</v>
      </c>
      <c r="I124" s="11" t="s">
        <v>1988</v>
      </c>
      <c r="J124" s="12">
        <v>50.53</v>
      </c>
    </row>
    <row r="125" spans="7:10" x14ac:dyDescent="0.3">
      <c r="G125" s="7" t="s">
        <v>120</v>
      </c>
      <c r="H125" s="8" t="s">
        <v>2050</v>
      </c>
      <c r="I125" s="8" t="s">
        <v>1979</v>
      </c>
      <c r="J125" s="9">
        <v>22.14</v>
      </c>
    </row>
    <row r="126" spans="7:10" x14ac:dyDescent="0.3">
      <c r="G126" s="10" t="s">
        <v>121</v>
      </c>
      <c r="H126" s="11" t="s">
        <v>2035</v>
      </c>
      <c r="I126" s="11" t="s">
        <v>2000</v>
      </c>
      <c r="J126" s="12">
        <v>65.33</v>
      </c>
    </row>
    <row r="127" spans="7:10" x14ac:dyDescent="0.3">
      <c r="G127" s="7" t="s">
        <v>122</v>
      </c>
      <c r="H127" s="8" t="s">
        <v>2034</v>
      </c>
      <c r="I127" s="8" t="s">
        <v>1999</v>
      </c>
      <c r="J127" s="9">
        <v>22.01</v>
      </c>
    </row>
    <row r="128" spans="7:10" x14ac:dyDescent="0.3">
      <c r="G128" s="10" t="s">
        <v>123</v>
      </c>
      <c r="H128" s="11" t="s">
        <v>2034</v>
      </c>
      <c r="I128" s="11" t="s">
        <v>2027</v>
      </c>
      <c r="J128" s="12">
        <v>36.840000000000003</v>
      </c>
    </row>
    <row r="129" spans="7:10" x14ac:dyDescent="0.3">
      <c r="G129" s="7" t="s">
        <v>124</v>
      </c>
      <c r="H129" s="8" t="s">
        <v>2034</v>
      </c>
      <c r="I129" s="8" t="s">
        <v>2005</v>
      </c>
      <c r="J129" s="9">
        <v>27.08</v>
      </c>
    </row>
    <row r="130" spans="7:10" x14ac:dyDescent="0.3">
      <c r="G130" s="10" t="s">
        <v>125</v>
      </c>
      <c r="H130" s="11" t="s">
        <v>2038</v>
      </c>
      <c r="I130" s="11" t="s">
        <v>2029</v>
      </c>
      <c r="J130" s="12">
        <v>38.75</v>
      </c>
    </row>
    <row r="131" spans="7:10" x14ac:dyDescent="0.3">
      <c r="G131" s="7" t="s">
        <v>126</v>
      </c>
      <c r="H131" s="8" t="s">
        <v>2034</v>
      </c>
      <c r="I131" s="8" t="s">
        <v>1987</v>
      </c>
      <c r="J131" s="9">
        <v>36.340000000000003</v>
      </c>
    </row>
    <row r="132" spans="7:10" x14ac:dyDescent="0.3">
      <c r="G132" s="10" t="s">
        <v>127</v>
      </c>
      <c r="H132" s="11" t="s">
        <v>2034</v>
      </c>
      <c r="I132" s="11" t="s">
        <v>2001</v>
      </c>
      <c r="J132" s="12">
        <v>32.56</v>
      </c>
    </row>
    <row r="133" spans="7:10" x14ac:dyDescent="0.3">
      <c r="G133" s="7" t="s">
        <v>128</v>
      </c>
      <c r="H133" s="8" t="s">
        <v>2040</v>
      </c>
      <c r="I133" s="8" t="s">
        <v>2022</v>
      </c>
      <c r="J133" s="9">
        <v>47.64</v>
      </c>
    </row>
    <row r="134" spans="7:10" x14ac:dyDescent="0.3">
      <c r="G134" s="10" t="s">
        <v>129</v>
      </c>
      <c r="H134" s="11" t="s">
        <v>2034</v>
      </c>
      <c r="I134" s="11" t="s">
        <v>2017</v>
      </c>
      <c r="J134" s="12">
        <v>24.5</v>
      </c>
    </row>
    <row r="135" spans="7:10" x14ac:dyDescent="0.3">
      <c r="G135" s="7" t="s">
        <v>130</v>
      </c>
      <c r="H135" s="8" t="s">
        <v>2034</v>
      </c>
      <c r="I135" s="8" t="s">
        <v>2028</v>
      </c>
      <c r="J135" s="9">
        <v>20.55</v>
      </c>
    </row>
    <row r="136" spans="7:10" x14ac:dyDescent="0.3">
      <c r="G136" s="10" t="s">
        <v>131</v>
      </c>
      <c r="H136" s="11" t="s">
        <v>2034</v>
      </c>
      <c r="I136" s="11" t="s">
        <v>2022</v>
      </c>
      <c r="J136" s="12">
        <v>82.16</v>
      </c>
    </row>
    <row r="137" spans="7:10" x14ac:dyDescent="0.3">
      <c r="G137" s="7" t="s">
        <v>132</v>
      </c>
      <c r="H137" s="8" t="s">
        <v>2034</v>
      </c>
      <c r="I137" s="8" t="s">
        <v>1997</v>
      </c>
      <c r="J137" s="9">
        <v>178.1</v>
      </c>
    </row>
    <row r="138" spans="7:10" x14ac:dyDescent="0.3">
      <c r="G138" s="10" t="s">
        <v>133</v>
      </c>
      <c r="H138" s="11" t="s">
        <v>2047</v>
      </c>
      <c r="I138" s="11" t="s">
        <v>1979</v>
      </c>
      <c r="J138" s="12">
        <v>15.56</v>
      </c>
    </row>
    <row r="139" spans="7:10" x14ac:dyDescent="0.3">
      <c r="G139" s="7" t="s">
        <v>134</v>
      </c>
      <c r="H139" s="8" t="s">
        <v>2036</v>
      </c>
      <c r="I139" s="8" t="s">
        <v>1992</v>
      </c>
      <c r="J139" s="9">
        <v>35.93</v>
      </c>
    </row>
    <row r="140" spans="7:10" x14ac:dyDescent="0.3">
      <c r="G140" s="10" t="s">
        <v>135</v>
      </c>
      <c r="H140" s="11" t="s">
        <v>2035</v>
      </c>
      <c r="I140" s="11" t="s">
        <v>2028</v>
      </c>
      <c r="J140" s="12">
        <v>35.200000000000003</v>
      </c>
    </row>
    <row r="141" spans="7:10" x14ac:dyDescent="0.3">
      <c r="G141" s="7" t="s">
        <v>136</v>
      </c>
      <c r="H141" s="8" t="s">
        <v>2037</v>
      </c>
      <c r="I141" s="8" t="s">
        <v>2005</v>
      </c>
      <c r="J141" s="9">
        <v>31.68</v>
      </c>
    </row>
    <row r="142" spans="7:10" x14ac:dyDescent="0.3">
      <c r="G142" s="10" t="s">
        <v>137</v>
      </c>
      <c r="H142" s="11" t="s">
        <v>2034</v>
      </c>
      <c r="I142" s="11" t="s">
        <v>2023</v>
      </c>
      <c r="J142" s="12">
        <v>52.62</v>
      </c>
    </row>
    <row r="143" spans="7:10" x14ac:dyDescent="0.3">
      <c r="G143" s="7" t="s">
        <v>138</v>
      </c>
      <c r="H143" s="8" t="s">
        <v>2046</v>
      </c>
      <c r="I143" s="8" t="s">
        <v>2022</v>
      </c>
      <c r="J143" s="9">
        <v>35.08</v>
      </c>
    </row>
    <row r="144" spans="7:10" x14ac:dyDescent="0.3">
      <c r="G144" s="10" t="s">
        <v>139</v>
      </c>
      <c r="H144" s="11" t="s">
        <v>2038</v>
      </c>
      <c r="I144" s="11" t="s">
        <v>1986</v>
      </c>
      <c r="J144" s="12">
        <v>31.8</v>
      </c>
    </row>
    <row r="145" spans="7:10" x14ac:dyDescent="0.3">
      <c r="G145" s="7" t="s">
        <v>140</v>
      </c>
      <c r="H145" s="8" t="s">
        <v>2040</v>
      </c>
      <c r="I145" s="8" t="s">
        <v>2031</v>
      </c>
      <c r="J145" s="9">
        <v>20.69</v>
      </c>
    </row>
    <row r="146" spans="7:10" x14ac:dyDescent="0.3">
      <c r="G146" s="10" t="s">
        <v>141</v>
      </c>
      <c r="H146" s="11" t="s">
        <v>2053</v>
      </c>
      <c r="I146" s="11" t="s">
        <v>2027</v>
      </c>
      <c r="J146" s="12">
        <v>40.409999999999997</v>
      </c>
    </row>
    <row r="147" spans="7:10" x14ac:dyDescent="0.3">
      <c r="G147" s="7" t="s">
        <v>142</v>
      </c>
      <c r="H147" s="8" t="s">
        <v>2047</v>
      </c>
      <c r="I147" s="8" t="s">
        <v>1979</v>
      </c>
      <c r="J147" s="9">
        <v>15.84</v>
      </c>
    </row>
    <row r="148" spans="7:10" x14ac:dyDescent="0.3">
      <c r="G148" s="10" t="s">
        <v>143</v>
      </c>
      <c r="H148" s="11" t="s">
        <v>2034</v>
      </c>
      <c r="I148" s="11" t="s">
        <v>2001</v>
      </c>
      <c r="J148" s="12">
        <v>23.1</v>
      </c>
    </row>
    <row r="149" spans="7:10" x14ac:dyDescent="0.3">
      <c r="G149" s="7" t="s">
        <v>144</v>
      </c>
      <c r="H149" s="8" t="s">
        <v>2054</v>
      </c>
      <c r="I149" s="8" t="s">
        <v>2030</v>
      </c>
      <c r="J149" s="9">
        <v>30.27</v>
      </c>
    </row>
    <row r="150" spans="7:10" x14ac:dyDescent="0.3">
      <c r="G150" s="10" t="s">
        <v>1980</v>
      </c>
      <c r="H150" s="11" t="s">
        <v>1975</v>
      </c>
      <c r="I150" s="11" t="s">
        <v>1979</v>
      </c>
      <c r="J150" s="12">
        <v>15.87</v>
      </c>
    </row>
    <row r="151" spans="7:10" x14ac:dyDescent="0.3">
      <c r="G151" s="7" t="s">
        <v>145</v>
      </c>
      <c r="H151" s="8" t="s">
        <v>2034</v>
      </c>
      <c r="I151" s="8" t="s">
        <v>2027</v>
      </c>
      <c r="J151" s="9">
        <v>55.91</v>
      </c>
    </row>
    <row r="152" spans="7:10" x14ac:dyDescent="0.3">
      <c r="G152" s="10" t="s">
        <v>146</v>
      </c>
      <c r="H152" s="11" t="s">
        <v>2055</v>
      </c>
      <c r="I152" s="11" t="s">
        <v>1988</v>
      </c>
      <c r="J152" s="12">
        <v>18.27</v>
      </c>
    </row>
    <row r="153" spans="7:10" x14ac:dyDescent="0.3">
      <c r="G153" s="7" t="s">
        <v>147</v>
      </c>
      <c r="H153" s="8" t="s">
        <v>2054</v>
      </c>
      <c r="I153" s="8" t="s">
        <v>1979</v>
      </c>
      <c r="J153" s="9">
        <v>21.04</v>
      </c>
    </row>
    <row r="154" spans="7:10" x14ac:dyDescent="0.3">
      <c r="G154" s="10" t="s">
        <v>148</v>
      </c>
      <c r="H154" s="11" t="s">
        <v>2034</v>
      </c>
      <c r="I154" s="11" t="s">
        <v>2005</v>
      </c>
      <c r="J154" s="12">
        <v>24.37</v>
      </c>
    </row>
    <row r="155" spans="7:10" x14ac:dyDescent="0.3">
      <c r="G155" s="7" t="s">
        <v>149</v>
      </c>
      <c r="H155" s="8" t="s">
        <v>2043</v>
      </c>
      <c r="I155" s="8" t="s">
        <v>2031</v>
      </c>
      <c r="J155" s="9">
        <v>23.14</v>
      </c>
    </row>
    <row r="156" spans="7:10" x14ac:dyDescent="0.3">
      <c r="G156" s="10" t="s">
        <v>150</v>
      </c>
      <c r="H156" s="11" t="s">
        <v>2036</v>
      </c>
      <c r="I156" s="11" t="s">
        <v>1978</v>
      </c>
      <c r="J156" s="12">
        <v>43.09</v>
      </c>
    </row>
    <row r="157" spans="7:10" x14ac:dyDescent="0.3">
      <c r="G157" s="7" t="s">
        <v>151</v>
      </c>
      <c r="H157" s="8" t="s">
        <v>2042</v>
      </c>
      <c r="I157" s="8" t="s">
        <v>1979</v>
      </c>
      <c r="J157" s="9">
        <v>15.98</v>
      </c>
    </row>
    <row r="158" spans="7:10" x14ac:dyDescent="0.3">
      <c r="G158" s="10" t="s">
        <v>152</v>
      </c>
      <c r="H158" s="11" t="s">
        <v>2034</v>
      </c>
      <c r="I158" s="11" t="s">
        <v>1999</v>
      </c>
      <c r="J158" s="12">
        <v>18.760000000000002</v>
      </c>
    </row>
    <row r="159" spans="7:10" x14ac:dyDescent="0.3">
      <c r="G159" s="7" t="s">
        <v>153</v>
      </c>
      <c r="H159" s="8" t="s">
        <v>2056</v>
      </c>
      <c r="I159" s="8" t="s">
        <v>2015</v>
      </c>
      <c r="J159" s="9">
        <v>39.01</v>
      </c>
    </row>
    <row r="160" spans="7:10" x14ac:dyDescent="0.3">
      <c r="G160" s="10" t="s">
        <v>154</v>
      </c>
      <c r="H160" s="11" t="s">
        <v>2052</v>
      </c>
      <c r="I160" s="11" t="s">
        <v>1992</v>
      </c>
      <c r="J160" s="12">
        <v>17.32</v>
      </c>
    </row>
    <row r="161" spans="7:10" x14ac:dyDescent="0.3">
      <c r="G161" s="7" t="s">
        <v>155</v>
      </c>
      <c r="H161" s="8" t="s">
        <v>2057</v>
      </c>
      <c r="I161" s="8" t="s">
        <v>1979</v>
      </c>
      <c r="J161" s="9">
        <v>13.7</v>
      </c>
    </row>
    <row r="162" spans="7:10" x14ac:dyDescent="0.3">
      <c r="G162" s="10" t="s">
        <v>156</v>
      </c>
      <c r="H162" s="11" t="s">
        <v>2041</v>
      </c>
      <c r="I162" s="11" t="s">
        <v>1979</v>
      </c>
      <c r="J162" s="12">
        <v>22.61</v>
      </c>
    </row>
    <row r="163" spans="7:10" x14ac:dyDescent="0.3">
      <c r="G163" s="7" t="s">
        <v>157</v>
      </c>
      <c r="H163" s="8" t="s">
        <v>2058</v>
      </c>
      <c r="I163" s="8" t="s">
        <v>2015</v>
      </c>
      <c r="J163" s="9">
        <v>18.34</v>
      </c>
    </row>
    <row r="164" spans="7:10" x14ac:dyDescent="0.3">
      <c r="G164" s="10" t="s">
        <v>158</v>
      </c>
      <c r="H164" s="11" t="s">
        <v>2034</v>
      </c>
      <c r="I164" s="11" t="s">
        <v>1999</v>
      </c>
      <c r="J164" s="12">
        <v>22.34</v>
      </c>
    </row>
    <row r="165" spans="7:10" x14ac:dyDescent="0.3">
      <c r="G165" s="7" t="s">
        <v>1981</v>
      </c>
      <c r="H165" s="8" t="s">
        <v>1975</v>
      </c>
      <c r="I165" s="8" t="s">
        <v>1979</v>
      </c>
      <c r="J165" s="9">
        <v>14.23</v>
      </c>
    </row>
    <row r="166" spans="7:10" x14ac:dyDescent="0.3">
      <c r="G166" s="10" t="s">
        <v>159</v>
      </c>
      <c r="H166" s="11" t="s">
        <v>2045</v>
      </c>
      <c r="I166" s="11" t="s">
        <v>2028</v>
      </c>
      <c r="J166" s="12">
        <v>19.47</v>
      </c>
    </row>
    <row r="167" spans="7:10" x14ac:dyDescent="0.3">
      <c r="G167" s="7" t="s">
        <v>160</v>
      </c>
      <c r="H167" s="8" t="s">
        <v>2034</v>
      </c>
      <c r="I167" s="8" t="s">
        <v>1998</v>
      </c>
      <c r="J167" s="9">
        <v>18.54</v>
      </c>
    </row>
    <row r="168" spans="7:10" x14ac:dyDescent="0.3">
      <c r="G168" s="10" t="s">
        <v>161</v>
      </c>
      <c r="H168" s="11" t="s">
        <v>2034</v>
      </c>
      <c r="I168" s="11" t="s">
        <v>2023</v>
      </c>
      <c r="J168" s="12">
        <v>43.24</v>
      </c>
    </row>
    <row r="169" spans="7:10" x14ac:dyDescent="0.3">
      <c r="G169" s="7" t="s">
        <v>162</v>
      </c>
      <c r="H169" s="8" t="s">
        <v>2047</v>
      </c>
      <c r="I169" s="8" t="s">
        <v>2005</v>
      </c>
      <c r="J169" s="9">
        <v>18.739999999999998</v>
      </c>
    </row>
    <row r="170" spans="7:10" x14ac:dyDescent="0.3">
      <c r="G170" s="10" t="s">
        <v>163</v>
      </c>
      <c r="H170" s="11" t="s">
        <v>2035</v>
      </c>
      <c r="I170" s="11" t="s">
        <v>2005</v>
      </c>
      <c r="J170" s="12">
        <v>49.15</v>
      </c>
    </row>
    <row r="171" spans="7:10" x14ac:dyDescent="0.3">
      <c r="G171" s="7" t="s">
        <v>164</v>
      </c>
      <c r="H171" s="8" t="s">
        <v>2035</v>
      </c>
      <c r="I171" s="8" t="s">
        <v>1999</v>
      </c>
      <c r="J171" s="9">
        <v>22.69</v>
      </c>
    </row>
    <row r="172" spans="7:10" x14ac:dyDescent="0.3">
      <c r="G172" s="10" t="s">
        <v>165</v>
      </c>
      <c r="H172" s="11" t="s">
        <v>2034</v>
      </c>
      <c r="I172" s="11" t="s">
        <v>2017</v>
      </c>
      <c r="J172" s="12">
        <v>22.26</v>
      </c>
    </row>
    <row r="173" spans="7:10" x14ac:dyDescent="0.3">
      <c r="G173" s="7" t="s">
        <v>166</v>
      </c>
      <c r="H173" s="8" t="s">
        <v>2047</v>
      </c>
      <c r="I173" s="8" t="s">
        <v>1979</v>
      </c>
      <c r="J173" s="9">
        <v>12.78</v>
      </c>
    </row>
    <row r="174" spans="7:10" x14ac:dyDescent="0.3">
      <c r="G174" s="10" t="s">
        <v>167</v>
      </c>
      <c r="H174" s="11" t="s">
        <v>2043</v>
      </c>
      <c r="I174" s="11" t="s">
        <v>1997</v>
      </c>
      <c r="J174" s="12">
        <v>51.3</v>
      </c>
    </row>
    <row r="175" spans="7:10" x14ac:dyDescent="0.3">
      <c r="G175" s="7" t="s">
        <v>168</v>
      </c>
      <c r="H175" s="8" t="s">
        <v>2034</v>
      </c>
      <c r="I175" s="8" t="s">
        <v>1988</v>
      </c>
      <c r="J175" s="9">
        <v>28.49</v>
      </c>
    </row>
    <row r="176" spans="7:10" x14ac:dyDescent="0.3">
      <c r="G176" s="10" t="s">
        <v>169</v>
      </c>
      <c r="H176" s="11" t="s">
        <v>2038</v>
      </c>
      <c r="I176" s="11" t="s">
        <v>1979</v>
      </c>
      <c r="J176" s="12">
        <v>9.39</v>
      </c>
    </row>
    <row r="177" spans="7:10" x14ac:dyDescent="0.3">
      <c r="G177" s="7" t="s">
        <v>170</v>
      </c>
      <c r="H177" s="8" t="s">
        <v>2038</v>
      </c>
      <c r="I177" s="8" t="s">
        <v>2015</v>
      </c>
      <c r="J177" s="9">
        <v>31.62</v>
      </c>
    </row>
    <row r="178" spans="7:10" x14ac:dyDescent="0.3">
      <c r="G178" s="10" t="s">
        <v>171</v>
      </c>
      <c r="H178" s="11" t="s">
        <v>2035</v>
      </c>
      <c r="I178" s="11" t="s">
        <v>2001</v>
      </c>
      <c r="J178" s="12">
        <v>20.66</v>
      </c>
    </row>
    <row r="179" spans="7:10" x14ac:dyDescent="0.3">
      <c r="G179" s="7" t="s">
        <v>172</v>
      </c>
      <c r="H179" s="8" t="s">
        <v>2034</v>
      </c>
      <c r="I179" s="8" t="s">
        <v>2022</v>
      </c>
      <c r="J179" s="9">
        <v>44.46</v>
      </c>
    </row>
    <row r="180" spans="7:10" x14ac:dyDescent="0.3">
      <c r="G180" s="10" t="s">
        <v>173</v>
      </c>
      <c r="H180" s="11" t="s">
        <v>2044</v>
      </c>
      <c r="I180" s="11" t="s">
        <v>1979</v>
      </c>
      <c r="J180" s="12">
        <v>19.38</v>
      </c>
    </row>
    <row r="181" spans="7:10" x14ac:dyDescent="0.3">
      <c r="G181" s="7" t="s">
        <v>174</v>
      </c>
      <c r="H181" s="8" t="s">
        <v>2039</v>
      </c>
      <c r="I181" s="8" t="s">
        <v>2031</v>
      </c>
      <c r="J181" s="9">
        <v>24.6</v>
      </c>
    </row>
    <row r="182" spans="7:10" x14ac:dyDescent="0.3">
      <c r="G182" s="10" t="s">
        <v>175</v>
      </c>
      <c r="H182" s="11" t="s">
        <v>2049</v>
      </c>
      <c r="I182" s="11" t="s">
        <v>1992</v>
      </c>
      <c r="J182" s="12">
        <v>25.79</v>
      </c>
    </row>
    <row r="183" spans="7:10" x14ac:dyDescent="0.3">
      <c r="G183" s="7" t="s">
        <v>176</v>
      </c>
      <c r="H183" s="8" t="s">
        <v>2034</v>
      </c>
      <c r="I183" s="8" t="s">
        <v>2003</v>
      </c>
      <c r="J183" s="9">
        <v>20.46</v>
      </c>
    </row>
    <row r="184" spans="7:10" x14ac:dyDescent="0.3">
      <c r="G184" s="10" t="s">
        <v>177</v>
      </c>
      <c r="H184" s="11" t="s">
        <v>2039</v>
      </c>
      <c r="I184" s="11" t="s">
        <v>2017</v>
      </c>
      <c r="J184" s="12">
        <v>29.07</v>
      </c>
    </row>
    <row r="185" spans="7:10" x14ac:dyDescent="0.3">
      <c r="G185" s="7" t="s">
        <v>178</v>
      </c>
      <c r="H185" s="8" t="s">
        <v>2039</v>
      </c>
      <c r="I185" s="8" t="s">
        <v>1993</v>
      </c>
      <c r="J185" s="9">
        <v>43.45</v>
      </c>
    </row>
    <row r="186" spans="7:10" x14ac:dyDescent="0.3">
      <c r="G186" s="10" t="s">
        <v>179</v>
      </c>
      <c r="H186" s="11" t="s">
        <v>2034</v>
      </c>
      <c r="I186" s="11" t="s">
        <v>1978</v>
      </c>
      <c r="J186" s="12">
        <v>37.21</v>
      </c>
    </row>
    <row r="187" spans="7:10" x14ac:dyDescent="0.3">
      <c r="G187" s="7" t="s">
        <v>180</v>
      </c>
      <c r="H187" s="8" t="s">
        <v>2034</v>
      </c>
      <c r="I187" s="8" t="s">
        <v>2002</v>
      </c>
      <c r="J187" s="9">
        <v>22.49</v>
      </c>
    </row>
    <row r="188" spans="7:10" x14ac:dyDescent="0.3">
      <c r="G188" s="10" t="s">
        <v>181</v>
      </c>
      <c r="H188" s="11" t="s">
        <v>2034</v>
      </c>
      <c r="I188" s="11" t="s">
        <v>1992</v>
      </c>
      <c r="J188" s="12">
        <v>27.65</v>
      </c>
    </row>
    <row r="189" spans="7:10" x14ac:dyDescent="0.3">
      <c r="G189" s="7" t="s">
        <v>182</v>
      </c>
      <c r="H189" s="8" t="s">
        <v>2035</v>
      </c>
      <c r="I189" s="8" t="s">
        <v>1998</v>
      </c>
      <c r="J189" s="9">
        <v>24.97</v>
      </c>
    </row>
    <row r="190" spans="7:10" x14ac:dyDescent="0.3">
      <c r="G190" s="10" t="s">
        <v>183</v>
      </c>
      <c r="H190" s="11" t="s">
        <v>2036</v>
      </c>
      <c r="I190" s="11" t="s">
        <v>2015</v>
      </c>
      <c r="J190" s="12">
        <v>26.86</v>
      </c>
    </row>
    <row r="191" spans="7:10" x14ac:dyDescent="0.3">
      <c r="G191" s="7" t="s">
        <v>184</v>
      </c>
      <c r="H191" s="8" t="s">
        <v>2044</v>
      </c>
      <c r="I191" s="8" t="s">
        <v>1979</v>
      </c>
      <c r="J191" s="9">
        <v>17.38</v>
      </c>
    </row>
    <row r="192" spans="7:10" x14ac:dyDescent="0.3">
      <c r="G192" s="10" t="s">
        <v>185</v>
      </c>
      <c r="H192" s="11" t="s">
        <v>2038</v>
      </c>
      <c r="I192" s="11" t="s">
        <v>2029</v>
      </c>
      <c r="J192" s="12">
        <v>32.9</v>
      </c>
    </row>
    <row r="193" spans="7:10" x14ac:dyDescent="0.3">
      <c r="G193" s="7" t="s">
        <v>186</v>
      </c>
      <c r="H193" s="8" t="s">
        <v>2047</v>
      </c>
      <c r="I193" s="8" t="s">
        <v>2022</v>
      </c>
      <c r="J193" s="9">
        <v>14.81</v>
      </c>
    </row>
    <row r="194" spans="7:10" x14ac:dyDescent="0.3">
      <c r="G194" s="10" t="s">
        <v>187</v>
      </c>
      <c r="H194" s="11" t="s">
        <v>2034</v>
      </c>
      <c r="I194" s="11" t="s">
        <v>2031</v>
      </c>
      <c r="J194" s="12">
        <v>16.75</v>
      </c>
    </row>
    <row r="195" spans="7:10" x14ac:dyDescent="0.3">
      <c r="G195" s="7" t="s">
        <v>188</v>
      </c>
      <c r="H195" s="8" t="s">
        <v>2057</v>
      </c>
      <c r="I195" s="8" t="s">
        <v>2027</v>
      </c>
      <c r="J195" s="9">
        <v>19.079999999999998</v>
      </c>
    </row>
    <row r="196" spans="7:10" x14ac:dyDescent="0.3">
      <c r="G196" s="10" t="s">
        <v>189</v>
      </c>
      <c r="H196" s="11" t="s">
        <v>2034</v>
      </c>
      <c r="I196" s="11" t="s">
        <v>1999</v>
      </c>
      <c r="J196" s="12">
        <v>19.21</v>
      </c>
    </row>
    <row r="197" spans="7:10" x14ac:dyDescent="0.3">
      <c r="G197" s="7" t="s">
        <v>190</v>
      </c>
      <c r="H197" s="8" t="s">
        <v>2034</v>
      </c>
      <c r="I197" s="8" t="s">
        <v>1999</v>
      </c>
      <c r="J197" s="9">
        <v>12.43</v>
      </c>
    </row>
    <row r="198" spans="7:10" x14ac:dyDescent="0.3">
      <c r="G198" s="10" t="s">
        <v>191</v>
      </c>
      <c r="H198" s="11" t="s">
        <v>2038</v>
      </c>
      <c r="I198" s="11" t="s">
        <v>2030</v>
      </c>
      <c r="J198" s="12">
        <v>23.67</v>
      </c>
    </row>
    <row r="199" spans="7:10" x14ac:dyDescent="0.3">
      <c r="G199" s="7" t="s">
        <v>192</v>
      </c>
      <c r="H199" s="8" t="s">
        <v>1975</v>
      </c>
      <c r="I199" s="8" t="s">
        <v>2028</v>
      </c>
      <c r="J199" s="9">
        <v>16.87</v>
      </c>
    </row>
    <row r="200" spans="7:10" x14ac:dyDescent="0.3">
      <c r="G200" s="10" t="s">
        <v>193</v>
      </c>
      <c r="H200" s="11" t="s">
        <v>2034</v>
      </c>
      <c r="I200" s="11" t="s">
        <v>1979</v>
      </c>
      <c r="J200" s="12">
        <v>10.88</v>
      </c>
    </row>
    <row r="201" spans="7:10" x14ac:dyDescent="0.3">
      <c r="G201" s="7" t="s">
        <v>194</v>
      </c>
      <c r="H201" s="8" t="s">
        <v>2035</v>
      </c>
      <c r="I201" s="8" t="s">
        <v>2005</v>
      </c>
      <c r="J201" s="9">
        <v>52.53</v>
      </c>
    </row>
    <row r="202" spans="7:10" x14ac:dyDescent="0.3">
      <c r="G202" s="10" t="s">
        <v>195</v>
      </c>
      <c r="H202" s="11" t="s">
        <v>2034</v>
      </c>
      <c r="I202" s="11" t="s">
        <v>1992</v>
      </c>
      <c r="J202" s="12">
        <v>21.17</v>
      </c>
    </row>
    <row r="203" spans="7:10" x14ac:dyDescent="0.3">
      <c r="G203" s="7" t="s">
        <v>196</v>
      </c>
      <c r="H203" s="8" t="s">
        <v>2035</v>
      </c>
      <c r="I203" s="8" t="s">
        <v>2031</v>
      </c>
      <c r="J203" s="9">
        <v>16.11</v>
      </c>
    </row>
    <row r="204" spans="7:10" x14ac:dyDescent="0.3">
      <c r="G204" s="10" t="s">
        <v>197</v>
      </c>
      <c r="H204" s="11" t="s">
        <v>2034</v>
      </c>
      <c r="I204" s="11" t="s">
        <v>1998</v>
      </c>
      <c r="J204" s="12">
        <v>31.02</v>
      </c>
    </row>
    <row r="205" spans="7:10" x14ac:dyDescent="0.3">
      <c r="G205" s="7" t="s">
        <v>198</v>
      </c>
      <c r="H205" s="8" t="s">
        <v>2038</v>
      </c>
      <c r="I205" s="8" t="s">
        <v>1997</v>
      </c>
      <c r="J205" s="9">
        <v>81.3</v>
      </c>
    </row>
    <row r="206" spans="7:10" x14ac:dyDescent="0.3">
      <c r="G206" s="10" t="s">
        <v>199</v>
      </c>
      <c r="H206" s="11" t="s">
        <v>2041</v>
      </c>
      <c r="I206" s="11" t="s">
        <v>1988</v>
      </c>
      <c r="J206" s="12">
        <v>40.380000000000003</v>
      </c>
    </row>
    <row r="207" spans="7:10" x14ac:dyDescent="0.3">
      <c r="G207" s="7" t="s">
        <v>200</v>
      </c>
      <c r="H207" s="8" t="s">
        <v>2034</v>
      </c>
      <c r="I207" s="8" t="s">
        <v>1998</v>
      </c>
      <c r="J207" s="9">
        <v>12.08</v>
      </c>
    </row>
    <row r="208" spans="7:10" x14ac:dyDescent="0.3">
      <c r="G208" s="10" t="s">
        <v>201</v>
      </c>
      <c r="H208" s="11" t="s">
        <v>2039</v>
      </c>
      <c r="I208" s="11" t="s">
        <v>1997</v>
      </c>
      <c r="J208" s="12">
        <v>66.510000000000005</v>
      </c>
    </row>
    <row r="209" spans="7:10" x14ac:dyDescent="0.3">
      <c r="G209" s="7" t="s">
        <v>202</v>
      </c>
      <c r="H209" s="8" t="s">
        <v>2046</v>
      </c>
      <c r="I209" s="8" t="s">
        <v>2031</v>
      </c>
      <c r="J209" s="9">
        <v>24.52</v>
      </c>
    </row>
    <row r="210" spans="7:10" x14ac:dyDescent="0.3">
      <c r="G210" s="10" t="s">
        <v>203</v>
      </c>
      <c r="H210" s="11" t="s">
        <v>2034</v>
      </c>
      <c r="I210" s="11" t="s">
        <v>2022</v>
      </c>
      <c r="J210" s="12">
        <v>15.02</v>
      </c>
    </row>
    <row r="211" spans="7:10" x14ac:dyDescent="0.3">
      <c r="G211" s="7" t="s">
        <v>204</v>
      </c>
      <c r="H211" s="8" t="s">
        <v>2038</v>
      </c>
      <c r="I211" s="8" t="s">
        <v>2005</v>
      </c>
      <c r="J211" s="9">
        <v>26.61</v>
      </c>
    </row>
    <row r="212" spans="7:10" x14ac:dyDescent="0.3">
      <c r="G212" s="10" t="s">
        <v>205</v>
      </c>
      <c r="H212" s="11" t="s">
        <v>2034</v>
      </c>
      <c r="I212" s="11" t="s">
        <v>2002</v>
      </c>
      <c r="J212" s="12">
        <v>77.849999999999994</v>
      </c>
    </row>
    <row r="213" spans="7:10" x14ac:dyDescent="0.3">
      <c r="G213" s="7" t="s">
        <v>206</v>
      </c>
      <c r="H213" s="8" t="s">
        <v>2039</v>
      </c>
      <c r="I213" s="8" t="s">
        <v>2004</v>
      </c>
      <c r="J213" s="9">
        <v>17.18</v>
      </c>
    </row>
    <row r="214" spans="7:10" x14ac:dyDescent="0.3">
      <c r="G214" s="10" t="s">
        <v>207</v>
      </c>
      <c r="H214" s="11" t="s">
        <v>2034</v>
      </c>
      <c r="I214" s="11" t="s">
        <v>1978</v>
      </c>
      <c r="J214" s="12">
        <v>30.72</v>
      </c>
    </row>
    <row r="215" spans="7:10" x14ac:dyDescent="0.3">
      <c r="G215" s="7" t="s">
        <v>208</v>
      </c>
      <c r="H215" s="8" t="s">
        <v>2034</v>
      </c>
      <c r="I215" s="8" t="s">
        <v>1979</v>
      </c>
      <c r="J215" s="9">
        <v>11.04</v>
      </c>
    </row>
    <row r="216" spans="7:10" x14ac:dyDescent="0.3">
      <c r="G216" s="10" t="s">
        <v>209</v>
      </c>
      <c r="H216" s="11" t="s">
        <v>2034</v>
      </c>
      <c r="I216" s="11" t="s">
        <v>2015</v>
      </c>
      <c r="J216" s="12">
        <v>26.16</v>
      </c>
    </row>
    <row r="217" spans="7:10" x14ac:dyDescent="0.3">
      <c r="G217" s="7" t="s">
        <v>210</v>
      </c>
      <c r="H217" s="8" t="s">
        <v>2041</v>
      </c>
      <c r="I217" s="8" t="s">
        <v>2000</v>
      </c>
      <c r="J217" s="9">
        <v>76.540000000000006</v>
      </c>
    </row>
    <row r="218" spans="7:10" x14ac:dyDescent="0.3">
      <c r="G218" s="10" t="s">
        <v>211</v>
      </c>
      <c r="H218" s="11" t="s">
        <v>2038</v>
      </c>
      <c r="I218" s="11" t="s">
        <v>2015</v>
      </c>
      <c r="J218" s="12">
        <v>26.16</v>
      </c>
    </row>
    <row r="219" spans="7:10" x14ac:dyDescent="0.3">
      <c r="G219" s="7" t="s">
        <v>212</v>
      </c>
      <c r="H219" s="8" t="s">
        <v>2034</v>
      </c>
      <c r="I219" s="8" t="s">
        <v>1999</v>
      </c>
      <c r="J219" s="9">
        <v>14.65</v>
      </c>
    </row>
    <row r="220" spans="7:10" x14ac:dyDescent="0.3">
      <c r="G220" s="10" t="s">
        <v>213</v>
      </c>
      <c r="H220" s="11" t="s">
        <v>2043</v>
      </c>
      <c r="I220" s="11" t="s">
        <v>2015</v>
      </c>
      <c r="J220" s="12">
        <v>23.16</v>
      </c>
    </row>
    <row r="221" spans="7:10" x14ac:dyDescent="0.3">
      <c r="G221" s="7" t="s">
        <v>214</v>
      </c>
      <c r="H221" s="8" t="s">
        <v>2057</v>
      </c>
      <c r="I221" s="8" t="s">
        <v>1987</v>
      </c>
      <c r="J221" s="9">
        <v>30.23</v>
      </c>
    </row>
    <row r="222" spans="7:10" x14ac:dyDescent="0.3">
      <c r="G222" s="10" t="s">
        <v>215</v>
      </c>
      <c r="H222" s="11" t="s">
        <v>2034</v>
      </c>
      <c r="I222" s="11" t="s">
        <v>2005</v>
      </c>
      <c r="J222" s="12">
        <v>14.36</v>
      </c>
    </row>
    <row r="223" spans="7:10" x14ac:dyDescent="0.3">
      <c r="G223" s="7" t="s">
        <v>216</v>
      </c>
      <c r="H223" s="8" t="s">
        <v>2034</v>
      </c>
      <c r="I223" s="8" t="s">
        <v>2031</v>
      </c>
      <c r="J223" s="9">
        <v>18.04</v>
      </c>
    </row>
    <row r="224" spans="7:10" x14ac:dyDescent="0.3">
      <c r="G224" s="10" t="s">
        <v>217</v>
      </c>
      <c r="H224" s="11" t="s">
        <v>2034</v>
      </c>
      <c r="I224" s="11" t="s">
        <v>2030</v>
      </c>
      <c r="J224" s="12">
        <v>30.85</v>
      </c>
    </row>
    <row r="225" spans="7:10" x14ac:dyDescent="0.3">
      <c r="G225" s="7" t="s">
        <v>218</v>
      </c>
      <c r="H225" s="8" t="s">
        <v>2034</v>
      </c>
      <c r="I225" s="8" t="s">
        <v>2005</v>
      </c>
      <c r="J225" s="9">
        <v>16.02</v>
      </c>
    </row>
    <row r="226" spans="7:10" x14ac:dyDescent="0.3">
      <c r="G226" s="10" t="s">
        <v>219</v>
      </c>
      <c r="H226" s="11" t="s">
        <v>2038</v>
      </c>
      <c r="I226" s="11" t="s">
        <v>1997</v>
      </c>
      <c r="J226" s="12">
        <v>26.12</v>
      </c>
    </row>
    <row r="227" spans="7:10" x14ac:dyDescent="0.3">
      <c r="G227" s="7" t="s">
        <v>220</v>
      </c>
      <c r="H227" s="8" t="s">
        <v>2039</v>
      </c>
      <c r="I227" s="8" t="s">
        <v>2005</v>
      </c>
      <c r="J227" s="9">
        <v>38.130000000000003</v>
      </c>
    </row>
    <row r="228" spans="7:10" x14ac:dyDescent="0.3">
      <c r="G228" s="10" t="s">
        <v>221</v>
      </c>
      <c r="H228" s="11" t="s">
        <v>2047</v>
      </c>
      <c r="I228" s="11" t="s">
        <v>2028</v>
      </c>
      <c r="J228" s="12">
        <v>16.43</v>
      </c>
    </row>
    <row r="229" spans="7:10" x14ac:dyDescent="0.3">
      <c r="G229" s="7" t="s">
        <v>222</v>
      </c>
      <c r="H229" s="8" t="s">
        <v>2040</v>
      </c>
      <c r="I229" s="8" t="s">
        <v>2031</v>
      </c>
      <c r="J229" s="9">
        <v>13.88</v>
      </c>
    </row>
    <row r="230" spans="7:10" x14ac:dyDescent="0.3">
      <c r="G230" s="10" t="s">
        <v>223</v>
      </c>
      <c r="H230" s="11" t="s">
        <v>2038</v>
      </c>
      <c r="I230" s="11" t="s">
        <v>1998</v>
      </c>
      <c r="J230" s="12">
        <v>10.02</v>
      </c>
    </row>
    <row r="231" spans="7:10" x14ac:dyDescent="0.3">
      <c r="G231" s="7" t="s">
        <v>224</v>
      </c>
      <c r="H231" s="8" t="s">
        <v>2038</v>
      </c>
      <c r="I231" s="8" t="s">
        <v>2000</v>
      </c>
      <c r="J231" s="9">
        <v>31.36</v>
      </c>
    </row>
    <row r="232" spans="7:10" x14ac:dyDescent="0.3">
      <c r="G232" s="10" t="s">
        <v>225</v>
      </c>
      <c r="H232" s="11" t="s">
        <v>2034</v>
      </c>
      <c r="I232" s="11" t="s">
        <v>2031</v>
      </c>
      <c r="J232" s="12">
        <v>15.36</v>
      </c>
    </row>
    <row r="233" spans="7:10" x14ac:dyDescent="0.3">
      <c r="G233" s="7" t="s">
        <v>226</v>
      </c>
      <c r="H233" s="8" t="s">
        <v>2038</v>
      </c>
      <c r="I233" s="8" t="s">
        <v>2028</v>
      </c>
      <c r="J233" s="9">
        <v>27.24</v>
      </c>
    </row>
    <row r="234" spans="7:10" x14ac:dyDescent="0.3">
      <c r="G234" s="10" t="s">
        <v>227</v>
      </c>
      <c r="H234" s="11" t="s">
        <v>2034</v>
      </c>
      <c r="I234" s="11" t="s">
        <v>2023</v>
      </c>
      <c r="J234" s="12">
        <v>22.39</v>
      </c>
    </row>
    <row r="235" spans="7:10" x14ac:dyDescent="0.3">
      <c r="G235" s="7" t="s">
        <v>228</v>
      </c>
      <c r="H235" s="8" t="s">
        <v>2034</v>
      </c>
      <c r="I235" s="8" t="s">
        <v>2031</v>
      </c>
      <c r="J235" s="9">
        <v>13.55</v>
      </c>
    </row>
    <row r="236" spans="7:10" x14ac:dyDescent="0.3">
      <c r="G236" s="10" t="s">
        <v>229</v>
      </c>
      <c r="H236" s="11" t="s">
        <v>2035</v>
      </c>
      <c r="I236" s="11" t="s">
        <v>1979</v>
      </c>
      <c r="J236" s="12">
        <v>8.0500000000000007</v>
      </c>
    </row>
    <row r="237" spans="7:10" x14ac:dyDescent="0.3">
      <c r="G237" s="7" t="s">
        <v>230</v>
      </c>
      <c r="H237" s="8" t="s">
        <v>2034</v>
      </c>
      <c r="I237" s="8" t="s">
        <v>2005</v>
      </c>
      <c r="J237" s="9">
        <v>13.93</v>
      </c>
    </row>
    <row r="238" spans="7:10" x14ac:dyDescent="0.3">
      <c r="G238" s="10" t="s">
        <v>231</v>
      </c>
      <c r="H238" s="11" t="s">
        <v>2034</v>
      </c>
      <c r="I238" s="11" t="s">
        <v>2023</v>
      </c>
      <c r="J238" s="12">
        <v>43.21</v>
      </c>
    </row>
    <row r="239" spans="7:10" x14ac:dyDescent="0.3">
      <c r="G239" s="7" t="s">
        <v>232</v>
      </c>
      <c r="H239" s="8" t="s">
        <v>2039</v>
      </c>
      <c r="I239" s="8" t="s">
        <v>1993</v>
      </c>
      <c r="J239" s="9">
        <v>31.75</v>
      </c>
    </row>
    <row r="240" spans="7:10" x14ac:dyDescent="0.3">
      <c r="G240" s="10" t="s">
        <v>233</v>
      </c>
      <c r="H240" s="11" t="s">
        <v>2038</v>
      </c>
      <c r="I240" s="11" t="s">
        <v>1992</v>
      </c>
      <c r="J240" s="12">
        <v>84.22</v>
      </c>
    </row>
    <row r="241" spans="7:10" x14ac:dyDescent="0.3">
      <c r="G241" s="7" t="s">
        <v>234</v>
      </c>
      <c r="H241" s="8" t="s">
        <v>2059</v>
      </c>
      <c r="I241" s="8" t="s">
        <v>2003</v>
      </c>
      <c r="J241" s="9">
        <v>11.09</v>
      </c>
    </row>
    <row r="242" spans="7:10" x14ac:dyDescent="0.3">
      <c r="G242" s="10" t="s">
        <v>235</v>
      </c>
      <c r="H242" s="11" t="s">
        <v>2041</v>
      </c>
      <c r="I242" s="11" t="s">
        <v>2015</v>
      </c>
      <c r="J242" s="12">
        <v>50.56</v>
      </c>
    </row>
    <row r="243" spans="7:10" x14ac:dyDescent="0.3">
      <c r="G243" s="7" t="s">
        <v>236</v>
      </c>
      <c r="H243" s="8" t="s">
        <v>2034</v>
      </c>
      <c r="I243" s="8" t="s">
        <v>1998</v>
      </c>
      <c r="J243" s="9">
        <v>11.55</v>
      </c>
    </row>
    <row r="244" spans="7:10" x14ac:dyDescent="0.3">
      <c r="G244" s="10" t="s">
        <v>237</v>
      </c>
      <c r="H244" s="11" t="s">
        <v>2034</v>
      </c>
      <c r="I244" s="11" t="s">
        <v>2026</v>
      </c>
      <c r="J244" s="12">
        <v>12.89</v>
      </c>
    </row>
    <row r="245" spans="7:10" x14ac:dyDescent="0.3">
      <c r="G245" s="7" t="s">
        <v>238</v>
      </c>
      <c r="H245" s="8" t="s">
        <v>2034</v>
      </c>
      <c r="I245" s="8" t="s">
        <v>1987</v>
      </c>
      <c r="J245" s="9">
        <v>22.01</v>
      </c>
    </row>
    <row r="246" spans="7:10" x14ac:dyDescent="0.3">
      <c r="G246" s="10" t="s">
        <v>239</v>
      </c>
      <c r="H246" s="11" t="s">
        <v>2034</v>
      </c>
      <c r="I246" s="11" t="s">
        <v>1986</v>
      </c>
      <c r="J246" s="12">
        <v>18.239999999999998</v>
      </c>
    </row>
    <row r="247" spans="7:10" x14ac:dyDescent="0.3">
      <c r="G247" s="7" t="s">
        <v>240</v>
      </c>
      <c r="H247" s="8" t="s">
        <v>2060</v>
      </c>
      <c r="I247" s="8" t="s">
        <v>1993</v>
      </c>
      <c r="J247" s="9">
        <v>15.33</v>
      </c>
    </row>
    <row r="248" spans="7:10" x14ac:dyDescent="0.3">
      <c r="G248" s="10" t="s">
        <v>241</v>
      </c>
      <c r="H248" s="11" t="s">
        <v>2036</v>
      </c>
      <c r="I248" s="11" t="s">
        <v>2022</v>
      </c>
      <c r="J248" s="12">
        <v>14.72</v>
      </c>
    </row>
    <row r="249" spans="7:10" x14ac:dyDescent="0.3">
      <c r="G249" s="7" t="s">
        <v>242</v>
      </c>
      <c r="H249" s="8" t="s">
        <v>2035</v>
      </c>
      <c r="I249" s="8" t="s">
        <v>2001</v>
      </c>
      <c r="J249" s="9">
        <v>12.06</v>
      </c>
    </row>
    <row r="250" spans="7:10" x14ac:dyDescent="0.3">
      <c r="G250" s="10" t="s">
        <v>243</v>
      </c>
      <c r="H250" s="11" t="s">
        <v>2034</v>
      </c>
      <c r="I250" s="11" t="s">
        <v>2022</v>
      </c>
      <c r="J250" s="12">
        <v>10.74</v>
      </c>
    </row>
    <row r="251" spans="7:10" x14ac:dyDescent="0.3">
      <c r="G251" s="7" t="s">
        <v>244</v>
      </c>
      <c r="H251" s="8" t="s">
        <v>2034</v>
      </c>
      <c r="I251" s="8" t="s">
        <v>1979</v>
      </c>
      <c r="J251" s="9">
        <v>8.31</v>
      </c>
    </row>
    <row r="252" spans="7:10" x14ac:dyDescent="0.3">
      <c r="G252" s="10" t="s">
        <v>245</v>
      </c>
      <c r="H252" s="11" t="s">
        <v>2034</v>
      </c>
      <c r="I252" s="11" t="s">
        <v>2026</v>
      </c>
      <c r="J252" s="12">
        <v>10.49</v>
      </c>
    </row>
    <row r="253" spans="7:10" x14ac:dyDescent="0.3">
      <c r="G253" s="7" t="s">
        <v>246</v>
      </c>
      <c r="H253" s="8" t="s">
        <v>2034</v>
      </c>
      <c r="I253" s="8" t="s">
        <v>2030</v>
      </c>
      <c r="J253" s="9">
        <v>12.99</v>
      </c>
    </row>
    <row r="254" spans="7:10" x14ac:dyDescent="0.3">
      <c r="G254" s="10" t="s">
        <v>247</v>
      </c>
      <c r="H254" s="11" t="s">
        <v>2034</v>
      </c>
      <c r="I254" s="11" t="s">
        <v>2002</v>
      </c>
      <c r="J254" s="12">
        <v>16.68</v>
      </c>
    </row>
    <row r="255" spans="7:10" x14ac:dyDescent="0.3">
      <c r="G255" s="7" t="s">
        <v>248</v>
      </c>
      <c r="H255" s="8" t="s">
        <v>2038</v>
      </c>
      <c r="I255" s="8" t="s">
        <v>2031</v>
      </c>
      <c r="J255" s="9">
        <v>19.899999999999999</v>
      </c>
    </row>
    <row r="256" spans="7:10" x14ac:dyDescent="0.3">
      <c r="G256" s="10" t="s">
        <v>249</v>
      </c>
      <c r="H256" s="11" t="s">
        <v>2038</v>
      </c>
      <c r="I256" s="11" t="s">
        <v>1999</v>
      </c>
      <c r="J256" s="12">
        <v>10.48</v>
      </c>
    </row>
    <row r="257" spans="7:10" x14ac:dyDescent="0.3">
      <c r="G257" s="7" t="s">
        <v>250</v>
      </c>
      <c r="H257" s="8" t="s">
        <v>2038</v>
      </c>
      <c r="I257" s="8" t="s">
        <v>2031</v>
      </c>
      <c r="J257" s="9">
        <v>24.38</v>
      </c>
    </row>
    <row r="258" spans="7:10" x14ac:dyDescent="0.3">
      <c r="G258" s="10" t="s">
        <v>251</v>
      </c>
      <c r="H258" s="11" t="s">
        <v>2039</v>
      </c>
      <c r="I258" s="11" t="s">
        <v>1993</v>
      </c>
      <c r="J258" s="12">
        <v>18.88</v>
      </c>
    </row>
    <row r="259" spans="7:10" x14ac:dyDescent="0.3">
      <c r="G259" s="7" t="s">
        <v>252</v>
      </c>
      <c r="H259" s="8" t="s">
        <v>2034</v>
      </c>
      <c r="I259" s="8" t="s">
        <v>2002</v>
      </c>
      <c r="J259" s="9">
        <v>24.46</v>
      </c>
    </row>
    <row r="260" spans="7:10" x14ac:dyDescent="0.3">
      <c r="G260" s="10" t="s">
        <v>253</v>
      </c>
      <c r="H260" s="11" t="s">
        <v>2061</v>
      </c>
      <c r="I260" s="11" t="s">
        <v>2022</v>
      </c>
      <c r="J260" s="12">
        <v>13.27</v>
      </c>
    </row>
    <row r="261" spans="7:10" x14ac:dyDescent="0.3">
      <c r="G261" s="7" t="s">
        <v>254</v>
      </c>
      <c r="H261" s="8" t="s">
        <v>2035</v>
      </c>
      <c r="I261" s="8" t="s">
        <v>2031</v>
      </c>
      <c r="J261" s="9">
        <v>23.11</v>
      </c>
    </row>
    <row r="262" spans="7:10" x14ac:dyDescent="0.3">
      <c r="G262" s="10" t="s">
        <v>255</v>
      </c>
      <c r="H262" s="11" t="s">
        <v>2034</v>
      </c>
      <c r="I262" s="11" t="s">
        <v>2022</v>
      </c>
      <c r="J262" s="12">
        <v>20.99</v>
      </c>
    </row>
    <row r="263" spans="7:10" x14ac:dyDescent="0.3">
      <c r="G263" s="7" t="s">
        <v>256</v>
      </c>
      <c r="H263" s="8" t="s">
        <v>2035</v>
      </c>
      <c r="I263" s="8" t="s">
        <v>1978</v>
      </c>
      <c r="J263" s="9">
        <v>18.93</v>
      </c>
    </row>
    <row r="264" spans="7:10" x14ac:dyDescent="0.3">
      <c r="G264" s="10" t="s">
        <v>257</v>
      </c>
      <c r="H264" s="11" t="s">
        <v>2039</v>
      </c>
      <c r="I264" s="11" t="s">
        <v>1993</v>
      </c>
      <c r="J264" s="12">
        <v>26.49</v>
      </c>
    </row>
    <row r="265" spans="7:10" x14ac:dyDescent="0.3">
      <c r="G265" s="7" t="s">
        <v>258</v>
      </c>
      <c r="H265" s="8" t="s">
        <v>2046</v>
      </c>
      <c r="I265" s="8" t="s">
        <v>2022</v>
      </c>
      <c r="J265" s="9">
        <v>10</v>
      </c>
    </row>
    <row r="266" spans="7:10" x14ac:dyDescent="0.3">
      <c r="G266" s="10" t="s">
        <v>259</v>
      </c>
      <c r="H266" s="11" t="s">
        <v>2039</v>
      </c>
      <c r="I266" s="11" t="s">
        <v>2023</v>
      </c>
      <c r="J266" s="12">
        <v>32.85</v>
      </c>
    </row>
    <row r="267" spans="7:10" x14ac:dyDescent="0.3">
      <c r="G267" s="7" t="s">
        <v>260</v>
      </c>
      <c r="H267" s="8" t="s">
        <v>2057</v>
      </c>
      <c r="I267" s="8" t="s">
        <v>1979</v>
      </c>
      <c r="J267" s="9">
        <v>9.01</v>
      </c>
    </row>
    <row r="268" spans="7:10" x14ac:dyDescent="0.3">
      <c r="G268" s="10" t="s">
        <v>261</v>
      </c>
      <c r="H268" s="11" t="s">
        <v>2034</v>
      </c>
      <c r="I268" s="11" t="s">
        <v>2023</v>
      </c>
      <c r="J268" s="12">
        <v>54.28</v>
      </c>
    </row>
    <row r="269" spans="7:10" x14ac:dyDescent="0.3">
      <c r="G269" s="7" t="s">
        <v>262</v>
      </c>
      <c r="H269" s="8" t="s">
        <v>2057</v>
      </c>
      <c r="I269" s="8" t="s">
        <v>1979</v>
      </c>
      <c r="J269" s="9">
        <v>12.14</v>
      </c>
    </row>
    <row r="270" spans="7:10" x14ac:dyDescent="0.3">
      <c r="G270" s="10" t="s">
        <v>263</v>
      </c>
      <c r="H270" s="11" t="s">
        <v>2034</v>
      </c>
      <c r="I270" s="11" t="s">
        <v>1979</v>
      </c>
      <c r="J270" s="12">
        <v>7.83</v>
      </c>
    </row>
    <row r="271" spans="7:10" x14ac:dyDescent="0.3">
      <c r="G271" s="7" t="s">
        <v>264</v>
      </c>
      <c r="H271" s="8" t="s">
        <v>2062</v>
      </c>
      <c r="I271" s="8" t="s">
        <v>1979</v>
      </c>
      <c r="J271" s="9">
        <v>7.58</v>
      </c>
    </row>
    <row r="272" spans="7:10" x14ac:dyDescent="0.3">
      <c r="G272" s="10" t="s">
        <v>265</v>
      </c>
      <c r="H272" s="11" t="s">
        <v>2034</v>
      </c>
      <c r="I272" s="11" t="s">
        <v>1978</v>
      </c>
      <c r="J272" s="12">
        <v>21.24</v>
      </c>
    </row>
    <row r="273" spans="7:10" x14ac:dyDescent="0.3">
      <c r="G273" s="7" t="s">
        <v>266</v>
      </c>
      <c r="H273" s="8" t="s">
        <v>2036</v>
      </c>
      <c r="I273" s="8" t="s">
        <v>2028</v>
      </c>
      <c r="J273" s="9">
        <v>13.81</v>
      </c>
    </row>
    <row r="274" spans="7:10" x14ac:dyDescent="0.3">
      <c r="G274" s="10" t="s">
        <v>267</v>
      </c>
      <c r="H274" s="11" t="s">
        <v>2038</v>
      </c>
      <c r="I274" s="11" t="s">
        <v>2029</v>
      </c>
      <c r="J274" s="12">
        <v>19.12</v>
      </c>
    </row>
    <row r="275" spans="7:10" x14ac:dyDescent="0.3">
      <c r="G275" s="7" t="s">
        <v>268</v>
      </c>
      <c r="H275" s="8" t="s">
        <v>2034</v>
      </c>
      <c r="I275" s="8" t="s">
        <v>2030</v>
      </c>
      <c r="J275" s="9">
        <v>13.58</v>
      </c>
    </row>
    <row r="276" spans="7:10" x14ac:dyDescent="0.3">
      <c r="G276" s="10" t="s">
        <v>269</v>
      </c>
      <c r="H276" s="11" t="s">
        <v>2034</v>
      </c>
      <c r="I276" s="11" t="s">
        <v>2002</v>
      </c>
      <c r="J276" s="12">
        <v>11</v>
      </c>
    </row>
    <row r="277" spans="7:10" x14ac:dyDescent="0.3">
      <c r="G277" s="7" t="s">
        <v>270</v>
      </c>
      <c r="H277" s="8" t="s">
        <v>2034</v>
      </c>
      <c r="I277" s="8" t="s">
        <v>1992</v>
      </c>
      <c r="J277" s="9">
        <v>17.88</v>
      </c>
    </row>
    <row r="278" spans="7:10" x14ac:dyDescent="0.3">
      <c r="G278" s="10" t="s">
        <v>271</v>
      </c>
      <c r="H278" s="11" t="s">
        <v>2034</v>
      </c>
      <c r="I278" s="11" t="s">
        <v>2015</v>
      </c>
      <c r="J278" s="12">
        <v>24.1</v>
      </c>
    </row>
    <row r="279" spans="7:10" x14ac:dyDescent="0.3">
      <c r="G279" s="7" t="s">
        <v>272</v>
      </c>
      <c r="H279" s="8" t="s">
        <v>2039</v>
      </c>
      <c r="I279" s="8" t="s">
        <v>2001</v>
      </c>
      <c r="J279" s="9">
        <v>15.39</v>
      </c>
    </row>
    <row r="280" spans="7:10" x14ac:dyDescent="0.3">
      <c r="G280" s="10" t="s">
        <v>273</v>
      </c>
      <c r="H280" s="11" t="s">
        <v>2038</v>
      </c>
      <c r="I280" s="11" t="s">
        <v>2005</v>
      </c>
      <c r="J280" s="12">
        <v>18.760000000000002</v>
      </c>
    </row>
    <row r="281" spans="7:10" x14ac:dyDescent="0.3">
      <c r="G281" s="7" t="s">
        <v>274</v>
      </c>
      <c r="H281" s="8" t="s">
        <v>2034</v>
      </c>
      <c r="I281" s="8" t="s">
        <v>2001</v>
      </c>
      <c r="J281" s="9">
        <v>35.83</v>
      </c>
    </row>
    <row r="282" spans="7:10" x14ac:dyDescent="0.3">
      <c r="G282" s="10" t="s">
        <v>275</v>
      </c>
      <c r="H282" s="11" t="s">
        <v>2038</v>
      </c>
      <c r="I282" s="11" t="s">
        <v>2030</v>
      </c>
      <c r="J282" s="12">
        <v>13.15</v>
      </c>
    </row>
    <row r="283" spans="7:10" x14ac:dyDescent="0.3">
      <c r="G283" s="7" t="s">
        <v>276</v>
      </c>
      <c r="H283" s="8" t="s">
        <v>2034</v>
      </c>
      <c r="I283" s="8" t="s">
        <v>1979</v>
      </c>
      <c r="J283" s="9">
        <v>7.5</v>
      </c>
    </row>
    <row r="284" spans="7:10" x14ac:dyDescent="0.3">
      <c r="G284" s="10" t="s">
        <v>277</v>
      </c>
      <c r="H284" s="11" t="s">
        <v>2034</v>
      </c>
      <c r="I284" s="11" t="s">
        <v>2005</v>
      </c>
      <c r="J284" s="12">
        <v>10.5</v>
      </c>
    </row>
    <row r="285" spans="7:10" x14ac:dyDescent="0.3">
      <c r="G285" s="7" t="s">
        <v>278</v>
      </c>
      <c r="H285" s="8" t="s">
        <v>2034</v>
      </c>
      <c r="I285" s="8" t="s">
        <v>2001</v>
      </c>
      <c r="J285" s="9">
        <v>15.04</v>
      </c>
    </row>
    <row r="286" spans="7:10" x14ac:dyDescent="0.3">
      <c r="G286" s="10" t="s">
        <v>279</v>
      </c>
      <c r="H286" s="11" t="s">
        <v>2051</v>
      </c>
      <c r="I286" s="11" t="s">
        <v>2005</v>
      </c>
      <c r="J286" s="12">
        <v>13.09</v>
      </c>
    </row>
    <row r="287" spans="7:10" x14ac:dyDescent="0.3">
      <c r="G287" s="7" t="s">
        <v>280</v>
      </c>
      <c r="H287" s="8" t="s">
        <v>2034</v>
      </c>
      <c r="I287" s="8" t="s">
        <v>2027</v>
      </c>
      <c r="J287" s="9">
        <v>16.190000000000001</v>
      </c>
    </row>
    <row r="288" spans="7:10" x14ac:dyDescent="0.3">
      <c r="G288" s="10" t="s">
        <v>281</v>
      </c>
      <c r="H288" s="11" t="s">
        <v>2034</v>
      </c>
      <c r="I288" s="11" t="s">
        <v>2025</v>
      </c>
      <c r="J288" s="12">
        <v>13.39</v>
      </c>
    </row>
    <row r="289" spans="7:10" x14ac:dyDescent="0.3">
      <c r="G289" s="7" t="s">
        <v>282</v>
      </c>
      <c r="H289" s="8" t="s">
        <v>2063</v>
      </c>
      <c r="I289" s="8" t="s">
        <v>1979</v>
      </c>
      <c r="J289" s="9">
        <v>9.34</v>
      </c>
    </row>
    <row r="290" spans="7:10" x14ac:dyDescent="0.3">
      <c r="G290" s="10" t="s">
        <v>283</v>
      </c>
      <c r="H290" s="11" t="s">
        <v>2043</v>
      </c>
      <c r="I290" s="11" t="s">
        <v>1979</v>
      </c>
      <c r="J290" s="12">
        <v>13.21</v>
      </c>
    </row>
    <row r="291" spans="7:10" x14ac:dyDescent="0.3">
      <c r="G291" s="7" t="s">
        <v>284</v>
      </c>
      <c r="H291" s="8" t="s">
        <v>2034</v>
      </c>
      <c r="I291" s="8" t="s">
        <v>2023</v>
      </c>
      <c r="J291" s="9">
        <v>37.01</v>
      </c>
    </row>
    <row r="292" spans="7:10" x14ac:dyDescent="0.3">
      <c r="G292" s="10" t="s">
        <v>285</v>
      </c>
      <c r="H292" s="11" t="s">
        <v>2034</v>
      </c>
      <c r="I292" s="11" t="s">
        <v>2023</v>
      </c>
      <c r="J292" s="12">
        <v>38.950000000000003</v>
      </c>
    </row>
    <row r="293" spans="7:10" x14ac:dyDescent="0.3">
      <c r="G293" s="7" t="s">
        <v>286</v>
      </c>
      <c r="H293" s="8" t="s">
        <v>2034</v>
      </c>
      <c r="I293" s="8" t="s">
        <v>2031</v>
      </c>
      <c r="J293" s="9">
        <v>10.44</v>
      </c>
    </row>
    <row r="294" spans="7:10" x14ac:dyDescent="0.3">
      <c r="G294" s="10" t="s">
        <v>287</v>
      </c>
      <c r="H294" s="11" t="s">
        <v>2038</v>
      </c>
      <c r="I294" s="11" t="s">
        <v>1997</v>
      </c>
      <c r="J294" s="12">
        <v>22.8</v>
      </c>
    </row>
    <row r="295" spans="7:10" x14ac:dyDescent="0.3">
      <c r="G295" s="7" t="s">
        <v>288</v>
      </c>
      <c r="H295" s="8" t="s">
        <v>2034</v>
      </c>
      <c r="I295" s="8" t="s">
        <v>1979</v>
      </c>
      <c r="J295" s="9">
        <v>7.9</v>
      </c>
    </row>
    <row r="296" spans="7:10" x14ac:dyDescent="0.3">
      <c r="G296" s="10" t="s">
        <v>289</v>
      </c>
      <c r="H296" s="11" t="s">
        <v>2034</v>
      </c>
      <c r="I296" s="11" t="s">
        <v>1979</v>
      </c>
      <c r="J296" s="12">
        <v>6.66</v>
      </c>
    </row>
    <row r="297" spans="7:10" x14ac:dyDescent="0.3">
      <c r="G297" s="7" t="s">
        <v>290</v>
      </c>
      <c r="H297" s="8" t="s">
        <v>2038</v>
      </c>
      <c r="I297" s="8" t="s">
        <v>2022</v>
      </c>
      <c r="J297" s="9">
        <v>35.54</v>
      </c>
    </row>
    <row r="298" spans="7:10" x14ac:dyDescent="0.3">
      <c r="G298" s="10" t="s">
        <v>291</v>
      </c>
      <c r="H298" s="11" t="s">
        <v>2047</v>
      </c>
      <c r="I298" s="11" t="s">
        <v>1998</v>
      </c>
      <c r="J298" s="12">
        <v>20.27</v>
      </c>
    </row>
    <row r="299" spans="7:10" x14ac:dyDescent="0.3">
      <c r="G299" s="7" t="s">
        <v>292</v>
      </c>
      <c r="H299" s="8" t="s">
        <v>2062</v>
      </c>
      <c r="I299" s="8" t="s">
        <v>1979</v>
      </c>
      <c r="J299" s="9">
        <v>7.31</v>
      </c>
    </row>
    <row r="300" spans="7:10" x14ac:dyDescent="0.3">
      <c r="G300" s="10" t="s">
        <v>293</v>
      </c>
      <c r="H300" s="11" t="s">
        <v>2043</v>
      </c>
      <c r="I300" s="11" t="s">
        <v>1979</v>
      </c>
      <c r="J300" s="12">
        <v>8.68</v>
      </c>
    </row>
    <row r="301" spans="7:10" x14ac:dyDescent="0.3">
      <c r="G301" s="7" t="s">
        <v>2006</v>
      </c>
      <c r="H301" s="8" t="s">
        <v>2045</v>
      </c>
      <c r="I301" s="8" t="s">
        <v>2005</v>
      </c>
      <c r="J301" s="9">
        <v>9.41</v>
      </c>
    </row>
    <row r="302" spans="7:10" x14ac:dyDescent="0.3">
      <c r="G302" s="10" t="s">
        <v>294</v>
      </c>
      <c r="H302" s="11" t="s">
        <v>2061</v>
      </c>
      <c r="I302" s="11" t="s">
        <v>2022</v>
      </c>
      <c r="J302" s="12">
        <v>15.08</v>
      </c>
    </row>
    <row r="303" spans="7:10" x14ac:dyDescent="0.3">
      <c r="G303" s="7" t="s">
        <v>295</v>
      </c>
      <c r="H303" s="8" t="s">
        <v>2034</v>
      </c>
      <c r="I303" s="8" t="s">
        <v>2002</v>
      </c>
      <c r="J303" s="9">
        <v>85.88</v>
      </c>
    </row>
    <row r="304" spans="7:10" x14ac:dyDescent="0.3">
      <c r="G304" s="10" t="s">
        <v>296</v>
      </c>
      <c r="H304" s="11" t="s">
        <v>2060</v>
      </c>
      <c r="I304" s="11" t="s">
        <v>2028</v>
      </c>
      <c r="J304" s="12">
        <v>17.170000000000002</v>
      </c>
    </row>
    <row r="305" spans="7:10" x14ac:dyDescent="0.3">
      <c r="G305" s="7" t="s">
        <v>297</v>
      </c>
      <c r="H305" s="8" t="s">
        <v>2035</v>
      </c>
      <c r="I305" s="8" t="s">
        <v>2022</v>
      </c>
      <c r="J305" s="9">
        <v>9.32</v>
      </c>
    </row>
    <row r="306" spans="7:10" x14ac:dyDescent="0.3">
      <c r="G306" s="10" t="s">
        <v>298</v>
      </c>
      <c r="H306" s="11" t="s">
        <v>2034</v>
      </c>
      <c r="I306" s="11" t="s">
        <v>1998</v>
      </c>
      <c r="J306" s="12">
        <v>6.52</v>
      </c>
    </row>
    <row r="307" spans="7:10" x14ac:dyDescent="0.3">
      <c r="G307" s="7" t="s">
        <v>299</v>
      </c>
      <c r="H307" s="8" t="s">
        <v>2034</v>
      </c>
      <c r="I307" s="8" t="s">
        <v>2004</v>
      </c>
      <c r="J307" s="9">
        <v>15.9</v>
      </c>
    </row>
    <row r="308" spans="7:10" x14ac:dyDescent="0.3">
      <c r="G308" s="10" t="s">
        <v>300</v>
      </c>
      <c r="H308" s="11" t="s">
        <v>2043</v>
      </c>
      <c r="I308" s="11" t="s">
        <v>2022</v>
      </c>
      <c r="J308" s="12">
        <v>41.71</v>
      </c>
    </row>
    <row r="309" spans="7:10" x14ac:dyDescent="0.3">
      <c r="G309" s="7" t="s">
        <v>301</v>
      </c>
      <c r="H309" s="8" t="s">
        <v>2044</v>
      </c>
      <c r="I309" s="8" t="s">
        <v>2015</v>
      </c>
      <c r="J309" s="9">
        <v>10.37</v>
      </c>
    </row>
    <row r="310" spans="7:10" x14ac:dyDescent="0.3">
      <c r="G310" s="10" t="s">
        <v>302</v>
      </c>
      <c r="H310" s="11" t="s">
        <v>2034</v>
      </c>
      <c r="I310" s="11" t="s">
        <v>1978</v>
      </c>
      <c r="J310" s="12">
        <v>21.89</v>
      </c>
    </row>
    <row r="311" spans="7:10" x14ac:dyDescent="0.3">
      <c r="G311" s="7" t="s">
        <v>303</v>
      </c>
      <c r="H311" s="8" t="s">
        <v>1977</v>
      </c>
      <c r="I311" s="8" t="s">
        <v>1979</v>
      </c>
      <c r="J311" s="9">
        <v>9.09</v>
      </c>
    </row>
    <row r="312" spans="7:10" x14ac:dyDescent="0.3">
      <c r="G312" s="10" t="s">
        <v>304</v>
      </c>
      <c r="H312" s="11" t="s">
        <v>2057</v>
      </c>
      <c r="I312" s="11" t="s">
        <v>2028</v>
      </c>
      <c r="J312" s="12">
        <v>11.02</v>
      </c>
    </row>
    <row r="313" spans="7:10" x14ac:dyDescent="0.3">
      <c r="G313" s="7" t="s">
        <v>305</v>
      </c>
      <c r="H313" s="8" t="s">
        <v>2047</v>
      </c>
      <c r="I313" s="8" t="s">
        <v>2022</v>
      </c>
      <c r="J313" s="9">
        <v>15.12</v>
      </c>
    </row>
    <row r="314" spans="7:10" x14ac:dyDescent="0.3">
      <c r="G314" s="10" t="s">
        <v>306</v>
      </c>
      <c r="H314" s="11" t="s">
        <v>2061</v>
      </c>
      <c r="I314" s="11" t="s">
        <v>1979</v>
      </c>
      <c r="J314" s="12">
        <v>12.47</v>
      </c>
    </row>
    <row r="315" spans="7:10" x14ac:dyDescent="0.3">
      <c r="G315" s="7" t="s">
        <v>307</v>
      </c>
      <c r="H315" s="8" t="s">
        <v>2061</v>
      </c>
      <c r="I315" s="8" t="s">
        <v>2022</v>
      </c>
      <c r="J315" s="9">
        <v>30.13</v>
      </c>
    </row>
    <row r="316" spans="7:10" x14ac:dyDescent="0.3">
      <c r="G316" s="10" t="s">
        <v>308</v>
      </c>
      <c r="H316" s="11" t="s">
        <v>2038</v>
      </c>
      <c r="I316" s="11" t="s">
        <v>2001</v>
      </c>
      <c r="J316" s="12">
        <v>18.75</v>
      </c>
    </row>
    <row r="317" spans="7:10" x14ac:dyDescent="0.3">
      <c r="G317" s="7" t="s">
        <v>309</v>
      </c>
      <c r="H317" s="8" t="s">
        <v>2038</v>
      </c>
      <c r="I317" s="8" t="s">
        <v>2004</v>
      </c>
      <c r="J317" s="9">
        <v>23.58</v>
      </c>
    </row>
    <row r="318" spans="7:10" x14ac:dyDescent="0.3">
      <c r="G318" s="10" t="s">
        <v>310</v>
      </c>
      <c r="H318" s="11" t="s">
        <v>2043</v>
      </c>
      <c r="I318" s="11" t="s">
        <v>1997</v>
      </c>
      <c r="J318" s="12">
        <v>43.98</v>
      </c>
    </row>
    <row r="319" spans="7:10" x14ac:dyDescent="0.3">
      <c r="G319" s="7" t="s">
        <v>311</v>
      </c>
      <c r="H319" s="8" t="s">
        <v>2038</v>
      </c>
      <c r="I319" s="8" t="s">
        <v>1987</v>
      </c>
      <c r="J319" s="9">
        <v>31.82</v>
      </c>
    </row>
    <row r="320" spans="7:10" x14ac:dyDescent="0.3">
      <c r="G320" s="10" t="s">
        <v>312</v>
      </c>
      <c r="H320" s="11" t="s">
        <v>2039</v>
      </c>
      <c r="I320" s="11" t="s">
        <v>2027</v>
      </c>
      <c r="J320" s="12">
        <v>15.53</v>
      </c>
    </row>
    <row r="321" spans="7:10" x14ac:dyDescent="0.3">
      <c r="G321" s="7" t="s">
        <v>313</v>
      </c>
      <c r="H321" s="8" t="s">
        <v>2050</v>
      </c>
      <c r="I321" s="8" t="s">
        <v>2001</v>
      </c>
      <c r="J321" s="9">
        <v>11.63</v>
      </c>
    </row>
    <row r="322" spans="7:10" x14ac:dyDescent="0.3">
      <c r="G322" s="10" t="s">
        <v>314</v>
      </c>
      <c r="H322" s="11" t="s">
        <v>2034</v>
      </c>
      <c r="I322" s="11" t="s">
        <v>2015</v>
      </c>
      <c r="J322" s="12">
        <v>22.63</v>
      </c>
    </row>
    <row r="323" spans="7:10" x14ac:dyDescent="0.3">
      <c r="G323" s="7" t="s">
        <v>315</v>
      </c>
      <c r="H323" s="8" t="s">
        <v>2064</v>
      </c>
      <c r="I323" s="8" t="s">
        <v>1979</v>
      </c>
      <c r="J323" s="9">
        <v>14.29</v>
      </c>
    </row>
    <row r="324" spans="7:10" x14ac:dyDescent="0.3">
      <c r="G324" s="10" t="s">
        <v>316</v>
      </c>
      <c r="H324" s="11" t="s">
        <v>2065</v>
      </c>
      <c r="I324" s="11" t="s">
        <v>2005</v>
      </c>
      <c r="J324" s="12">
        <v>9.4</v>
      </c>
    </row>
    <row r="325" spans="7:10" x14ac:dyDescent="0.3">
      <c r="G325" s="7" t="s">
        <v>317</v>
      </c>
      <c r="H325" s="8" t="s">
        <v>2037</v>
      </c>
      <c r="I325" s="8" t="s">
        <v>1987</v>
      </c>
      <c r="J325" s="9">
        <v>21.3</v>
      </c>
    </row>
    <row r="326" spans="7:10" x14ac:dyDescent="0.3">
      <c r="G326" s="10" t="s">
        <v>318</v>
      </c>
      <c r="H326" s="11" t="s">
        <v>2038</v>
      </c>
      <c r="I326" s="11" t="s">
        <v>2023</v>
      </c>
      <c r="J326" s="12">
        <v>40.15</v>
      </c>
    </row>
    <row r="327" spans="7:10" x14ac:dyDescent="0.3">
      <c r="G327" s="7" t="s">
        <v>319</v>
      </c>
      <c r="H327" s="8" t="s">
        <v>2034</v>
      </c>
      <c r="I327" s="8" t="s">
        <v>2005</v>
      </c>
      <c r="J327" s="9">
        <v>14.3</v>
      </c>
    </row>
    <row r="328" spans="7:10" x14ac:dyDescent="0.3">
      <c r="G328" s="10" t="s">
        <v>320</v>
      </c>
      <c r="H328" s="11" t="s">
        <v>2034</v>
      </c>
      <c r="I328" s="11" t="s">
        <v>2023</v>
      </c>
      <c r="J328" s="12">
        <v>29.38</v>
      </c>
    </row>
    <row r="329" spans="7:10" x14ac:dyDescent="0.3">
      <c r="G329" s="7" t="s">
        <v>321</v>
      </c>
      <c r="H329" s="8" t="s">
        <v>2057</v>
      </c>
      <c r="I329" s="8" t="s">
        <v>1979</v>
      </c>
      <c r="J329" s="9">
        <v>7.99</v>
      </c>
    </row>
    <row r="330" spans="7:10" x14ac:dyDescent="0.3">
      <c r="G330" s="10" t="s">
        <v>322</v>
      </c>
      <c r="H330" s="11" t="s">
        <v>2038</v>
      </c>
      <c r="I330" s="11" t="s">
        <v>2027</v>
      </c>
      <c r="J330" s="12">
        <v>54.45</v>
      </c>
    </row>
    <row r="331" spans="7:10" x14ac:dyDescent="0.3">
      <c r="G331" s="7" t="s">
        <v>323</v>
      </c>
      <c r="H331" s="8" t="s">
        <v>2034</v>
      </c>
      <c r="I331" s="8" t="s">
        <v>1986</v>
      </c>
      <c r="J331" s="9">
        <v>8.83</v>
      </c>
    </row>
    <row r="332" spans="7:10" x14ac:dyDescent="0.3">
      <c r="G332" s="10" t="s">
        <v>324</v>
      </c>
      <c r="H332" s="11" t="s">
        <v>2038</v>
      </c>
      <c r="I332" s="11" t="s">
        <v>2027</v>
      </c>
      <c r="J332" s="12">
        <v>23.7</v>
      </c>
    </row>
    <row r="333" spans="7:10" x14ac:dyDescent="0.3">
      <c r="G333" s="7" t="s">
        <v>325</v>
      </c>
      <c r="H333" s="8" t="s">
        <v>2034</v>
      </c>
      <c r="I333" s="8" t="s">
        <v>2031</v>
      </c>
      <c r="J333" s="9">
        <v>11.2</v>
      </c>
    </row>
    <row r="334" spans="7:10" x14ac:dyDescent="0.3">
      <c r="G334" s="10" t="s">
        <v>326</v>
      </c>
      <c r="H334" s="11" t="s">
        <v>2034</v>
      </c>
      <c r="I334" s="11" t="s">
        <v>2028</v>
      </c>
      <c r="J334" s="12">
        <v>9.49</v>
      </c>
    </row>
    <row r="335" spans="7:10" x14ac:dyDescent="0.3">
      <c r="G335" s="7" t="s">
        <v>327</v>
      </c>
      <c r="H335" s="8" t="s">
        <v>2039</v>
      </c>
      <c r="I335" s="8" t="s">
        <v>2004</v>
      </c>
      <c r="J335" s="9">
        <v>17.91</v>
      </c>
    </row>
    <row r="336" spans="7:10" x14ac:dyDescent="0.3">
      <c r="G336" s="10" t="s">
        <v>328</v>
      </c>
      <c r="H336" s="11" t="s">
        <v>2039</v>
      </c>
      <c r="I336" s="11" t="s">
        <v>1987</v>
      </c>
      <c r="J336" s="12">
        <v>13.8</v>
      </c>
    </row>
    <row r="337" spans="7:10" x14ac:dyDescent="0.3">
      <c r="G337" s="7" t="s">
        <v>329</v>
      </c>
      <c r="H337" s="8" t="s">
        <v>2046</v>
      </c>
      <c r="I337" s="8" t="s">
        <v>1979</v>
      </c>
      <c r="J337" s="9">
        <v>7.84</v>
      </c>
    </row>
    <row r="338" spans="7:10" x14ac:dyDescent="0.3">
      <c r="G338" s="10" t="s">
        <v>330</v>
      </c>
      <c r="H338" s="11" t="s">
        <v>2038</v>
      </c>
      <c r="I338" s="11" t="s">
        <v>2029</v>
      </c>
      <c r="J338" s="12">
        <v>18.54</v>
      </c>
    </row>
    <row r="339" spans="7:10" x14ac:dyDescent="0.3">
      <c r="G339" s="7" t="s">
        <v>331</v>
      </c>
      <c r="H339" s="8" t="s">
        <v>2034</v>
      </c>
      <c r="I339" s="8" t="s">
        <v>2022</v>
      </c>
      <c r="J339" s="9">
        <v>7.59</v>
      </c>
    </row>
    <row r="340" spans="7:10" x14ac:dyDescent="0.3">
      <c r="G340" s="10" t="s">
        <v>332</v>
      </c>
      <c r="H340" s="11" t="s">
        <v>2041</v>
      </c>
      <c r="I340" s="11" t="s">
        <v>2004</v>
      </c>
      <c r="J340" s="12">
        <v>14.37</v>
      </c>
    </row>
    <row r="341" spans="7:10" x14ac:dyDescent="0.3">
      <c r="G341" s="7" t="s">
        <v>333</v>
      </c>
      <c r="H341" s="8" t="s">
        <v>2038</v>
      </c>
      <c r="I341" s="8" t="s">
        <v>2027</v>
      </c>
      <c r="J341" s="9">
        <v>45.3</v>
      </c>
    </row>
    <row r="342" spans="7:10" x14ac:dyDescent="0.3">
      <c r="G342" s="10" t="s">
        <v>334</v>
      </c>
      <c r="H342" s="11" t="s">
        <v>2043</v>
      </c>
      <c r="I342" s="11" t="s">
        <v>1979</v>
      </c>
      <c r="J342" s="12">
        <v>9.36</v>
      </c>
    </row>
    <row r="343" spans="7:10" x14ac:dyDescent="0.3">
      <c r="G343" s="7" t="s">
        <v>335</v>
      </c>
      <c r="H343" s="8" t="s">
        <v>2065</v>
      </c>
      <c r="I343" s="8" t="s">
        <v>2025</v>
      </c>
      <c r="J343" s="9">
        <v>8.17</v>
      </c>
    </row>
    <row r="344" spans="7:10" x14ac:dyDescent="0.3">
      <c r="G344" s="10" t="s">
        <v>336</v>
      </c>
      <c r="H344" s="11" t="s">
        <v>2039</v>
      </c>
      <c r="I344" s="11" t="s">
        <v>2015</v>
      </c>
      <c r="J344" s="12">
        <v>15.07</v>
      </c>
    </row>
    <row r="345" spans="7:10" x14ac:dyDescent="0.3">
      <c r="G345" s="7" t="s">
        <v>337</v>
      </c>
      <c r="H345" s="8" t="s">
        <v>2034</v>
      </c>
      <c r="I345" s="8" t="s">
        <v>1998</v>
      </c>
      <c r="J345" s="9">
        <v>9.01</v>
      </c>
    </row>
    <row r="346" spans="7:10" x14ac:dyDescent="0.3">
      <c r="G346" s="10" t="s">
        <v>338</v>
      </c>
      <c r="H346" s="11" t="s">
        <v>2049</v>
      </c>
      <c r="I346" s="11" t="s">
        <v>1979</v>
      </c>
      <c r="J346" s="12">
        <v>6.53</v>
      </c>
    </row>
    <row r="347" spans="7:10" x14ac:dyDescent="0.3">
      <c r="G347" s="7" t="s">
        <v>339</v>
      </c>
      <c r="H347" s="8" t="s">
        <v>2034</v>
      </c>
      <c r="I347" s="8" t="s">
        <v>1997</v>
      </c>
      <c r="J347" s="9">
        <v>27.99</v>
      </c>
    </row>
    <row r="348" spans="7:10" x14ac:dyDescent="0.3">
      <c r="G348" s="10" t="s">
        <v>340</v>
      </c>
      <c r="H348" s="11" t="s">
        <v>2034</v>
      </c>
      <c r="I348" s="11" t="s">
        <v>1986</v>
      </c>
      <c r="J348" s="12">
        <v>13.07</v>
      </c>
    </row>
    <row r="349" spans="7:10" x14ac:dyDescent="0.3">
      <c r="G349" s="7" t="s">
        <v>341</v>
      </c>
      <c r="H349" s="8" t="s">
        <v>2034</v>
      </c>
      <c r="I349" s="8" t="s">
        <v>2031</v>
      </c>
      <c r="J349" s="9">
        <v>11.99</v>
      </c>
    </row>
    <row r="350" spans="7:10" x14ac:dyDescent="0.3">
      <c r="G350" s="10" t="s">
        <v>342</v>
      </c>
      <c r="H350" s="11" t="s">
        <v>2038</v>
      </c>
      <c r="I350" s="11" t="s">
        <v>1998</v>
      </c>
      <c r="J350" s="12">
        <v>7.49</v>
      </c>
    </row>
    <row r="351" spans="7:10" x14ac:dyDescent="0.3">
      <c r="G351" s="7" t="s">
        <v>343</v>
      </c>
      <c r="H351" s="8" t="s">
        <v>2034</v>
      </c>
      <c r="I351" s="8" t="s">
        <v>2031</v>
      </c>
      <c r="J351" s="9">
        <v>11.85</v>
      </c>
    </row>
    <row r="352" spans="7:10" x14ac:dyDescent="0.3">
      <c r="G352" s="10" t="s">
        <v>344</v>
      </c>
      <c r="H352" s="11" t="s">
        <v>2034</v>
      </c>
      <c r="I352" s="11" t="s">
        <v>2022</v>
      </c>
      <c r="J352" s="12">
        <v>23.25</v>
      </c>
    </row>
    <row r="353" spans="7:10" x14ac:dyDescent="0.3">
      <c r="G353" s="7" t="s">
        <v>345</v>
      </c>
      <c r="H353" s="8" t="s">
        <v>2042</v>
      </c>
      <c r="I353" s="8" t="s">
        <v>1979</v>
      </c>
      <c r="J353" s="9">
        <v>8.84</v>
      </c>
    </row>
    <row r="354" spans="7:10" x14ac:dyDescent="0.3">
      <c r="G354" s="10" t="s">
        <v>346</v>
      </c>
      <c r="H354" s="11" t="s">
        <v>2034</v>
      </c>
      <c r="I354" s="11" t="s">
        <v>1979</v>
      </c>
      <c r="J354" s="12">
        <v>7.5</v>
      </c>
    </row>
    <row r="355" spans="7:10" x14ac:dyDescent="0.3">
      <c r="G355" s="7" t="s">
        <v>347</v>
      </c>
      <c r="H355" s="8" t="s">
        <v>2035</v>
      </c>
      <c r="I355" s="8" t="s">
        <v>2001</v>
      </c>
      <c r="J355" s="9">
        <v>11.18</v>
      </c>
    </row>
    <row r="356" spans="7:10" x14ac:dyDescent="0.3">
      <c r="G356" s="10" t="s">
        <v>348</v>
      </c>
      <c r="H356" s="11" t="s">
        <v>2034</v>
      </c>
      <c r="I356" s="11" t="s">
        <v>2002</v>
      </c>
      <c r="J356" s="12">
        <v>32.99</v>
      </c>
    </row>
    <row r="357" spans="7:10" x14ac:dyDescent="0.3">
      <c r="G357" s="7" t="s">
        <v>349</v>
      </c>
      <c r="H357" s="8" t="s">
        <v>2034</v>
      </c>
      <c r="I357" s="8" t="s">
        <v>2017</v>
      </c>
      <c r="J357" s="9">
        <v>9.61</v>
      </c>
    </row>
    <row r="358" spans="7:10" x14ac:dyDescent="0.3">
      <c r="G358" s="10" t="s">
        <v>350</v>
      </c>
      <c r="H358" s="11" t="s">
        <v>2039</v>
      </c>
      <c r="I358" s="11" t="s">
        <v>1988</v>
      </c>
      <c r="J358" s="12">
        <v>12.72</v>
      </c>
    </row>
    <row r="359" spans="7:10" x14ac:dyDescent="0.3">
      <c r="G359" s="7" t="s">
        <v>351</v>
      </c>
      <c r="H359" s="8" t="s">
        <v>2066</v>
      </c>
      <c r="I359" s="8" t="s">
        <v>2028</v>
      </c>
      <c r="J359" s="9">
        <v>7.64</v>
      </c>
    </row>
    <row r="360" spans="7:10" x14ac:dyDescent="0.3">
      <c r="G360" s="10" t="s">
        <v>352</v>
      </c>
      <c r="H360" s="11" t="s">
        <v>2038</v>
      </c>
      <c r="I360" s="11" t="s">
        <v>2005</v>
      </c>
      <c r="J360" s="12">
        <v>19.86</v>
      </c>
    </row>
    <row r="361" spans="7:10" x14ac:dyDescent="0.3">
      <c r="G361" s="7" t="s">
        <v>353</v>
      </c>
      <c r="H361" s="8" t="s">
        <v>2034</v>
      </c>
      <c r="I361" s="8" t="s">
        <v>2022</v>
      </c>
      <c r="J361" s="9">
        <v>7.12</v>
      </c>
    </row>
    <row r="362" spans="7:10" x14ac:dyDescent="0.3">
      <c r="G362" s="10" t="s">
        <v>354</v>
      </c>
      <c r="H362" s="11" t="s">
        <v>2034</v>
      </c>
      <c r="I362" s="11" t="s">
        <v>2030</v>
      </c>
      <c r="J362" s="12">
        <v>8.5299999999999994</v>
      </c>
    </row>
    <row r="363" spans="7:10" x14ac:dyDescent="0.3">
      <c r="G363" s="7" t="s">
        <v>355</v>
      </c>
      <c r="H363" s="8" t="s">
        <v>2034</v>
      </c>
      <c r="I363" s="8" t="s">
        <v>1979</v>
      </c>
      <c r="J363" s="9">
        <v>6.7</v>
      </c>
    </row>
    <row r="364" spans="7:10" x14ac:dyDescent="0.3">
      <c r="G364" s="10" t="s">
        <v>356</v>
      </c>
      <c r="H364" s="11" t="s">
        <v>2043</v>
      </c>
      <c r="I364" s="11" t="s">
        <v>2028</v>
      </c>
      <c r="J364" s="12">
        <v>16.489999999999998</v>
      </c>
    </row>
    <row r="365" spans="7:10" x14ac:dyDescent="0.3">
      <c r="G365" s="7" t="s">
        <v>357</v>
      </c>
      <c r="H365" s="8" t="s">
        <v>2063</v>
      </c>
      <c r="I365" s="8" t="s">
        <v>1979</v>
      </c>
      <c r="J365" s="9">
        <v>6.3</v>
      </c>
    </row>
    <row r="366" spans="7:10" x14ac:dyDescent="0.3">
      <c r="G366" s="10" t="s">
        <v>358</v>
      </c>
      <c r="H366" s="11" t="s">
        <v>2034</v>
      </c>
      <c r="I366" s="11" t="s">
        <v>2031</v>
      </c>
      <c r="J366" s="12">
        <v>11.9</v>
      </c>
    </row>
    <row r="367" spans="7:10" x14ac:dyDescent="0.3">
      <c r="G367" s="7" t="s">
        <v>359</v>
      </c>
      <c r="H367" s="8" t="s">
        <v>2062</v>
      </c>
      <c r="I367" s="8" t="s">
        <v>1993</v>
      </c>
      <c r="J367" s="9">
        <v>16.66</v>
      </c>
    </row>
    <row r="368" spans="7:10" x14ac:dyDescent="0.3">
      <c r="G368" s="10" t="s">
        <v>360</v>
      </c>
      <c r="H368" s="11" t="s">
        <v>2034</v>
      </c>
      <c r="I368" s="11" t="s">
        <v>2022</v>
      </c>
      <c r="J368" s="12">
        <v>7.58</v>
      </c>
    </row>
    <row r="369" spans="7:10" x14ac:dyDescent="0.3">
      <c r="G369" s="7" t="s">
        <v>361</v>
      </c>
      <c r="H369" s="8" t="s">
        <v>2034</v>
      </c>
      <c r="I369" s="8" t="s">
        <v>2027</v>
      </c>
      <c r="J369" s="9">
        <v>9.66</v>
      </c>
    </row>
    <row r="370" spans="7:10" x14ac:dyDescent="0.3">
      <c r="G370" s="10" t="s">
        <v>362</v>
      </c>
      <c r="H370" s="11" t="s">
        <v>2034</v>
      </c>
      <c r="I370" s="11" t="s">
        <v>1986</v>
      </c>
      <c r="J370" s="12">
        <v>15.7</v>
      </c>
    </row>
    <row r="371" spans="7:10" x14ac:dyDescent="0.3">
      <c r="G371" s="7" t="s">
        <v>363</v>
      </c>
      <c r="H371" s="8" t="s">
        <v>2034</v>
      </c>
      <c r="I371" s="8" t="s">
        <v>2001</v>
      </c>
      <c r="J371" s="9">
        <v>11.43</v>
      </c>
    </row>
    <row r="372" spans="7:10" x14ac:dyDescent="0.3">
      <c r="G372" s="10" t="s">
        <v>2007</v>
      </c>
      <c r="H372" s="11" t="s">
        <v>2038</v>
      </c>
      <c r="I372" s="11" t="s">
        <v>2005</v>
      </c>
      <c r="J372" s="12">
        <v>17.75</v>
      </c>
    </row>
    <row r="373" spans="7:10" x14ac:dyDescent="0.3">
      <c r="G373" s="7" t="s">
        <v>364</v>
      </c>
      <c r="H373" s="8" t="s">
        <v>2034</v>
      </c>
      <c r="I373" s="8" t="s">
        <v>2031</v>
      </c>
      <c r="J373" s="9">
        <v>11.7</v>
      </c>
    </row>
    <row r="374" spans="7:10" x14ac:dyDescent="0.3">
      <c r="G374" s="10" t="s">
        <v>365</v>
      </c>
      <c r="H374" s="11" t="s">
        <v>2034</v>
      </c>
      <c r="I374" s="11" t="s">
        <v>2031</v>
      </c>
      <c r="J374" s="12">
        <v>12.43</v>
      </c>
    </row>
    <row r="375" spans="7:10" x14ac:dyDescent="0.3">
      <c r="G375" s="7" t="s">
        <v>366</v>
      </c>
      <c r="H375" s="8" t="s">
        <v>2035</v>
      </c>
      <c r="I375" s="8" t="s">
        <v>2001</v>
      </c>
      <c r="J375" s="9">
        <v>10.61</v>
      </c>
    </row>
    <row r="376" spans="7:10" x14ac:dyDescent="0.3">
      <c r="G376" s="10" t="s">
        <v>367</v>
      </c>
      <c r="H376" s="11" t="s">
        <v>2067</v>
      </c>
      <c r="I376" s="11" t="s">
        <v>2022</v>
      </c>
      <c r="J376" s="12">
        <v>16.579999999999998</v>
      </c>
    </row>
    <row r="377" spans="7:10" x14ac:dyDescent="0.3">
      <c r="G377" s="7" t="s">
        <v>368</v>
      </c>
      <c r="H377" s="8" t="s">
        <v>2042</v>
      </c>
      <c r="I377" s="8" t="s">
        <v>1979</v>
      </c>
      <c r="J377" s="9">
        <v>9.7100000000000009</v>
      </c>
    </row>
    <row r="378" spans="7:10" x14ac:dyDescent="0.3">
      <c r="G378" s="10" t="s">
        <v>369</v>
      </c>
      <c r="H378" s="11" t="s">
        <v>2038</v>
      </c>
      <c r="I378" s="11" t="s">
        <v>2015</v>
      </c>
      <c r="J378" s="12">
        <v>11.54</v>
      </c>
    </row>
    <row r="379" spans="7:10" x14ac:dyDescent="0.3">
      <c r="G379" s="7" t="s">
        <v>370</v>
      </c>
      <c r="H379" s="8" t="s">
        <v>2044</v>
      </c>
      <c r="I379" s="8" t="s">
        <v>1979</v>
      </c>
      <c r="J379" s="9">
        <v>10.17</v>
      </c>
    </row>
    <row r="380" spans="7:10" x14ac:dyDescent="0.3">
      <c r="G380" s="10" t="s">
        <v>371</v>
      </c>
      <c r="H380" s="11" t="s">
        <v>2034</v>
      </c>
      <c r="I380" s="11" t="s">
        <v>2031</v>
      </c>
      <c r="J380" s="12">
        <v>10.11</v>
      </c>
    </row>
    <row r="381" spans="7:10" x14ac:dyDescent="0.3">
      <c r="G381" s="7" t="s">
        <v>372</v>
      </c>
      <c r="H381" s="8" t="s">
        <v>2039</v>
      </c>
      <c r="I381" s="8" t="s">
        <v>1979</v>
      </c>
      <c r="J381" s="9">
        <v>16.5</v>
      </c>
    </row>
    <row r="382" spans="7:10" x14ac:dyDescent="0.3">
      <c r="G382" s="10" t="s">
        <v>373</v>
      </c>
      <c r="H382" s="11" t="s">
        <v>2055</v>
      </c>
      <c r="I382" s="11" t="s">
        <v>2028</v>
      </c>
      <c r="J382" s="12">
        <v>8.1300000000000008</v>
      </c>
    </row>
    <row r="383" spans="7:10" x14ac:dyDescent="0.3">
      <c r="G383" s="7" t="s">
        <v>374</v>
      </c>
      <c r="H383" s="8" t="s">
        <v>2034</v>
      </c>
      <c r="I383" s="8" t="s">
        <v>1979</v>
      </c>
      <c r="J383" s="9">
        <v>6.12</v>
      </c>
    </row>
    <row r="384" spans="7:10" x14ac:dyDescent="0.3">
      <c r="G384" s="10" t="s">
        <v>375</v>
      </c>
      <c r="H384" s="11" t="s">
        <v>2038</v>
      </c>
      <c r="I384" s="11" t="s">
        <v>2031</v>
      </c>
      <c r="J384" s="12">
        <v>13.14</v>
      </c>
    </row>
    <row r="385" spans="7:10" x14ac:dyDescent="0.3">
      <c r="G385" s="7" t="s">
        <v>376</v>
      </c>
      <c r="H385" s="8" t="s">
        <v>2041</v>
      </c>
      <c r="I385" s="8" t="s">
        <v>2026</v>
      </c>
      <c r="J385" s="9">
        <v>10.06</v>
      </c>
    </row>
    <row r="386" spans="7:10" x14ac:dyDescent="0.3">
      <c r="G386" s="10" t="s">
        <v>377</v>
      </c>
      <c r="H386" s="11" t="s">
        <v>2037</v>
      </c>
      <c r="I386" s="11" t="s">
        <v>1993</v>
      </c>
      <c r="J386" s="12">
        <v>11.59</v>
      </c>
    </row>
    <row r="387" spans="7:10" x14ac:dyDescent="0.3">
      <c r="G387" s="7" t="s">
        <v>378</v>
      </c>
      <c r="H387" s="8" t="s">
        <v>2047</v>
      </c>
      <c r="I387" s="8" t="s">
        <v>2017</v>
      </c>
      <c r="J387" s="9">
        <v>9.0399999999999991</v>
      </c>
    </row>
    <row r="388" spans="7:10" x14ac:dyDescent="0.3">
      <c r="G388" s="10" t="s">
        <v>379</v>
      </c>
      <c r="H388" s="11" t="s">
        <v>2039</v>
      </c>
      <c r="I388" s="11" t="s">
        <v>1979</v>
      </c>
      <c r="J388" s="12">
        <v>13.58</v>
      </c>
    </row>
    <row r="389" spans="7:10" x14ac:dyDescent="0.3">
      <c r="G389" s="7" t="s">
        <v>380</v>
      </c>
      <c r="H389" s="8" t="s">
        <v>1977</v>
      </c>
      <c r="I389" s="8" t="s">
        <v>2022</v>
      </c>
      <c r="J389" s="9">
        <v>13.41</v>
      </c>
    </row>
    <row r="390" spans="7:10" x14ac:dyDescent="0.3">
      <c r="G390" s="10" t="s">
        <v>381</v>
      </c>
      <c r="H390" s="11" t="s">
        <v>2034</v>
      </c>
      <c r="I390" s="11" t="s">
        <v>2031</v>
      </c>
      <c r="J390" s="12">
        <v>11.74</v>
      </c>
    </row>
    <row r="391" spans="7:10" x14ac:dyDescent="0.3">
      <c r="G391" s="7" t="s">
        <v>382</v>
      </c>
      <c r="H391" s="8" t="s">
        <v>2034</v>
      </c>
      <c r="I391" s="8" t="s">
        <v>1987</v>
      </c>
      <c r="J391" s="9">
        <v>12.92</v>
      </c>
    </row>
    <row r="392" spans="7:10" x14ac:dyDescent="0.3">
      <c r="G392" s="10" t="s">
        <v>383</v>
      </c>
      <c r="H392" s="11" t="s">
        <v>2044</v>
      </c>
      <c r="I392" s="11" t="s">
        <v>1979</v>
      </c>
      <c r="J392" s="12">
        <v>9.86</v>
      </c>
    </row>
    <row r="393" spans="7:10" x14ac:dyDescent="0.3">
      <c r="G393" s="7" t="s">
        <v>384</v>
      </c>
      <c r="H393" s="8" t="s">
        <v>2047</v>
      </c>
      <c r="I393" s="8" t="s">
        <v>2022</v>
      </c>
      <c r="J393" s="9">
        <v>8.81</v>
      </c>
    </row>
    <row r="394" spans="7:10" x14ac:dyDescent="0.3">
      <c r="G394" s="10" t="s">
        <v>385</v>
      </c>
      <c r="H394" s="11" t="s">
        <v>2041</v>
      </c>
      <c r="I394" s="11" t="s">
        <v>1979</v>
      </c>
      <c r="J394" s="12">
        <v>12.77</v>
      </c>
    </row>
    <row r="395" spans="7:10" x14ac:dyDescent="0.3">
      <c r="G395" s="7" t="s">
        <v>386</v>
      </c>
      <c r="H395" s="8" t="s">
        <v>2063</v>
      </c>
      <c r="I395" s="8" t="s">
        <v>2022</v>
      </c>
      <c r="J395" s="9">
        <v>10.42</v>
      </c>
    </row>
    <row r="396" spans="7:10" x14ac:dyDescent="0.3">
      <c r="G396" s="10" t="s">
        <v>387</v>
      </c>
      <c r="H396" s="11" t="s">
        <v>2034</v>
      </c>
      <c r="I396" s="11" t="s">
        <v>2027</v>
      </c>
      <c r="J396" s="12">
        <v>6.02</v>
      </c>
    </row>
    <row r="397" spans="7:10" x14ac:dyDescent="0.3">
      <c r="G397" s="7" t="s">
        <v>388</v>
      </c>
      <c r="H397" s="8" t="s">
        <v>2036</v>
      </c>
      <c r="I397" s="8" t="s">
        <v>1988</v>
      </c>
      <c r="J397" s="9">
        <v>15.37</v>
      </c>
    </row>
    <row r="398" spans="7:10" x14ac:dyDescent="0.3">
      <c r="G398" s="10" t="s">
        <v>389</v>
      </c>
      <c r="H398" s="11" t="s">
        <v>2047</v>
      </c>
      <c r="I398" s="11" t="s">
        <v>2022</v>
      </c>
      <c r="J398" s="12">
        <v>9.5299999999999994</v>
      </c>
    </row>
    <row r="399" spans="7:10" x14ac:dyDescent="0.3">
      <c r="G399" s="7" t="s">
        <v>390</v>
      </c>
      <c r="H399" s="8" t="s">
        <v>2038</v>
      </c>
      <c r="I399" s="8" t="s">
        <v>1986</v>
      </c>
      <c r="J399" s="9">
        <v>16.93</v>
      </c>
    </row>
    <row r="400" spans="7:10" x14ac:dyDescent="0.3">
      <c r="G400" s="10" t="s">
        <v>391</v>
      </c>
      <c r="H400" s="11" t="s">
        <v>2038</v>
      </c>
      <c r="I400" s="11" t="s">
        <v>2027</v>
      </c>
      <c r="J400" s="12">
        <v>44.44</v>
      </c>
    </row>
    <row r="401" spans="7:10" x14ac:dyDescent="0.3">
      <c r="G401" s="7" t="s">
        <v>392</v>
      </c>
      <c r="H401" s="8" t="s">
        <v>2047</v>
      </c>
      <c r="I401" s="8" t="s">
        <v>2022</v>
      </c>
      <c r="J401" s="9">
        <v>7.52</v>
      </c>
    </row>
    <row r="402" spans="7:10" x14ac:dyDescent="0.3">
      <c r="G402" s="10" t="s">
        <v>393</v>
      </c>
      <c r="H402" s="11" t="s">
        <v>2035</v>
      </c>
      <c r="I402" s="11" t="s">
        <v>2028</v>
      </c>
      <c r="J402" s="12">
        <v>64.52</v>
      </c>
    </row>
    <row r="403" spans="7:10" x14ac:dyDescent="0.3">
      <c r="G403" s="7" t="s">
        <v>394</v>
      </c>
      <c r="H403" s="8" t="s">
        <v>2047</v>
      </c>
      <c r="I403" s="8" t="s">
        <v>2030</v>
      </c>
      <c r="J403" s="9">
        <v>6.23</v>
      </c>
    </row>
    <row r="404" spans="7:10" x14ac:dyDescent="0.3">
      <c r="G404" s="10" t="s">
        <v>395</v>
      </c>
      <c r="H404" s="11" t="s">
        <v>2034</v>
      </c>
      <c r="I404" s="11" t="s">
        <v>2002</v>
      </c>
      <c r="J404" s="12">
        <v>35.979999999999997</v>
      </c>
    </row>
    <row r="405" spans="7:10" x14ac:dyDescent="0.3">
      <c r="G405" s="7" t="s">
        <v>396</v>
      </c>
      <c r="H405" s="8" t="s">
        <v>2034</v>
      </c>
      <c r="I405" s="8" t="s">
        <v>2023</v>
      </c>
      <c r="J405" s="9">
        <v>18.78</v>
      </c>
    </row>
    <row r="406" spans="7:10" x14ac:dyDescent="0.3">
      <c r="G406" s="10" t="s">
        <v>397</v>
      </c>
      <c r="H406" s="11" t="s">
        <v>2038</v>
      </c>
      <c r="I406" s="11" t="s">
        <v>2031</v>
      </c>
      <c r="J406" s="12">
        <v>15.03</v>
      </c>
    </row>
    <row r="407" spans="7:10" x14ac:dyDescent="0.3">
      <c r="G407" s="7" t="s">
        <v>398</v>
      </c>
      <c r="H407" s="8" t="s">
        <v>2041</v>
      </c>
      <c r="I407" s="8" t="s">
        <v>1997</v>
      </c>
      <c r="J407" s="9">
        <v>17.09</v>
      </c>
    </row>
    <row r="408" spans="7:10" x14ac:dyDescent="0.3">
      <c r="G408" s="10" t="s">
        <v>399</v>
      </c>
      <c r="H408" s="11" t="s">
        <v>2065</v>
      </c>
      <c r="I408" s="11" t="s">
        <v>2027</v>
      </c>
      <c r="J408" s="12">
        <v>17.04</v>
      </c>
    </row>
    <row r="409" spans="7:10" x14ac:dyDescent="0.3">
      <c r="G409" s="7" t="s">
        <v>400</v>
      </c>
      <c r="H409" s="8" t="s">
        <v>2047</v>
      </c>
      <c r="I409" s="8" t="s">
        <v>1998</v>
      </c>
      <c r="J409" s="9">
        <v>5.99</v>
      </c>
    </row>
    <row r="410" spans="7:10" x14ac:dyDescent="0.3">
      <c r="G410" s="10" t="s">
        <v>401</v>
      </c>
      <c r="H410" s="11" t="s">
        <v>2034</v>
      </c>
      <c r="I410" s="11" t="s">
        <v>1993</v>
      </c>
      <c r="J410" s="12">
        <v>14.45</v>
      </c>
    </row>
    <row r="411" spans="7:10" x14ac:dyDescent="0.3">
      <c r="G411" s="7" t="s">
        <v>402</v>
      </c>
      <c r="H411" s="8" t="s">
        <v>2034</v>
      </c>
      <c r="I411" s="8" t="s">
        <v>2000</v>
      </c>
      <c r="J411" s="9">
        <v>31.4</v>
      </c>
    </row>
    <row r="412" spans="7:10" x14ac:dyDescent="0.3">
      <c r="G412" s="10" t="s">
        <v>403</v>
      </c>
      <c r="H412" s="11" t="s">
        <v>2034</v>
      </c>
      <c r="I412" s="11" t="s">
        <v>2004</v>
      </c>
      <c r="J412" s="12">
        <v>14.37</v>
      </c>
    </row>
    <row r="413" spans="7:10" x14ac:dyDescent="0.3">
      <c r="G413" s="7" t="s">
        <v>404</v>
      </c>
      <c r="H413" s="8" t="s">
        <v>2040</v>
      </c>
      <c r="I413" s="8" t="s">
        <v>1979</v>
      </c>
      <c r="J413" s="9">
        <v>4.59</v>
      </c>
    </row>
    <row r="414" spans="7:10" x14ac:dyDescent="0.3">
      <c r="G414" s="10" t="s">
        <v>405</v>
      </c>
      <c r="H414" s="11" t="s">
        <v>2057</v>
      </c>
      <c r="I414" s="11" t="s">
        <v>1998</v>
      </c>
      <c r="J414" s="12">
        <v>5.87</v>
      </c>
    </row>
    <row r="415" spans="7:10" x14ac:dyDescent="0.3">
      <c r="G415" s="7" t="s">
        <v>406</v>
      </c>
      <c r="H415" s="8" t="s">
        <v>2060</v>
      </c>
      <c r="I415" s="8" t="s">
        <v>2028</v>
      </c>
      <c r="J415" s="9">
        <v>15.36</v>
      </c>
    </row>
    <row r="416" spans="7:10" x14ac:dyDescent="0.3">
      <c r="G416" s="10" t="s">
        <v>407</v>
      </c>
      <c r="H416" s="11" t="s">
        <v>2034</v>
      </c>
      <c r="I416" s="11" t="s">
        <v>2030</v>
      </c>
      <c r="J416" s="12">
        <v>8.6199999999999992</v>
      </c>
    </row>
    <row r="417" spans="7:10" x14ac:dyDescent="0.3">
      <c r="G417" s="7" t="s">
        <v>408</v>
      </c>
      <c r="H417" s="8" t="s">
        <v>2035</v>
      </c>
      <c r="I417" s="8" t="s">
        <v>2031</v>
      </c>
      <c r="J417" s="9">
        <v>14.04</v>
      </c>
    </row>
    <row r="418" spans="7:10" x14ac:dyDescent="0.3">
      <c r="G418" s="10" t="s">
        <v>409</v>
      </c>
      <c r="H418" s="11" t="s">
        <v>2038</v>
      </c>
      <c r="I418" s="11" t="s">
        <v>1979</v>
      </c>
      <c r="J418" s="12">
        <v>32.21</v>
      </c>
    </row>
    <row r="419" spans="7:10" x14ac:dyDescent="0.3">
      <c r="G419" s="7" t="s">
        <v>410</v>
      </c>
      <c r="H419" s="8" t="s">
        <v>2039</v>
      </c>
      <c r="I419" s="8" t="s">
        <v>1997</v>
      </c>
      <c r="J419" s="9">
        <v>18.43</v>
      </c>
    </row>
    <row r="420" spans="7:10" x14ac:dyDescent="0.3">
      <c r="G420" s="10" t="s">
        <v>411</v>
      </c>
      <c r="H420" s="11" t="s">
        <v>2068</v>
      </c>
      <c r="I420" s="11" t="s">
        <v>2017</v>
      </c>
      <c r="J420" s="12">
        <v>9.41</v>
      </c>
    </row>
    <row r="421" spans="7:10" x14ac:dyDescent="0.3">
      <c r="G421" s="7" t="s">
        <v>1982</v>
      </c>
      <c r="H421" s="8" t="s">
        <v>2038</v>
      </c>
      <c r="I421" s="8" t="s">
        <v>1979</v>
      </c>
      <c r="J421" s="9">
        <v>4.37</v>
      </c>
    </row>
    <row r="422" spans="7:10" x14ac:dyDescent="0.3">
      <c r="G422" s="10" t="s">
        <v>412</v>
      </c>
      <c r="H422" s="11" t="s">
        <v>2051</v>
      </c>
      <c r="I422" s="11" t="s">
        <v>2026</v>
      </c>
      <c r="J422" s="12">
        <v>17.57</v>
      </c>
    </row>
    <row r="423" spans="7:10" x14ac:dyDescent="0.3">
      <c r="G423" s="7" t="s">
        <v>413</v>
      </c>
      <c r="H423" s="8" t="s">
        <v>2034</v>
      </c>
      <c r="I423" s="8" t="s">
        <v>2005</v>
      </c>
      <c r="J423" s="9">
        <v>9.84</v>
      </c>
    </row>
    <row r="424" spans="7:10" x14ac:dyDescent="0.3">
      <c r="G424" s="10" t="s">
        <v>414</v>
      </c>
      <c r="H424" s="11" t="s">
        <v>2034</v>
      </c>
      <c r="I424" s="11" t="s">
        <v>2002</v>
      </c>
      <c r="J424" s="12">
        <v>9.85</v>
      </c>
    </row>
    <row r="425" spans="7:10" x14ac:dyDescent="0.3">
      <c r="G425" s="7" t="s">
        <v>415</v>
      </c>
      <c r="H425" s="8" t="s">
        <v>2052</v>
      </c>
      <c r="I425" s="8" t="s">
        <v>2022</v>
      </c>
      <c r="J425" s="9">
        <v>6.69</v>
      </c>
    </row>
    <row r="426" spans="7:10" x14ac:dyDescent="0.3">
      <c r="G426" s="10" t="s">
        <v>416</v>
      </c>
      <c r="H426" s="11" t="s">
        <v>2034</v>
      </c>
      <c r="I426" s="11" t="s">
        <v>2031</v>
      </c>
      <c r="J426" s="12">
        <v>11.69</v>
      </c>
    </row>
    <row r="427" spans="7:10" x14ac:dyDescent="0.3">
      <c r="G427" s="7" t="s">
        <v>417</v>
      </c>
      <c r="H427" s="8" t="s">
        <v>2035</v>
      </c>
      <c r="I427" s="8" t="s">
        <v>2023</v>
      </c>
      <c r="J427" s="9">
        <v>14.72</v>
      </c>
    </row>
    <row r="428" spans="7:10" x14ac:dyDescent="0.3">
      <c r="G428" s="10" t="s">
        <v>418</v>
      </c>
      <c r="H428" s="11" t="s">
        <v>2041</v>
      </c>
      <c r="I428" s="11" t="s">
        <v>2031</v>
      </c>
      <c r="J428" s="12">
        <v>13.36</v>
      </c>
    </row>
    <row r="429" spans="7:10" x14ac:dyDescent="0.3">
      <c r="G429" s="7" t="s">
        <v>419</v>
      </c>
      <c r="H429" s="8" t="s">
        <v>2034</v>
      </c>
      <c r="I429" s="8" t="s">
        <v>2004</v>
      </c>
      <c r="J429" s="9">
        <v>11.4</v>
      </c>
    </row>
    <row r="430" spans="7:10" x14ac:dyDescent="0.3">
      <c r="G430" s="10" t="s">
        <v>420</v>
      </c>
      <c r="H430" s="11" t="s">
        <v>2037</v>
      </c>
      <c r="I430" s="11" t="s">
        <v>2005</v>
      </c>
      <c r="J430" s="12">
        <v>20.11</v>
      </c>
    </row>
    <row r="431" spans="7:10" x14ac:dyDescent="0.3">
      <c r="G431" s="7" t="s">
        <v>421</v>
      </c>
      <c r="H431" s="8" t="s">
        <v>2049</v>
      </c>
      <c r="I431" s="8" t="s">
        <v>2028</v>
      </c>
      <c r="J431" s="9">
        <v>10.01</v>
      </c>
    </row>
    <row r="432" spans="7:10" x14ac:dyDescent="0.3">
      <c r="G432" s="10" t="s">
        <v>422</v>
      </c>
      <c r="H432" s="11" t="s">
        <v>2034</v>
      </c>
      <c r="I432" s="11" t="s">
        <v>2031</v>
      </c>
      <c r="J432" s="12">
        <v>17.13</v>
      </c>
    </row>
    <row r="433" spans="7:10" x14ac:dyDescent="0.3">
      <c r="G433" s="7" t="s">
        <v>423</v>
      </c>
      <c r="H433" s="8" t="s">
        <v>2037</v>
      </c>
      <c r="I433" s="8" t="s">
        <v>2028</v>
      </c>
      <c r="J433" s="9">
        <v>8.82</v>
      </c>
    </row>
    <row r="434" spans="7:10" x14ac:dyDescent="0.3">
      <c r="G434" s="10" t="s">
        <v>424</v>
      </c>
      <c r="H434" s="11" t="s">
        <v>2046</v>
      </c>
      <c r="I434" s="11" t="s">
        <v>2015</v>
      </c>
      <c r="J434" s="12">
        <v>7.29</v>
      </c>
    </row>
    <row r="435" spans="7:10" x14ac:dyDescent="0.3">
      <c r="G435" s="7" t="s">
        <v>425</v>
      </c>
      <c r="H435" s="8" t="s">
        <v>2038</v>
      </c>
      <c r="I435" s="8" t="s">
        <v>1988</v>
      </c>
      <c r="J435" s="9">
        <v>20.34</v>
      </c>
    </row>
    <row r="436" spans="7:10" x14ac:dyDescent="0.3">
      <c r="G436" s="10" t="s">
        <v>426</v>
      </c>
      <c r="H436" s="11" t="s">
        <v>2065</v>
      </c>
      <c r="I436" s="11" t="s">
        <v>2022</v>
      </c>
      <c r="J436" s="12">
        <v>10.93</v>
      </c>
    </row>
    <row r="437" spans="7:10" x14ac:dyDescent="0.3">
      <c r="G437" s="7" t="s">
        <v>427</v>
      </c>
      <c r="H437" s="8" t="s">
        <v>2053</v>
      </c>
      <c r="I437" s="8" t="s">
        <v>2005</v>
      </c>
      <c r="J437" s="9">
        <v>5.86</v>
      </c>
    </row>
    <row r="438" spans="7:10" x14ac:dyDescent="0.3">
      <c r="G438" s="10" t="s">
        <v>428</v>
      </c>
      <c r="H438" s="11" t="s">
        <v>2034</v>
      </c>
      <c r="I438" s="11" t="s">
        <v>1997</v>
      </c>
      <c r="J438" s="12">
        <v>14.06</v>
      </c>
    </row>
    <row r="439" spans="7:10" x14ac:dyDescent="0.3">
      <c r="G439" s="7" t="s">
        <v>429</v>
      </c>
      <c r="H439" s="8" t="s">
        <v>2069</v>
      </c>
      <c r="I439" s="8" t="s">
        <v>2031</v>
      </c>
      <c r="J439" s="9">
        <v>9.8000000000000007</v>
      </c>
    </row>
    <row r="440" spans="7:10" x14ac:dyDescent="0.3">
      <c r="G440" s="10" t="s">
        <v>430</v>
      </c>
      <c r="H440" s="11" t="s">
        <v>2034</v>
      </c>
      <c r="I440" s="11" t="s">
        <v>2017</v>
      </c>
      <c r="J440" s="12">
        <v>10.48</v>
      </c>
    </row>
    <row r="441" spans="7:10" x14ac:dyDescent="0.3">
      <c r="G441" s="7" t="s">
        <v>431</v>
      </c>
      <c r="H441" s="8" t="s">
        <v>2038</v>
      </c>
      <c r="I441" s="8" t="s">
        <v>1988</v>
      </c>
      <c r="J441" s="9">
        <v>9.0299999999999994</v>
      </c>
    </row>
    <row r="442" spans="7:10" x14ac:dyDescent="0.3">
      <c r="G442" s="10" t="s">
        <v>432</v>
      </c>
      <c r="H442" s="11" t="s">
        <v>2034</v>
      </c>
      <c r="I442" s="11" t="s">
        <v>1993</v>
      </c>
      <c r="J442" s="12">
        <v>14.25</v>
      </c>
    </row>
    <row r="443" spans="7:10" x14ac:dyDescent="0.3">
      <c r="G443" s="7" t="s">
        <v>433</v>
      </c>
      <c r="H443" s="8" t="s">
        <v>2034</v>
      </c>
      <c r="I443" s="8" t="s">
        <v>2026</v>
      </c>
      <c r="J443" s="9">
        <v>6.14</v>
      </c>
    </row>
    <row r="444" spans="7:10" x14ac:dyDescent="0.3">
      <c r="G444" s="10" t="s">
        <v>434</v>
      </c>
      <c r="H444" s="11" t="s">
        <v>2034</v>
      </c>
      <c r="I444" s="11" t="s">
        <v>2000</v>
      </c>
      <c r="J444" s="12">
        <v>38.42</v>
      </c>
    </row>
    <row r="445" spans="7:10" x14ac:dyDescent="0.3">
      <c r="G445" s="7" t="s">
        <v>435</v>
      </c>
      <c r="H445" s="8" t="s">
        <v>2035</v>
      </c>
      <c r="I445" s="8" t="s">
        <v>2029</v>
      </c>
      <c r="J445" s="9">
        <v>19.79</v>
      </c>
    </row>
    <row r="446" spans="7:10" x14ac:dyDescent="0.3">
      <c r="G446" s="10" t="s">
        <v>436</v>
      </c>
      <c r="H446" s="11" t="s">
        <v>2034</v>
      </c>
      <c r="I446" s="11" t="s">
        <v>1998</v>
      </c>
      <c r="J446" s="12">
        <v>7.48</v>
      </c>
    </row>
    <row r="447" spans="7:10" x14ac:dyDescent="0.3">
      <c r="G447" s="7" t="s">
        <v>437</v>
      </c>
      <c r="H447" s="8" t="s">
        <v>2035</v>
      </c>
      <c r="I447" s="8" t="s">
        <v>2017</v>
      </c>
      <c r="J447" s="9">
        <v>9.23</v>
      </c>
    </row>
    <row r="448" spans="7:10" x14ac:dyDescent="0.3">
      <c r="G448" s="10" t="s">
        <v>438</v>
      </c>
      <c r="H448" s="11" t="s">
        <v>2034</v>
      </c>
      <c r="I448" s="11" t="s">
        <v>2031</v>
      </c>
      <c r="J448" s="12">
        <v>10.11</v>
      </c>
    </row>
    <row r="449" spans="7:10" x14ac:dyDescent="0.3">
      <c r="G449" s="7" t="s">
        <v>439</v>
      </c>
      <c r="H449" s="8" t="s">
        <v>2040</v>
      </c>
      <c r="I449" s="8" t="s">
        <v>1993</v>
      </c>
      <c r="J449" s="9">
        <v>14.87</v>
      </c>
    </row>
    <row r="450" spans="7:10" x14ac:dyDescent="0.3">
      <c r="G450" s="10" t="s">
        <v>440</v>
      </c>
      <c r="H450" s="11" t="s">
        <v>2042</v>
      </c>
      <c r="I450" s="11" t="s">
        <v>1978</v>
      </c>
      <c r="J450" s="12">
        <v>12.18</v>
      </c>
    </row>
    <row r="451" spans="7:10" x14ac:dyDescent="0.3">
      <c r="G451" s="7" t="s">
        <v>441</v>
      </c>
      <c r="H451" s="8" t="s">
        <v>2034</v>
      </c>
      <c r="I451" s="8" t="s">
        <v>1993</v>
      </c>
      <c r="J451" s="9">
        <v>14.69</v>
      </c>
    </row>
    <row r="452" spans="7:10" x14ac:dyDescent="0.3">
      <c r="G452" s="10" t="s">
        <v>442</v>
      </c>
      <c r="H452" s="11" t="s">
        <v>2036</v>
      </c>
      <c r="I452" s="11" t="s">
        <v>2030</v>
      </c>
      <c r="J452" s="12">
        <v>17.079999999999998</v>
      </c>
    </row>
    <row r="453" spans="7:10" x14ac:dyDescent="0.3">
      <c r="G453" s="7" t="s">
        <v>443</v>
      </c>
      <c r="H453" s="8" t="s">
        <v>2034</v>
      </c>
      <c r="I453" s="8" t="s">
        <v>1998</v>
      </c>
      <c r="J453" s="9">
        <v>5.65</v>
      </c>
    </row>
    <row r="454" spans="7:10" x14ac:dyDescent="0.3">
      <c r="G454" s="10" t="s">
        <v>444</v>
      </c>
      <c r="H454" s="11" t="s">
        <v>2039</v>
      </c>
      <c r="I454" s="11" t="s">
        <v>2017</v>
      </c>
      <c r="J454" s="12">
        <v>15.27</v>
      </c>
    </row>
    <row r="455" spans="7:10" x14ac:dyDescent="0.3">
      <c r="G455" s="7" t="s">
        <v>445</v>
      </c>
      <c r="H455" s="8" t="s">
        <v>2034</v>
      </c>
      <c r="I455" s="8" t="s">
        <v>2031</v>
      </c>
      <c r="J455" s="9">
        <v>10.64</v>
      </c>
    </row>
    <row r="456" spans="7:10" x14ac:dyDescent="0.3">
      <c r="G456" s="10" t="s">
        <v>446</v>
      </c>
      <c r="H456" s="11" t="s">
        <v>2034</v>
      </c>
      <c r="I456" s="11" t="s">
        <v>2023</v>
      </c>
      <c r="J456" s="12">
        <v>16.02</v>
      </c>
    </row>
    <row r="457" spans="7:10" x14ac:dyDescent="0.3">
      <c r="G457" s="7" t="s">
        <v>447</v>
      </c>
      <c r="H457" s="8" t="s">
        <v>2034</v>
      </c>
      <c r="I457" s="8" t="s">
        <v>2017</v>
      </c>
      <c r="J457" s="9">
        <v>7.6</v>
      </c>
    </row>
    <row r="458" spans="7:10" x14ac:dyDescent="0.3">
      <c r="G458" s="10" t="s">
        <v>448</v>
      </c>
      <c r="H458" s="11" t="s">
        <v>2063</v>
      </c>
      <c r="I458" s="11" t="s">
        <v>2005</v>
      </c>
      <c r="J458" s="12">
        <v>16.350000000000001</v>
      </c>
    </row>
    <row r="459" spans="7:10" x14ac:dyDescent="0.3">
      <c r="G459" s="7" t="s">
        <v>449</v>
      </c>
      <c r="H459" s="8" t="s">
        <v>2047</v>
      </c>
      <c r="I459" s="8" t="s">
        <v>2000</v>
      </c>
      <c r="J459" s="9">
        <v>26.97</v>
      </c>
    </row>
    <row r="460" spans="7:10" x14ac:dyDescent="0.3">
      <c r="G460" s="10" t="s">
        <v>450</v>
      </c>
      <c r="H460" s="11" t="s">
        <v>2034</v>
      </c>
      <c r="I460" s="11" t="s">
        <v>2001</v>
      </c>
      <c r="J460" s="12">
        <v>19.13</v>
      </c>
    </row>
    <row r="461" spans="7:10" x14ac:dyDescent="0.3">
      <c r="G461" s="7" t="s">
        <v>451</v>
      </c>
      <c r="H461" s="8" t="s">
        <v>2069</v>
      </c>
      <c r="I461" s="8" t="s">
        <v>1979</v>
      </c>
      <c r="J461" s="9">
        <v>5.36</v>
      </c>
    </row>
    <row r="462" spans="7:10" x14ac:dyDescent="0.3">
      <c r="G462" s="10" t="s">
        <v>452</v>
      </c>
      <c r="H462" s="11" t="s">
        <v>2034</v>
      </c>
      <c r="I462" s="11" t="s">
        <v>1993</v>
      </c>
      <c r="J462" s="12">
        <v>12.64</v>
      </c>
    </row>
    <row r="463" spans="7:10" x14ac:dyDescent="0.3">
      <c r="G463" s="7" t="s">
        <v>453</v>
      </c>
      <c r="H463" s="8" t="s">
        <v>2054</v>
      </c>
      <c r="I463" s="8" t="s">
        <v>2028</v>
      </c>
      <c r="J463" s="9">
        <v>7.95</v>
      </c>
    </row>
    <row r="464" spans="7:10" x14ac:dyDescent="0.3">
      <c r="G464" s="10" t="s">
        <v>454</v>
      </c>
      <c r="H464" s="11" t="s">
        <v>2052</v>
      </c>
      <c r="I464" s="11" t="s">
        <v>2028</v>
      </c>
      <c r="J464" s="12">
        <v>7.86</v>
      </c>
    </row>
    <row r="465" spans="7:10" x14ac:dyDescent="0.3">
      <c r="G465" s="7" t="s">
        <v>455</v>
      </c>
      <c r="H465" s="8" t="s">
        <v>2038</v>
      </c>
      <c r="I465" s="8" t="s">
        <v>1993</v>
      </c>
      <c r="J465" s="9">
        <v>12.93</v>
      </c>
    </row>
    <row r="466" spans="7:10" x14ac:dyDescent="0.3">
      <c r="G466" s="10" t="s">
        <v>456</v>
      </c>
      <c r="H466" s="11" t="s">
        <v>2034</v>
      </c>
      <c r="I466" s="11" t="s">
        <v>2001</v>
      </c>
      <c r="J466" s="12">
        <v>18.71</v>
      </c>
    </row>
    <row r="467" spans="7:10" x14ac:dyDescent="0.3">
      <c r="G467" s="7" t="s">
        <v>457</v>
      </c>
      <c r="H467" s="8" t="s">
        <v>2061</v>
      </c>
      <c r="I467" s="8" t="s">
        <v>2031</v>
      </c>
      <c r="J467" s="9">
        <v>5.38</v>
      </c>
    </row>
    <row r="468" spans="7:10" x14ac:dyDescent="0.3">
      <c r="G468" s="10" t="s">
        <v>458</v>
      </c>
      <c r="H468" s="11" t="s">
        <v>2034</v>
      </c>
      <c r="I468" s="11" t="s">
        <v>1998</v>
      </c>
      <c r="J468" s="12">
        <v>4.46</v>
      </c>
    </row>
    <row r="469" spans="7:10" x14ac:dyDescent="0.3">
      <c r="G469" s="7" t="s">
        <v>459</v>
      </c>
      <c r="H469" s="8" t="s">
        <v>2034</v>
      </c>
      <c r="I469" s="8" t="s">
        <v>2001</v>
      </c>
      <c r="J469" s="9">
        <v>8.26</v>
      </c>
    </row>
    <row r="470" spans="7:10" x14ac:dyDescent="0.3">
      <c r="G470" s="10" t="s">
        <v>460</v>
      </c>
      <c r="H470" s="11" t="s">
        <v>2040</v>
      </c>
      <c r="I470" s="11" t="s">
        <v>1993</v>
      </c>
      <c r="J470" s="12">
        <v>9.86</v>
      </c>
    </row>
    <row r="471" spans="7:10" x14ac:dyDescent="0.3">
      <c r="G471" s="7" t="s">
        <v>461</v>
      </c>
      <c r="H471" s="8" t="s">
        <v>2043</v>
      </c>
      <c r="I471" s="8" t="s">
        <v>1979</v>
      </c>
      <c r="J471" s="9">
        <v>5.14</v>
      </c>
    </row>
    <row r="472" spans="7:10" x14ac:dyDescent="0.3">
      <c r="G472" s="10" t="s">
        <v>462</v>
      </c>
      <c r="H472" s="11" t="s">
        <v>2034</v>
      </c>
      <c r="I472" s="11" t="s">
        <v>2000</v>
      </c>
      <c r="J472" s="12">
        <v>41.21</v>
      </c>
    </row>
    <row r="473" spans="7:10" x14ac:dyDescent="0.3">
      <c r="G473" s="7" t="s">
        <v>463</v>
      </c>
      <c r="H473" s="8" t="s">
        <v>2034</v>
      </c>
      <c r="I473" s="8" t="s">
        <v>2005</v>
      </c>
      <c r="J473" s="9">
        <v>5.45</v>
      </c>
    </row>
    <row r="474" spans="7:10" x14ac:dyDescent="0.3">
      <c r="G474" s="10" t="s">
        <v>464</v>
      </c>
      <c r="H474" s="11" t="s">
        <v>2034</v>
      </c>
      <c r="I474" s="11" t="s">
        <v>2001</v>
      </c>
      <c r="J474" s="12">
        <v>10.18</v>
      </c>
    </row>
    <row r="475" spans="7:10" x14ac:dyDescent="0.3">
      <c r="G475" s="7" t="s">
        <v>465</v>
      </c>
      <c r="H475" s="8" t="s">
        <v>2065</v>
      </c>
      <c r="I475" s="8" t="s">
        <v>2028</v>
      </c>
      <c r="J475" s="9">
        <v>5.74</v>
      </c>
    </row>
    <row r="476" spans="7:10" x14ac:dyDescent="0.3">
      <c r="G476" s="10" t="s">
        <v>466</v>
      </c>
      <c r="H476" s="11" t="s">
        <v>2034</v>
      </c>
      <c r="I476" s="11" t="s">
        <v>2025</v>
      </c>
      <c r="J476" s="12">
        <v>7.07</v>
      </c>
    </row>
    <row r="477" spans="7:10" x14ac:dyDescent="0.3">
      <c r="G477" s="7" t="s">
        <v>467</v>
      </c>
      <c r="H477" s="8" t="s">
        <v>2034</v>
      </c>
      <c r="I477" s="8" t="s">
        <v>2026</v>
      </c>
      <c r="J477" s="9">
        <v>5.26</v>
      </c>
    </row>
    <row r="478" spans="7:10" x14ac:dyDescent="0.3">
      <c r="G478" s="10" t="s">
        <v>468</v>
      </c>
      <c r="H478" s="11" t="s">
        <v>2034</v>
      </c>
      <c r="I478" s="11" t="s">
        <v>2022</v>
      </c>
      <c r="J478" s="12">
        <v>31.17</v>
      </c>
    </row>
    <row r="479" spans="7:10" x14ac:dyDescent="0.3">
      <c r="G479" s="7" t="s">
        <v>469</v>
      </c>
      <c r="H479" s="8" t="s">
        <v>2053</v>
      </c>
      <c r="I479" s="8" t="s">
        <v>2022</v>
      </c>
      <c r="J479" s="9">
        <v>4.58</v>
      </c>
    </row>
    <row r="480" spans="7:10" x14ac:dyDescent="0.3">
      <c r="G480" s="10" t="s">
        <v>470</v>
      </c>
      <c r="H480" s="11" t="s">
        <v>2034</v>
      </c>
      <c r="I480" s="11" t="s">
        <v>1993</v>
      </c>
      <c r="J480" s="12">
        <v>13.87</v>
      </c>
    </row>
    <row r="481" spans="7:10" x14ac:dyDescent="0.3">
      <c r="G481" s="7" t="s">
        <v>471</v>
      </c>
      <c r="H481" s="8" t="s">
        <v>2066</v>
      </c>
      <c r="I481" s="8" t="s">
        <v>1979</v>
      </c>
      <c r="J481" s="9">
        <v>3.79</v>
      </c>
    </row>
    <row r="482" spans="7:10" x14ac:dyDescent="0.3">
      <c r="G482" s="10" t="s">
        <v>472</v>
      </c>
      <c r="H482" s="11" t="s">
        <v>2041</v>
      </c>
      <c r="I482" s="11" t="s">
        <v>1998</v>
      </c>
      <c r="J482" s="12">
        <v>11.58</v>
      </c>
    </row>
    <row r="483" spans="7:10" x14ac:dyDescent="0.3">
      <c r="G483" s="7" t="s">
        <v>473</v>
      </c>
      <c r="H483" s="8" t="s">
        <v>2040</v>
      </c>
      <c r="I483" s="8" t="s">
        <v>2022</v>
      </c>
      <c r="J483" s="9">
        <v>17.05</v>
      </c>
    </row>
    <row r="484" spans="7:10" x14ac:dyDescent="0.3">
      <c r="G484" s="10" t="s">
        <v>474</v>
      </c>
      <c r="H484" s="11" t="s">
        <v>2035</v>
      </c>
      <c r="I484" s="11" t="s">
        <v>1979</v>
      </c>
      <c r="J484" s="12">
        <v>7.24</v>
      </c>
    </row>
    <row r="485" spans="7:10" x14ac:dyDescent="0.3">
      <c r="G485" s="7" t="s">
        <v>475</v>
      </c>
      <c r="H485" s="8" t="s">
        <v>2038</v>
      </c>
      <c r="I485" s="8" t="s">
        <v>1997</v>
      </c>
      <c r="J485" s="9">
        <v>22.07</v>
      </c>
    </row>
    <row r="486" spans="7:10" x14ac:dyDescent="0.3">
      <c r="G486" s="10" t="s">
        <v>476</v>
      </c>
      <c r="H486" s="11" t="s">
        <v>2041</v>
      </c>
      <c r="I486" s="11" t="s">
        <v>2030</v>
      </c>
      <c r="J486" s="12">
        <v>23.02</v>
      </c>
    </row>
    <row r="487" spans="7:10" x14ac:dyDescent="0.3">
      <c r="G487" s="7" t="s">
        <v>477</v>
      </c>
      <c r="H487" s="8" t="s">
        <v>2051</v>
      </c>
      <c r="I487" s="8" t="s">
        <v>1992</v>
      </c>
      <c r="J487" s="9">
        <v>10.55</v>
      </c>
    </row>
    <row r="488" spans="7:10" x14ac:dyDescent="0.3">
      <c r="G488" s="10" t="s">
        <v>478</v>
      </c>
      <c r="H488" s="11" t="s">
        <v>2034</v>
      </c>
      <c r="I488" s="11" t="s">
        <v>2027</v>
      </c>
      <c r="J488" s="12">
        <v>9.15</v>
      </c>
    </row>
    <row r="489" spans="7:10" x14ac:dyDescent="0.3">
      <c r="G489" s="7" t="s">
        <v>479</v>
      </c>
      <c r="H489" s="8" t="s">
        <v>2038</v>
      </c>
      <c r="I489" s="8" t="s">
        <v>1987</v>
      </c>
      <c r="J489" s="9">
        <v>13.39</v>
      </c>
    </row>
    <row r="490" spans="7:10" x14ac:dyDescent="0.3">
      <c r="G490" s="10" t="s">
        <v>480</v>
      </c>
      <c r="H490" s="11" t="s">
        <v>2035</v>
      </c>
      <c r="I490" s="11" t="s">
        <v>2023</v>
      </c>
      <c r="J490" s="12">
        <v>14.42</v>
      </c>
    </row>
    <row r="491" spans="7:10" x14ac:dyDescent="0.3">
      <c r="G491" s="7" t="s">
        <v>481</v>
      </c>
      <c r="H491" s="8" t="s">
        <v>2038</v>
      </c>
      <c r="I491" s="8" t="s">
        <v>1979</v>
      </c>
      <c r="J491" s="9">
        <v>4.28</v>
      </c>
    </row>
    <row r="492" spans="7:10" x14ac:dyDescent="0.3">
      <c r="G492" s="10" t="s">
        <v>482</v>
      </c>
      <c r="H492" s="11" t="s">
        <v>2038</v>
      </c>
      <c r="I492" s="11" t="s">
        <v>2031</v>
      </c>
      <c r="J492" s="12">
        <v>11.11</v>
      </c>
    </row>
    <row r="493" spans="7:10" x14ac:dyDescent="0.3">
      <c r="G493" s="7" t="s">
        <v>483</v>
      </c>
      <c r="H493" s="8" t="s">
        <v>2038</v>
      </c>
      <c r="I493" s="8" t="s">
        <v>2029</v>
      </c>
      <c r="J493" s="9">
        <v>28.4</v>
      </c>
    </row>
    <row r="494" spans="7:10" x14ac:dyDescent="0.3">
      <c r="G494" s="10" t="s">
        <v>484</v>
      </c>
      <c r="H494" s="11" t="s">
        <v>2040</v>
      </c>
      <c r="I494" s="11" t="s">
        <v>2031</v>
      </c>
      <c r="J494" s="12">
        <v>8.5</v>
      </c>
    </row>
    <row r="495" spans="7:10" x14ac:dyDescent="0.3">
      <c r="G495" s="7" t="s">
        <v>485</v>
      </c>
      <c r="H495" s="8" t="s">
        <v>2035</v>
      </c>
      <c r="I495" s="8" t="s">
        <v>2023</v>
      </c>
      <c r="J495" s="9">
        <v>14.58</v>
      </c>
    </row>
    <row r="496" spans="7:10" x14ac:dyDescent="0.3">
      <c r="G496" s="10" t="s">
        <v>486</v>
      </c>
      <c r="H496" s="11" t="s">
        <v>2035</v>
      </c>
      <c r="I496" s="11" t="s">
        <v>1978</v>
      </c>
      <c r="J496" s="12">
        <v>11.35</v>
      </c>
    </row>
    <row r="497" spans="7:10" x14ac:dyDescent="0.3">
      <c r="G497" s="7" t="s">
        <v>487</v>
      </c>
      <c r="H497" s="8" t="s">
        <v>2038</v>
      </c>
      <c r="I497" s="8" t="s">
        <v>1988</v>
      </c>
      <c r="J497" s="9">
        <v>12.09</v>
      </c>
    </row>
    <row r="498" spans="7:10" x14ac:dyDescent="0.3">
      <c r="G498" s="10" t="s">
        <v>488</v>
      </c>
      <c r="H498" s="11" t="s">
        <v>2034</v>
      </c>
      <c r="I498" s="11" t="s">
        <v>2001</v>
      </c>
      <c r="J498" s="12">
        <v>14.35</v>
      </c>
    </row>
    <row r="499" spans="7:10" x14ac:dyDescent="0.3">
      <c r="G499" s="7" t="s">
        <v>489</v>
      </c>
      <c r="H499" s="8" t="s">
        <v>2052</v>
      </c>
      <c r="I499" s="8" t="s">
        <v>1979</v>
      </c>
      <c r="J499" s="9">
        <v>2.76</v>
      </c>
    </row>
    <row r="500" spans="7:10" x14ac:dyDescent="0.3">
      <c r="G500" s="10" t="s">
        <v>490</v>
      </c>
      <c r="H500" s="11" t="s">
        <v>2039</v>
      </c>
      <c r="I500" s="11" t="s">
        <v>2031</v>
      </c>
      <c r="J500" s="12">
        <v>33.479999999999997</v>
      </c>
    </row>
    <row r="501" spans="7:10" x14ac:dyDescent="0.3">
      <c r="G501" s="7" t="s">
        <v>491</v>
      </c>
      <c r="H501" s="8" t="s">
        <v>2038</v>
      </c>
      <c r="I501" s="8" t="s">
        <v>1998</v>
      </c>
      <c r="J501" s="9">
        <v>4.8499999999999996</v>
      </c>
    </row>
    <row r="502" spans="7:10" x14ac:dyDescent="0.3">
      <c r="G502" s="10" t="s">
        <v>492</v>
      </c>
      <c r="H502" s="11" t="s">
        <v>2034</v>
      </c>
      <c r="I502" s="11" t="s">
        <v>2023</v>
      </c>
      <c r="J502" s="12">
        <v>13.4</v>
      </c>
    </row>
    <row r="503" spans="7:10" x14ac:dyDescent="0.3">
      <c r="G503" s="7" t="s">
        <v>493</v>
      </c>
      <c r="H503" s="8" t="s">
        <v>2034</v>
      </c>
      <c r="I503" s="8" t="s">
        <v>2026</v>
      </c>
      <c r="J503" s="9">
        <v>14.61</v>
      </c>
    </row>
    <row r="504" spans="7:10" x14ac:dyDescent="0.3">
      <c r="G504" s="10" t="s">
        <v>494</v>
      </c>
      <c r="H504" s="11" t="s">
        <v>2038</v>
      </c>
      <c r="I504" s="11" t="s">
        <v>1998</v>
      </c>
      <c r="J504" s="12">
        <v>7.23</v>
      </c>
    </row>
    <row r="505" spans="7:10" x14ac:dyDescent="0.3">
      <c r="G505" s="7" t="s">
        <v>495</v>
      </c>
      <c r="H505" s="8" t="s">
        <v>2034</v>
      </c>
      <c r="I505" s="8" t="s">
        <v>2023</v>
      </c>
      <c r="J505" s="9">
        <v>16.079999999999998</v>
      </c>
    </row>
    <row r="506" spans="7:10" x14ac:dyDescent="0.3">
      <c r="G506" s="10" t="s">
        <v>496</v>
      </c>
      <c r="H506" s="11" t="s">
        <v>2040</v>
      </c>
      <c r="I506" s="11" t="s">
        <v>2001</v>
      </c>
      <c r="J506" s="12">
        <v>15.02</v>
      </c>
    </row>
    <row r="507" spans="7:10" x14ac:dyDescent="0.3">
      <c r="G507" s="7" t="s">
        <v>497</v>
      </c>
      <c r="H507" s="8" t="s">
        <v>2047</v>
      </c>
      <c r="I507" s="8" t="s">
        <v>2031</v>
      </c>
      <c r="J507" s="9">
        <v>5.27</v>
      </c>
    </row>
    <row r="508" spans="7:10" x14ac:dyDescent="0.3">
      <c r="G508" s="10" t="s">
        <v>498</v>
      </c>
      <c r="H508" s="11" t="s">
        <v>2044</v>
      </c>
      <c r="I508" s="11" t="s">
        <v>2031</v>
      </c>
      <c r="J508" s="12">
        <v>7.5</v>
      </c>
    </row>
    <row r="509" spans="7:10" x14ac:dyDescent="0.3">
      <c r="G509" s="7" t="s">
        <v>499</v>
      </c>
      <c r="H509" s="8" t="s">
        <v>2034</v>
      </c>
      <c r="I509" s="8" t="s">
        <v>2022</v>
      </c>
      <c r="J509" s="9">
        <v>5.92</v>
      </c>
    </row>
    <row r="510" spans="7:10" x14ac:dyDescent="0.3">
      <c r="G510" s="10" t="s">
        <v>500</v>
      </c>
      <c r="H510" s="11" t="s">
        <v>2038</v>
      </c>
      <c r="I510" s="11" t="s">
        <v>2017</v>
      </c>
      <c r="J510" s="12">
        <v>13.29</v>
      </c>
    </row>
    <row r="511" spans="7:10" x14ac:dyDescent="0.3">
      <c r="G511" s="7" t="s">
        <v>501</v>
      </c>
      <c r="H511" s="8" t="s">
        <v>2034</v>
      </c>
      <c r="I511" s="8" t="s">
        <v>2017</v>
      </c>
      <c r="J511" s="9">
        <v>6.61</v>
      </c>
    </row>
    <row r="512" spans="7:10" x14ac:dyDescent="0.3">
      <c r="G512" s="10" t="s">
        <v>502</v>
      </c>
      <c r="H512" s="11" t="s">
        <v>2034</v>
      </c>
      <c r="I512" s="11" t="s">
        <v>2015</v>
      </c>
      <c r="J512" s="12">
        <v>8.2899999999999991</v>
      </c>
    </row>
    <row r="513" spans="7:10" x14ac:dyDescent="0.3">
      <c r="G513" s="7" t="s">
        <v>503</v>
      </c>
      <c r="H513" s="8" t="s">
        <v>2034</v>
      </c>
      <c r="I513" s="8" t="s">
        <v>2005</v>
      </c>
      <c r="J513" s="9">
        <v>11.65</v>
      </c>
    </row>
    <row r="514" spans="7:10" x14ac:dyDescent="0.3">
      <c r="G514" s="10" t="s">
        <v>504</v>
      </c>
      <c r="H514" s="11" t="s">
        <v>2037</v>
      </c>
      <c r="I514" s="11" t="s">
        <v>2015</v>
      </c>
      <c r="J514" s="12">
        <v>6.36</v>
      </c>
    </row>
    <row r="515" spans="7:10" x14ac:dyDescent="0.3">
      <c r="G515" s="7" t="s">
        <v>505</v>
      </c>
      <c r="H515" s="8" t="s">
        <v>2034</v>
      </c>
      <c r="I515" s="8" t="s">
        <v>2031</v>
      </c>
      <c r="J515" s="9">
        <v>12.58</v>
      </c>
    </row>
    <row r="516" spans="7:10" x14ac:dyDescent="0.3">
      <c r="G516" s="10" t="s">
        <v>506</v>
      </c>
      <c r="H516" s="11" t="s">
        <v>2069</v>
      </c>
      <c r="I516" s="11" t="s">
        <v>2028</v>
      </c>
      <c r="J516" s="12">
        <v>8.17</v>
      </c>
    </row>
    <row r="517" spans="7:10" x14ac:dyDescent="0.3">
      <c r="G517" s="7" t="s">
        <v>507</v>
      </c>
      <c r="H517" s="8" t="s">
        <v>2034</v>
      </c>
      <c r="I517" s="8" t="s">
        <v>2017</v>
      </c>
      <c r="J517" s="9">
        <v>13.16</v>
      </c>
    </row>
    <row r="518" spans="7:10" x14ac:dyDescent="0.3">
      <c r="G518" s="10" t="s">
        <v>508</v>
      </c>
      <c r="H518" s="11" t="s">
        <v>2038</v>
      </c>
      <c r="I518" s="11" t="s">
        <v>1986</v>
      </c>
      <c r="J518" s="12">
        <v>11.02</v>
      </c>
    </row>
    <row r="519" spans="7:10" x14ac:dyDescent="0.3">
      <c r="G519" s="7" t="s">
        <v>509</v>
      </c>
      <c r="H519" s="8" t="s">
        <v>2034</v>
      </c>
      <c r="I519" s="8" t="s">
        <v>1998</v>
      </c>
      <c r="J519" s="9">
        <v>4.3</v>
      </c>
    </row>
    <row r="520" spans="7:10" x14ac:dyDescent="0.3">
      <c r="G520" s="10" t="s">
        <v>510</v>
      </c>
      <c r="H520" s="11" t="s">
        <v>2070</v>
      </c>
      <c r="I520" s="11" t="s">
        <v>1979</v>
      </c>
      <c r="J520" s="12">
        <v>4.4800000000000004</v>
      </c>
    </row>
    <row r="521" spans="7:10" x14ac:dyDescent="0.3">
      <c r="G521" s="7" t="s">
        <v>511</v>
      </c>
      <c r="H521" s="8" t="s">
        <v>2041</v>
      </c>
      <c r="I521" s="8" t="s">
        <v>1987</v>
      </c>
      <c r="J521" s="9">
        <v>17.68</v>
      </c>
    </row>
    <row r="522" spans="7:10" x14ac:dyDescent="0.3">
      <c r="G522" s="10" t="s">
        <v>512</v>
      </c>
      <c r="H522" s="11" t="s">
        <v>2038</v>
      </c>
      <c r="I522" s="11" t="s">
        <v>2015</v>
      </c>
      <c r="J522" s="12">
        <v>13.47</v>
      </c>
    </row>
    <row r="523" spans="7:10" x14ac:dyDescent="0.3">
      <c r="G523" s="7" t="s">
        <v>513</v>
      </c>
      <c r="H523" s="8" t="s">
        <v>2035</v>
      </c>
      <c r="I523" s="8" t="s">
        <v>1979</v>
      </c>
      <c r="J523" s="9">
        <v>5.58</v>
      </c>
    </row>
    <row r="524" spans="7:10" x14ac:dyDescent="0.3">
      <c r="G524" s="10" t="s">
        <v>514</v>
      </c>
      <c r="H524" s="11" t="s">
        <v>2038</v>
      </c>
      <c r="I524" s="11" t="s">
        <v>1997</v>
      </c>
      <c r="J524" s="12">
        <v>11.58</v>
      </c>
    </row>
    <row r="525" spans="7:10" x14ac:dyDescent="0.3">
      <c r="G525" s="7" t="s">
        <v>515</v>
      </c>
      <c r="H525" s="8" t="s">
        <v>2039</v>
      </c>
      <c r="I525" s="8" t="s">
        <v>2030</v>
      </c>
      <c r="J525" s="9">
        <v>24.71</v>
      </c>
    </row>
    <row r="526" spans="7:10" x14ac:dyDescent="0.3">
      <c r="G526" s="10" t="s">
        <v>516</v>
      </c>
      <c r="H526" s="11" t="s">
        <v>2038</v>
      </c>
      <c r="I526" s="11" t="s">
        <v>1987</v>
      </c>
      <c r="J526" s="12">
        <v>9.17</v>
      </c>
    </row>
    <row r="527" spans="7:10" x14ac:dyDescent="0.3">
      <c r="G527" s="7" t="s">
        <v>517</v>
      </c>
      <c r="H527" s="8" t="s">
        <v>2064</v>
      </c>
      <c r="I527" s="8" t="s">
        <v>1998</v>
      </c>
      <c r="J527" s="9">
        <v>8.5500000000000007</v>
      </c>
    </row>
    <row r="528" spans="7:10" x14ac:dyDescent="0.3">
      <c r="G528" s="10" t="s">
        <v>518</v>
      </c>
      <c r="H528" s="11" t="s">
        <v>2034</v>
      </c>
      <c r="I528" s="11" t="s">
        <v>2023</v>
      </c>
      <c r="J528" s="12">
        <v>4.55</v>
      </c>
    </row>
    <row r="529" spans="7:10" x14ac:dyDescent="0.3">
      <c r="G529" s="7" t="s">
        <v>519</v>
      </c>
      <c r="H529" s="8" t="s">
        <v>2045</v>
      </c>
      <c r="I529" s="8" t="s">
        <v>2015</v>
      </c>
      <c r="J529" s="9">
        <v>4.74</v>
      </c>
    </row>
    <row r="530" spans="7:10" x14ac:dyDescent="0.3">
      <c r="G530" s="10" t="s">
        <v>520</v>
      </c>
      <c r="H530" s="11" t="s">
        <v>2034</v>
      </c>
      <c r="I530" s="11" t="s">
        <v>1997</v>
      </c>
      <c r="J530" s="12">
        <v>192.6</v>
      </c>
    </row>
    <row r="531" spans="7:10" x14ac:dyDescent="0.3">
      <c r="G531" s="7" t="s">
        <v>521</v>
      </c>
      <c r="H531" s="8" t="s">
        <v>2041</v>
      </c>
      <c r="I531" s="8" t="s">
        <v>1997</v>
      </c>
      <c r="J531" s="9">
        <v>7.97</v>
      </c>
    </row>
    <row r="532" spans="7:10" x14ac:dyDescent="0.3">
      <c r="G532" s="10" t="s">
        <v>522</v>
      </c>
      <c r="H532" s="11" t="s">
        <v>2066</v>
      </c>
      <c r="I532" s="11" t="s">
        <v>1979</v>
      </c>
      <c r="J532" s="12">
        <v>4.3499999999999996</v>
      </c>
    </row>
    <row r="533" spans="7:10" x14ac:dyDescent="0.3">
      <c r="G533" s="7" t="s">
        <v>523</v>
      </c>
      <c r="H533" s="8" t="s">
        <v>2047</v>
      </c>
      <c r="I533" s="8" t="s">
        <v>1979</v>
      </c>
      <c r="J533" s="9">
        <v>15.84</v>
      </c>
    </row>
    <row r="534" spans="7:10" x14ac:dyDescent="0.3">
      <c r="G534" s="10" t="s">
        <v>524</v>
      </c>
      <c r="H534" s="11" t="s">
        <v>2034</v>
      </c>
      <c r="I534" s="11" t="s">
        <v>2015</v>
      </c>
      <c r="J534" s="12">
        <v>12.7</v>
      </c>
    </row>
    <row r="535" spans="7:10" x14ac:dyDescent="0.3">
      <c r="G535" s="7" t="s">
        <v>525</v>
      </c>
      <c r="H535" s="8" t="s">
        <v>2064</v>
      </c>
      <c r="I535" s="8" t="s">
        <v>1979</v>
      </c>
      <c r="J535" s="9">
        <v>4.0999999999999996</v>
      </c>
    </row>
    <row r="536" spans="7:10" x14ac:dyDescent="0.3">
      <c r="G536" s="10" t="s">
        <v>526</v>
      </c>
      <c r="H536" s="11" t="s">
        <v>1975</v>
      </c>
      <c r="I536" s="11" t="s">
        <v>1979</v>
      </c>
      <c r="J536" s="12">
        <v>4.37</v>
      </c>
    </row>
    <row r="537" spans="7:10" x14ac:dyDescent="0.3">
      <c r="G537" s="7" t="s">
        <v>527</v>
      </c>
      <c r="H537" s="8" t="s">
        <v>2047</v>
      </c>
      <c r="I537" s="8" t="s">
        <v>1997</v>
      </c>
      <c r="J537" s="9">
        <v>22.25</v>
      </c>
    </row>
    <row r="538" spans="7:10" x14ac:dyDescent="0.3">
      <c r="G538" s="10" t="s">
        <v>528</v>
      </c>
      <c r="H538" s="11" t="s">
        <v>2034</v>
      </c>
      <c r="I538" s="11" t="s">
        <v>1987</v>
      </c>
      <c r="J538" s="12">
        <v>7.98</v>
      </c>
    </row>
    <row r="539" spans="7:10" x14ac:dyDescent="0.3">
      <c r="G539" s="7" t="s">
        <v>529</v>
      </c>
      <c r="H539" s="8" t="s">
        <v>2047</v>
      </c>
      <c r="I539" s="8" t="s">
        <v>2015</v>
      </c>
      <c r="J539" s="9">
        <v>8.4600000000000009</v>
      </c>
    </row>
    <row r="540" spans="7:10" x14ac:dyDescent="0.3">
      <c r="G540" s="10" t="s">
        <v>530</v>
      </c>
      <c r="H540" s="11" t="s">
        <v>2055</v>
      </c>
      <c r="I540" s="11" t="s">
        <v>2031</v>
      </c>
      <c r="J540" s="12">
        <v>4.72</v>
      </c>
    </row>
    <row r="541" spans="7:10" x14ac:dyDescent="0.3">
      <c r="G541" s="7" t="s">
        <v>2008</v>
      </c>
      <c r="H541" s="8" t="s">
        <v>2045</v>
      </c>
      <c r="I541" s="8" t="s">
        <v>2005</v>
      </c>
      <c r="J541" s="9">
        <v>7.3</v>
      </c>
    </row>
    <row r="542" spans="7:10" x14ac:dyDescent="0.3">
      <c r="G542" s="10" t="s">
        <v>531</v>
      </c>
      <c r="H542" s="11" t="s">
        <v>2047</v>
      </c>
      <c r="I542" s="11" t="s">
        <v>1979</v>
      </c>
      <c r="J542" s="12">
        <v>4.5199999999999996</v>
      </c>
    </row>
    <row r="543" spans="7:10" x14ac:dyDescent="0.3">
      <c r="G543" s="7" t="s">
        <v>532</v>
      </c>
      <c r="H543" s="8" t="s">
        <v>2034</v>
      </c>
      <c r="I543" s="8" t="s">
        <v>2005</v>
      </c>
      <c r="J543" s="9">
        <v>10.44</v>
      </c>
    </row>
    <row r="544" spans="7:10" x14ac:dyDescent="0.3">
      <c r="G544" s="10" t="s">
        <v>533</v>
      </c>
      <c r="H544" s="11" t="s">
        <v>2071</v>
      </c>
      <c r="I544" s="11" t="s">
        <v>2022</v>
      </c>
      <c r="J544" s="12">
        <v>11.45</v>
      </c>
    </row>
    <row r="545" spans="7:10" x14ac:dyDescent="0.3">
      <c r="G545" s="7" t="s">
        <v>534</v>
      </c>
      <c r="H545" s="8" t="s">
        <v>2038</v>
      </c>
      <c r="I545" s="8" t="s">
        <v>1998</v>
      </c>
      <c r="J545" s="9">
        <v>10.37</v>
      </c>
    </row>
    <row r="546" spans="7:10" x14ac:dyDescent="0.3">
      <c r="G546" s="10" t="s">
        <v>535</v>
      </c>
      <c r="H546" s="11" t="s">
        <v>1975</v>
      </c>
      <c r="I546" s="11" t="s">
        <v>2005</v>
      </c>
      <c r="J546" s="12">
        <v>4.4800000000000004</v>
      </c>
    </row>
    <row r="547" spans="7:10" x14ac:dyDescent="0.3">
      <c r="G547" s="7" t="s">
        <v>536</v>
      </c>
      <c r="H547" s="8" t="s">
        <v>2062</v>
      </c>
      <c r="I547" s="8" t="s">
        <v>2005</v>
      </c>
      <c r="J547" s="9">
        <v>8.64</v>
      </c>
    </row>
    <row r="548" spans="7:10" x14ac:dyDescent="0.3">
      <c r="G548" s="10" t="s">
        <v>537</v>
      </c>
      <c r="H548" s="11" t="s">
        <v>2041</v>
      </c>
      <c r="I548" s="11" t="s">
        <v>1988</v>
      </c>
      <c r="J548" s="12">
        <v>15.26</v>
      </c>
    </row>
    <row r="549" spans="7:10" x14ac:dyDescent="0.3">
      <c r="G549" s="7" t="s">
        <v>538</v>
      </c>
      <c r="H549" s="8" t="s">
        <v>2038</v>
      </c>
      <c r="I549" s="8" t="s">
        <v>2030</v>
      </c>
      <c r="J549" s="9">
        <v>11.39</v>
      </c>
    </row>
    <row r="550" spans="7:10" x14ac:dyDescent="0.3">
      <c r="G550" s="10" t="s">
        <v>539</v>
      </c>
      <c r="H550" s="11" t="s">
        <v>2034</v>
      </c>
      <c r="I550" s="11" t="s">
        <v>1979</v>
      </c>
      <c r="J550" s="12">
        <v>3.74</v>
      </c>
    </row>
    <row r="551" spans="7:10" x14ac:dyDescent="0.3">
      <c r="G551" s="7" t="s">
        <v>540</v>
      </c>
      <c r="H551" s="8" t="s">
        <v>2050</v>
      </c>
      <c r="I551" s="8" t="s">
        <v>1988</v>
      </c>
      <c r="J551" s="9">
        <v>10.119999999999999</v>
      </c>
    </row>
    <row r="552" spans="7:10" x14ac:dyDescent="0.3">
      <c r="G552" s="10" t="s">
        <v>541</v>
      </c>
      <c r="H552" s="11" t="s">
        <v>2042</v>
      </c>
      <c r="I552" s="11" t="s">
        <v>1997</v>
      </c>
      <c r="J552" s="12">
        <v>63.08</v>
      </c>
    </row>
    <row r="553" spans="7:10" x14ac:dyDescent="0.3">
      <c r="G553" s="7" t="s">
        <v>542</v>
      </c>
      <c r="H553" s="8" t="s">
        <v>2034</v>
      </c>
      <c r="I553" s="8" t="s">
        <v>1979</v>
      </c>
      <c r="J553" s="9">
        <v>3.48</v>
      </c>
    </row>
    <row r="554" spans="7:10" x14ac:dyDescent="0.3">
      <c r="G554" s="10" t="s">
        <v>543</v>
      </c>
      <c r="H554" s="11" t="s">
        <v>2041</v>
      </c>
      <c r="I554" s="11" t="s">
        <v>1987</v>
      </c>
      <c r="J554" s="12">
        <v>11.23</v>
      </c>
    </row>
    <row r="555" spans="7:10" x14ac:dyDescent="0.3">
      <c r="G555" s="7" t="s">
        <v>544</v>
      </c>
      <c r="H555" s="8" t="s">
        <v>2042</v>
      </c>
      <c r="I555" s="8" t="s">
        <v>2005</v>
      </c>
      <c r="J555" s="9">
        <v>14.13</v>
      </c>
    </row>
    <row r="556" spans="7:10" x14ac:dyDescent="0.3">
      <c r="G556" s="10" t="s">
        <v>545</v>
      </c>
      <c r="H556" s="11" t="s">
        <v>2038</v>
      </c>
      <c r="I556" s="11" t="s">
        <v>2030</v>
      </c>
      <c r="J556" s="12">
        <v>14.98</v>
      </c>
    </row>
    <row r="557" spans="7:10" x14ac:dyDescent="0.3">
      <c r="G557" s="7" t="s">
        <v>546</v>
      </c>
      <c r="H557" s="8" t="s">
        <v>2041</v>
      </c>
      <c r="I557" s="8" t="s">
        <v>2031</v>
      </c>
      <c r="J557" s="9">
        <v>14.53</v>
      </c>
    </row>
    <row r="558" spans="7:10" x14ac:dyDescent="0.3">
      <c r="G558" s="10" t="s">
        <v>547</v>
      </c>
      <c r="H558" s="11" t="s">
        <v>2052</v>
      </c>
      <c r="I558" s="11" t="s">
        <v>1998</v>
      </c>
      <c r="J558" s="12">
        <v>2.95</v>
      </c>
    </row>
    <row r="559" spans="7:10" x14ac:dyDescent="0.3">
      <c r="G559" s="7" t="s">
        <v>548</v>
      </c>
      <c r="H559" s="8" t="s">
        <v>2035</v>
      </c>
      <c r="I559" s="8" t="s">
        <v>2030</v>
      </c>
      <c r="J559" s="9">
        <v>4</v>
      </c>
    </row>
    <row r="560" spans="7:10" x14ac:dyDescent="0.3">
      <c r="G560" s="10" t="s">
        <v>549</v>
      </c>
      <c r="H560" s="11" t="s">
        <v>2035</v>
      </c>
      <c r="I560" s="11" t="s">
        <v>2001</v>
      </c>
      <c r="J560" s="12">
        <v>5.55</v>
      </c>
    </row>
    <row r="561" spans="7:10" x14ac:dyDescent="0.3">
      <c r="G561" s="7" t="s">
        <v>550</v>
      </c>
      <c r="H561" s="8" t="s">
        <v>2052</v>
      </c>
      <c r="I561" s="8" t="s">
        <v>2028</v>
      </c>
      <c r="J561" s="9">
        <v>9.61</v>
      </c>
    </row>
    <row r="562" spans="7:10" x14ac:dyDescent="0.3">
      <c r="G562" s="10" t="s">
        <v>551</v>
      </c>
      <c r="H562" s="11" t="s">
        <v>2035</v>
      </c>
      <c r="I562" s="11" t="s">
        <v>2004</v>
      </c>
      <c r="J562" s="12">
        <v>7.18</v>
      </c>
    </row>
    <row r="563" spans="7:10" x14ac:dyDescent="0.3">
      <c r="G563" s="7" t="s">
        <v>552</v>
      </c>
      <c r="H563" s="8" t="s">
        <v>2043</v>
      </c>
      <c r="I563" s="8" t="s">
        <v>2025</v>
      </c>
      <c r="J563" s="9">
        <v>6.48</v>
      </c>
    </row>
    <row r="564" spans="7:10" x14ac:dyDescent="0.3">
      <c r="G564" s="10" t="s">
        <v>553</v>
      </c>
      <c r="H564" s="11" t="s">
        <v>2040</v>
      </c>
      <c r="I564" s="11" t="s">
        <v>2031</v>
      </c>
      <c r="J564" s="12">
        <v>7.87</v>
      </c>
    </row>
    <row r="565" spans="7:10" x14ac:dyDescent="0.3">
      <c r="G565" s="7" t="s">
        <v>554</v>
      </c>
      <c r="H565" s="8" t="s">
        <v>2034</v>
      </c>
      <c r="I565" s="8" t="s">
        <v>2031</v>
      </c>
      <c r="J565" s="9">
        <v>6.22</v>
      </c>
    </row>
    <row r="566" spans="7:10" x14ac:dyDescent="0.3">
      <c r="G566" s="10" t="s">
        <v>555</v>
      </c>
      <c r="H566" s="11" t="s">
        <v>2034</v>
      </c>
      <c r="I566" s="11" t="s">
        <v>1988</v>
      </c>
      <c r="J566" s="12">
        <v>7.66</v>
      </c>
    </row>
    <row r="567" spans="7:10" x14ac:dyDescent="0.3">
      <c r="G567" s="7" t="s">
        <v>556</v>
      </c>
      <c r="H567" s="8" t="s">
        <v>2038</v>
      </c>
      <c r="I567" s="8" t="s">
        <v>1987</v>
      </c>
      <c r="J567" s="9">
        <v>16.239999999999998</v>
      </c>
    </row>
    <row r="568" spans="7:10" x14ac:dyDescent="0.3">
      <c r="G568" s="10" t="s">
        <v>557</v>
      </c>
      <c r="H568" s="11" t="s">
        <v>2035</v>
      </c>
      <c r="I568" s="11" t="s">
        <v>2000</v>
      </c>
      <c r="J568" s="12">
        <v>22.82</v>
      </c>
    </row>
    <row r="569" spans="7:10" x14ac:dyDescent="0.3">
      <c r="G569" s="7" t="s">
        <v>558</v>
      </c>
      <c r="H569" s="8" t="s">
        <v>2038</v>
      </c>
      <c r="I569" s="8" t="s">
        <v>2001</v>
      </c>
      <c r="J569" s="9">
        <v>10.23</v>
      </c>
    </row>
    <row r="570" spans="7:10" x14ac:dyDescent="0.3">
      <c r="G570" s="10" t="s">
        <v>559</v>
      </c>
      <c r="H570" s="11" t="s">
        <v>1975</v>
      </c>
      <c r="I570" s="11" t="s">
        <v>2000</v>
      </c>
      <c r="J570" s="12">
        <v>23.86</v>
      </c>
    </row>
    <row r="571" spans="7:10" x14ac:dyDescent="0.3">
      <c r="G571" s="7" t="s">
        <v>560</v>
      </c>
      <c r="H571" s="8" t="s">
        <v>2038</v>
      </c>
      <c r="I571" s="8" t="s">
        <v>1997</v>
      </c>
      <c r="J571" s="9">
        <v>17.07</v>
      </c>
    </row>
    <row r="572" spans="7:10" x14ac:dyDescent="0.3">
      <c r="G572" s="10" t="s">
        <v>561</v>
      </c>
      <c r="H572" s="11" t="s">
        <v>2062</v>
      </c>
      <c r="I572" s="11" t="s">
        <v>1998</v>
      </c>
      <c r="J572" s="12">
        <v>5.24</v>
      </c>
    </row>
    <row r="573" spans="7:10" x14ac:dyDescent="0.3">
      <c r="G573" s="7" t="s">
        <v>562</v>
      </c>
      <c r="H573" s="8" t="s">
        <v>2038</v>
      </c>
      <c r="I573" s="8" t="s">
        <v>1997</v>
      </c>
      <c r="J573" s="9">
        <v>25.15</v>
      </c>
    </row>
    <row r="574" spans="7:10" x14ac:dyDescent="0.3">
      <c r="G574" s="10" t="s">
        <v>2009</v>
      </c>
      <c r="H574" s="11" t="s">
        <v>1975</v>
      </c>
      <c r="I574" s="11" t="s">
        <v>2005</v>
      </c>
      <c r="J574" s="12">
        <v>5.79</v>
      </c>
    </row>
    <row r="575" spans="7:10" x14ac:dyDescent="0.3">
      <c r="G575" s="7" t="s">
        <v>563</v>
      </c>
      <c r="H575" s="8" t="s">
        <v>2038</v>
      </c>
      <c r="I575" s="8" t="s">
        <v>2030</v>
      </c>
      <c r="J575" s="9">
        <v>10.95</v>
      </c>
    </row>
    <row r="576" spans="7:10" x14ac:dyDescent="0.3">
      <c r="G576" s="10" t="s">
        <v>564</v>
      </c>
      <c r="H576" s="11" t="s">
        <v>2035</v>
      </c>
      <c r="I576" s="11" t="s">
        <v>2015</v>
      </c>
      <c r="J576" s="12">
        <v>17.91</v>
      </c>
    </row>
    <row r="577" spans="7:10" x14ac:dyDescent="0.3">
      <c r="G577" s="7" t="s">
        <v>565</v>
      </c>
      <c r="H577" s="8" t="s">
        <v>2034</v>
      </c>
      <c r="I577" s="8" t="s">
        <v>2003</v>
      </c>
      <c r="J577" s="9">
        <v>11.55</v>
      </c>
    </row>
    <row r="578" spans="7:10" x14ac:dyDescent="0.3">
      <c r="G578" s="10" t="s">
        <v>566</v>
      </c>
      <c r="H578" s="11" t="s">
        <v>2035</v>
      </c>
      <c r="I578" s="11" t="s">
        <v>2005</v>
      </c>
      <c r="J578" s="12">
        <v>9.2100000000000009</v>
      </c>
    </row>
    <row r="579" spans="7:10" x14ac:dyDescent="0.3">
      <c r="G579" s="7" t="s">
        <v>567</v>
      </c>
      <c r="H579" s="8" t="s">
        <v>2034</v>
      </c>
      <c r="I579" s="8" t="s">
        <v>1988</v>
      </c>
      <c r="J579" s="9">
        <v>8.25</v>
      </c>
    </row>
    <row r="580" spans="7:10" x14ac:dyDescent="0.3">
      <c r="G580" s="10" t="s">
        <v>568</v>
      </c>
      <c r="H580" s="11" t="s">
        <v>2034</v>
      </c>
      <c r="I580" s="11" t="s">
        <v>2001</v>
      </c>
      <c r="J580" s="12">
        <v>8.69</v>
      </c>
    </row>
    <row r="581" spans="7:10" x14ac:dyDescent="0.3">
      <c r="G581" s="7" t="s">
        <v>569</v>
      </c>
      <c r="H581" s="8" t="s">
        <v>2047</v>
      </c>
      <c r="I581" s="8" t="s">
        <v>2028</v>
      </c>
      <c r="J581" s="9">
        <v>7</v>
      </c>
    </row>
    <row r="582" spans="7:10" x14ac:dyDescent="0.3">
      <c r="G582" s="10" t="s">
        <v>570</v>
      </c>
      <c r="H582" s="11" t="s">
        <v>2066</v>
      </c>
      <c r="I582" s="11" t="s">
        <v>2030</v>
      </c>
      <c r="J582" s="12">
        <v>7.28</v>
      </c>
    </row>
    <row r="583" spans="7:10" x14ac:dyDescent="0.3">
      <c r="G583" s="7" t="s">
        <v>571</v>
      </c>
      <c r="H583" s="8" t="s">
        <v>2041</v>
      </c>
      <c r="I583" s="8" t="s">
        <v>2003</v>
      </c>
      <c r="J583" s="9">
        <v>24.49</v>
      </c>
    </row>
    <row r="584" spans="7:10" x14ac:dyDescent="0.3">
      <c r="G584" s="10" t="s">
        <v>572</v>
      </c>
      <c r="H584" s="11" t="s">
        <v>2052</v>
      </c>
      <c r="I584" s="11" t="s">
        <v>2000</v>
      </c>
      <c r="J584" s="12">
        <v>8.99</v>
      </c>
    </row>
    <row r="585" spans="7:10" x14ac:dyDescent="0.3">
      <c r="G585" s="7" t="s">
        <v>573</v>
      </c>
      <c r="H585" s="8" t="s">
        <v>2034</v>
      </c>
      <c r="I585" s="8" t="s">
        <v>2022</v>
      </c>
      <c r="J585" s="9">
        <v>7.19</v>
      </c>
    </row>
    <row r="586" spans="7:10" x14ac:dyDescent="0.3">
      <c r="G586" s="10" t="s">
        <v>574</v>
      </c>
      <c r="H586" s="11" t="s">
        <v>2034</v>
      </c>
      <c r="I586" s="11" t="s">
        <v>1987</v>
      </c>
      <c r="J586" s="12">
        <v>11.12</v>
      </c>
    </row>
    <row r="587" spans="7:10" x14ac:dyDescent="0.3">
      <c r="G587" s="7" t="s">
        <v>575</v>
      </c>
      <c r="H587" s="8" t="s">
        <v>2035</v>
      </c>
      <c r="I587" s="8" t="s">
        <v>2003</v>
      </c>
      <c r="J587" s="9">
        <v>19.77</v>
      </c>
    </row>
    <row r="588" spans="7:10" x14ac:dyDescent="0.3">
      <c r="G588" s="10" t="s">
        <v>576</v>
      </c>
      <c r="H588" s="11" t="s">
        <v>2037</v>
      </c>
      <c r="I588" s="11" t="s">
        <v>2004</v>
      </c>
      <c r="J588" s="12">
        <v>4.78</v>
      </c>
    </row>
    <row r="589" spans="7:10" x14ac:dyDescent="0.3">
      <c r="G589" s="7" t="s">
        <v>577</v>
      </c>
      <c r="H589" s="8" t="s">
        <v>2034</v>
      </c>
      <c r="I589" s="8" t="s">
        <v>2031</v>
      </c>
      <c r="J589" s="9">
        <v>6.78</v>
      </c>
    </row>
    <row r="590" spans="7:10" x14ac:dyDescent="0.3">
      <c r="G590" s="10" t="s">
        <v>578</v>
      </c>
      <c r="H590" s="11" t="s">
        <v>2034</v>
      </c>
      <c r="I590" s="11" t="s">
        <v>2017</v>
      </c>
      <c r="J590" s="12">
        <v>8.18</v>
      </c>
    </row>
    <row r="591" spans="7:10" x14ac:dyDescent="0.3">
      <c r="G591" s="7" t="s">
        <v>579</v>
      </c>
      <c r="H591" s="8" t="s">
        <v>2035</v>
      </c>
      <c r="I591" s="8" t="s">
        <v>2030</v>
      </c>
      <c r="J591" s="9">
        <v>14.77</v>
      </c>
    </row>
    <row r="592" spans="7:10" x14ac:dyDescent="0.3">
      <c r="G592" s="10" t="s">
        <v>580</v>
      </c>
      <c r="H592" s="11" t="s">
        <v>2034</v>
      </c>
      <c r="I592" s="11" t="s">
        <v>2031</v>
      </c>
      <c r="J592" s="12">
        <v>9.02</v>
      </c>
    </row>
    <row r="593" spans="7:10" x14ac:dyDescent="0.3">
      <c r="G593" s="7" t="s">
        <v>581</v>
      </c>
      <c r="H593" s="8" t="s">
        <v>2063</v>
      </c>
      <c r="I593" s="8" t="s">
        <v>2028</v>
      </c>
      <c r="J593" s="9">
        <v>6.9</v>
      </c>
    </row>
    <row r="594" spans="7:10" x14ac:dyDescent="0.3">
      <c r="G594" s="10" t="s">
        <v>582</v>
      </c>
      <c r="H594" s="11" t="s">
        <v>2034</v>
      </c>
      <c r="I594" s="11" t="s">
        <v>2030</v>
      </c>
      <c r="J594" s="12">
        <v>7.58</v>
      </c>
    </row>
    <row r="595" spans="7:10" x14ac:dyDescent="0.3">
      <c r="G595" s="7" t="s">
        <v>583</v>
      </c>
      <c r="H595" s="8" t="s">
        <v>2034</v>
      </c>
      <c r="I595" s="8" t="s">
        <v>2027</v>
      </c>
      <c r="J595" s="9">
        <v>5.26</v>
      </c>
    </row>
    <row r="596" spans="7:10" x14ac:dyDescent="0.3">
      <c r="G596" s="10" t="s">
        <v>584</v>
      </c>
      <c r="H596" s="11" t="s">
        <v>2065</v>
      </c>
      <c r="I596" s="11" t="s">
        <v>1988</v>
      </c>
      <c r="J596" s="12">
        <v>6.89</v>
      </c>
    </row>
    <row r="597" spans="7:10" x14ac:dyDescent="0.3">
      <c r="G597" s="7" t="s">
        <v>585</v>
      </c>
      <c r="H597" s="8" t="s">
        <v>2034</v>
      </c>
      <c r="I597" s="8" t="s">
        <v>1999</v>
      </c>
      <c r="J597" s="9">
        <v>9.51</v>
      </c>
    </row>
    <row r="598" spans="7:10" x14ac:dyDescent="0.3">
      <c r="G598" s="10" t="s">
        <v>586</v>
      </c>
      <c r="H598" s="11" t="s">
        <v>2034</v>
      </c>
      <c r="I598" s="11" t="s">
        <v>2002</v>
      </c>
      <c r="J598" s="12">
        <v>55.59</v>
      </c>
    </row>
    <row r="599" spans="7:10" x14ac:dyDescent="0.3">
      <c r="G599" s="7" t="s">
        <v>587</v>
      </c>
      <c r="H599" s="8" t="s">
        <v>2042</v>
      </c>
      <c r="I599" s="8" t="s">
        <v>2005</v>
      </c>
      <c r="J599" s="9">
        <v>13.63</v>
      </c>
    </row>
    <row r="600" spans="7:10" x14ac:dyDescent="0.3">
      <c r="G600" s="10" t="s">
        <v>588</v>
      </c>
      <c r="H600" s="11" t="s">
        <v>1975</v>
      </c>
      <c r="I600" s="11" t="s">
        <v>1998</v>
      </c>
      <c r="J600" s="12">
        <v>4.26</v>
      </c>
    </row>
    <row r="601" spans="7:10" x14ac:dyDescent="0.3">
      <c r="G601" s="7" t="s">
        <v>589</v>
      </c>
      <c r="H601" s="8" t="s">
        <v>2034</v>
      </c>
      <c r="I601" s="8" t="s">
        <v>1979</v>
      </c>
      <c r="J601" s="9">
        <v>3.67</v>
      </c>
    </row>
    <row r="602" spans="7:10" x14ac:dyDescent="0.3">
      <c r="G602" s="10" t="s">
        <v>590</v>
      </c>
      <c r="H602" s="11" t="s">
        <v>2041</v>
      </c>
      <c r="I602" s="11" t="s">
        <v>1999</v>
      </c>
      <c r="J602" s="12">
        <v>6.94</v>
      </c>
    </row>
    <row r="603" spans="7:10" x14ac:dyDescent="0.3">
      <c r="G603" s="7" t="s">
        <v>591</v>
      </c>
      <c r="H603" s="8" t="s">
        <v>2052</v>
      </c>
      <c r="I603" s="8" t="s">
        <v>1998</v>
      </c>
      <c r="J603" s="9">
        <v>1.56</v>
      </c>
    </row>
    <row r="604" spans="7:10" x14ac:dyDescent="0.3">
      <c r="G604" s="10" t="s">
        <v>592</v>
      </c>
      <c r="H604" s="11" t="s">
        <v>2034</v>
      </c>
      <c r="I604" s="11" t="s">
        <v>2031</v>
      </c>
      <c r="J604" s="12">
        <v>9.6300000000000008</v>
      </c>
    </row>
    <row r="605" spans="7:10" x14ac:dyDescent="0.3">
      <c r="G605" s="7" t="s">
        <v>593</v>
      </c>
      <c r="H605" s="8" t="s">
        <v>2038</v>
      </c>
      <c r="I605" s="8" t="s">
        <v>2022</v>
      </c>
      <c r="J605" s="9">
        <v>23.35</v>
      </c>
    </row>
    <row r="606" spans="7:10" x14ac:dyDescent="0.3">
      <c r="G606" s="10" t="s">
        <v>594</v>
      </c>
      <c r="H606" s="11" t="s">
        <v>2035</v>
      </c>
      <c r="I606" s="11" t="s">
        <v>2001</v>
      </c>
      <c r="J606" s="12">
        <v>9.92</v>
      </c>
    </row>
    <row r="607" spans="7:10" x14ac:dyDescent="0.3">
      <c r="G607" s="7" t="s">
        <v>595</v>
      </c>
      <c r="H607" s="8" t="s">
        <v>2038</v>
      </c>
      <c r="I607" s="8" t="s">
        <v>2031</v>
      </c>
      <c r="J607" s="9">
        <v>9.44</v>
      </c>
    </row>
    <row r="608" spans="7:10" x14ac:dyDescent="0.3">
      <c r="G608" s="10" t="s">
        <v>596</v>
      </c>
      <c r="H608" s="11" t="s">
        <v>1975</v>
      </c>
      <c r="I608" s="11" t="s">
        <v>1998</v>
      </c>
      <c r="J608" s="12">
        <v>4.96</v>
      </c>
    </row>
    <row r="609" spans="7:10" x14ac:dyDescent="0.3">
      <c r="G609" s="7" t="s">
        <v>597</v>
      </c>
      <c r="H609" s="8" t="s">
        <v>2037</v>
      </c>
      <c r="I609" s="8" t="s">
        <v>1988</v>
      </c>
      <c r="J609" s="9">
        <v>7.69</v>
      </c>
    </row>
    <row r="610" spans="7:10" x14ac:dyDescent="0.3">
      <c r="G610" s="10" t="s">
        <v>598</v>
      </c>
      <c r="H610" s="11" t="s">
        <v>2034</v>
      </c>
      <c r="I610" s="11" t="s">
        <v>1998</v>
      </c>
      <c r="J610" s="12">
        <v>4.51</v>
      </c>
    </row>
    <row r="611" spans="7:10" x14ac:dyDescent="0.3">
      <c r="G611" s="7" t="s">
        <v>599</v>
      </c>
      <c r="H611" s="8" t="s">
        <v>2034</v>
      </c>
      <c r="I611" s="8" t="s">
        <v>1979</v>
      </c>
      <c r="J611" s="9">
        <v>3.62</v>
      </c>
    </row>
    <row r="612" spans="7:10" x14ac:dyDescent="0.3">
      <c r="G612" s="10" t="s">
        <v>600</v>
      </c>
      <c r="H612" s="11" t="s">
        <v>2038</v>
      </c>
      <c r="I612" s="11" t="s">
        <v>1987</v>
      </c>
      <c r="J612" s="12">
        <v>24.17</v>
      </c>
    </row>
    <row r="613" spans="7:10" x14ac:dyDescent="0.3">
      <c r="G613" s="7" t="s">
        <v>601</v>
      </c>
      <c r="H613" s="8" t="s">
        <v>2038</v>
      </c>
      <c r="I613" s="8" t="s">
        <v>1988</v>
      </c>
      <c r="J613" s="9">
        <v>12.85</v>
      </c>
    </row>
    <row r="614" spans="7:10" x14ac:dyDescent="0.3">
      <c r="G614" s="10" t="s">
        <v>602</v>
      </c>
      <c r="H614" s="11" t="s">
        <v>2043</v>
      </c>
      <c r="I614" s="11" t="s">
        <v>1979</v>
      </c>
      <c r="J614" s="12">
        <v>4.63</v>
      </c>
    </row>
    <row r="615" spans="7:10" x14ac:dyDescent="0.3">
      <c r="G615" s="7" t="s">
        <v>603</v>
      </c>
      <c r="H615" s="8" t="s">
        <v>2034</v>
      </c>
      <c r="I615" s="8" t="s">
        <v>2017</v>
      </c>
      <c r="J615" s="9">
        <v>14.54</v>
      </c>
    </row>
    <row r="616" spans="7:10" x14ac:dyDescent="0.3">
      <c r="G616" s="10" t="s">
        <v>604</v>
      </c>
      <c r="H616" s="11" t="s">
        <v>2038</v>
      </c>
      <c r="I616" s="11" t="s">
        <v>1998</v>
      </c>
      <c r="J616" s="12">
        <v>4.83</v>
      </c>
    </row>
    <row r="617" spans="7:10" x14ac:dyDescent="0.3">
      <c r="G617" s="7" t="s">
        <v>605</v>
      </c>
      <c r="H617" s="8" t="s">
        <v>2042</v>
      </c>
      <c r="I617" s="8" t="s">
        <v>1979</v>
      </c>
      <c r="J617" s="9">
        <v>4.2300000000000004</v>
      </c>
    </row>
    <row r="618" spans="7:10" x14ac:dyDescent="0.3">
      <c r="G618" s="10" t="s">
        <v>606</v>
      </c>
      <c r="H618" s="11" t="s">
        <v>2034</v>
      </c>
      <c r="I618" s="11" t="s">
        <v>2022</v>
      </c>
      <c r="J618" s="12">
        <v>4.67</v>
      </c>
    </row>
    <row r="619" spans="7:10" x14ac:dyDescent="0.3">
      <c r="G619" s="7" t="s">
        <v>607</v>
      </c>
      <c r="H619" s="8" t="s">
        <v>2045</v>
      </c>
      <c r="I619" s="8" t="s">
        <v>1979</v>
      </c>
      <c r="J619" s="9">
        <v>4.9800000000000004</v>
      </c>
    </row>
    <row r="620" spans="7:10" x14ac:dyDescent="0.3">
      <c r="G620" s="10" t="s">
        <v>608</v>
      </c>
      <c r="H620" s="11" t="s">
        <v>2053</v>
      </c>
      <c r="I620" s="11" t="s">
        <v>2015</v>
      </c>
      <c r="J620" s="12">
        <v>11.05</v>
      </c>
    </row>
    <row r="621" spans="7:10" x14ac:dyDescent="0.3">
      <c r="G621" s="7" t="s">
        <v>609</v>
      </c>
      <c r="H621" s="8" t="s">
        <v>2034</v>
      </c>
      <c r="I621" s="8" t="s">
        <v>2027</v>
      </c>
      <c r="J621" s="9">
        <v>4.58</v>
      </c>
    </row>
    <row r="622" spans="7:10" x14ac:dyDescent="0.3">
      <c r="G622" s="10" t="s">
        <v>610</v>
      </c>
      <c r="H622" s="11" t="s">
        <v>2049</v>
      </c>
      <c r="I622" s="11" t="s">
        <v>2001</v>
      </c>
      <c r="J622" s="12">
        <v>8.19</v>
      </c>
    </row>
    <row r="623" spans="7:10" x14ac:dyDescent="0.3">
      <c r="G623" s="7" t="s">
        <v>611</v>
      </c>
      <c r="H623" s="8" t="s">
        <v>2037</v>
      </c>
      <c r="I623" s="8" t="s">
        <v>1986</v>
      </c>
      <c r="J623" s="9">
        <v>23.35</v>
      </c>
    </row>
    <row r="624" spans="7:10" x14ac:dyDescent="0.3">
      <c r="G624" s="10" t="s">
        <v>612</v>
      </c>
      <c r="H624" s="11" t="s">
        <v>2038</v>
      </c>
      <c r="I624" s="11" t="s">
        <v>1997</v>
      </c>
      <c r="J624" s="12">
        <v>4.8099999999999996</v>
      </c>
    </row>
    <row r="625" spans="7:10" x14ac:dyDescent="0.3">
      <c r="G625" s="7" t="s">
        <v>613</v>
      </c>
      <c r="H625" s="8" t="s">
        <v>2051</v>
      </c>
      <c r="I625" s="8" t="s">
        <v>2001</v>
      </c>
      <c r="J625" s="9">
        <v>24.28</v>
      </c>
    </row>
    <row r="626" spans="7:10" x14ac:dyDescent="0.3">
      <c r="G626" s="10" t="s">
        <v>614</v>
      </c>
      <c r="H626" s="11" t="s">
        <v>2034</v>
      </c>
      <c r="I626" s="11" t="s">
        <v>1992</v>
      </c>
      <c r="J626" s="12">
        <v>6.73</v>
      </c>
    </row>
    <row r="627" spans="7:10" x14ac:dyDescent="0.3">
      <c r="G627" s="7" t="s">
        <v>615</v>
      </c>
      <c r="H627" s="8" t="s">
        <v>2034</v>
      </c>
      <c r="I627" s="8" t="s">
        <v>2003</v>
      </c>
      <c r="J627" s="9">
        <v>6.48</v>
      </c>
    </row>
    <row r="628" spans="7:10" x14ac:dyDescent="0.3">
      <c r="G628" s="10" t="s">
        <v>616</v>
      </c>
      <c r="H628" s="11" t="s">
        <v>2036</v>
      </c>
      <c r="I628" s="11" t="s">
        <v>2000</v>
      </c>
      <c r="J628" s="12">
        <v>70.56</v>
      </c>
    </row>
    <row r="629" spans="7:10" x14ac:dyDescent="0.3">
      <c r="G629" s="7" t="s">
        <v>617</v>
      </c>
      <c r="H629" s="8" t="s">
        <v>2036</v>
      </c>
      <c r="I629" s="8" t="s">
        <v>2001</v>
      </c>
      <c r="J629" s="9">
        <v>12.76</v>
      </c>
    </row>
    <row r="630" spans="7:10" x14ac:dyDescent="0.3">
      <c r="G630" s="10" t="s">
        <v>618</v>
      </c>
      <c r="H630" s="11" t="s">
        <v>2034</v>
      </c>
      <c r="I630" s="11" t="s">
        <v>2015</v>
      </c>
      <c r="J630" s="12">
        <v>14.04</v>
      </c>
    </row>
    <row r="631" spans="7:10" x14ac:dyDescent="0.3">
      <c r="G631" s="7" t="s">
        <v>619</v>
      </c>
      <c r="H631" s="8" t="s">
        <v>2034</v>
      </c>
      <c r="I631" s="8" t="s">
        <v>2005</v>
      </c>
      <c r="J631" s="9">
        <v>4.34</v>
      </c>
    </row>
    <row r="632" spans="7:10" x14ac:dyDescent="0.3">
      <c r="G632" s="10" t="s">
        <v>620</v>
      </c>
      <c r="H632" s="11" t="s">
        <v>2034</v>
      </c>
      <c r="I632" s="11" t="s">
        <v>1979</v>
      </c>
      <c r="J632" s="12">
        <v>3.4</v>
      </c>
    </row>
    <row r="633" spans="7:10" x14ac:dyDescent="0.3">
      <c r="G633" s="7" t="s">
        <v>621</v>
      </c>
      <c r="H633" s="8" t="s">
        <v>2039</v>
      </c>
      <c r="I633" s="8" t="s">
        <v>2003</v>
      </c>
      <c r="J633" s="9">
        <v>9.6</v>
      </c>
    </row>
    <row r="634" spans="7:10" x14ac:dyDescent="0.3">
      <c r="G634" s="10" t="s">
        <v>622</v>
      </c>
      <c r="H634" s="11" t="s">
        <v>2034</v>
      </c>
      <c r="I634" s="11" t="s">
        <v>2002</v>
      </c>
      <c r="J634" s="12">
        <v>6.28</v>
      </c>
    </row>
    <row r="635" spans="7:10" x14ac:dyDescent="0.3">
      <c r="G635" s="7" t="s">
        <v>623</v>
      </c>
      <c r="H635" s="8" t="s">
        <v>2034</v>
      </c>
      <c r="I635" s="8" t="s">
        <v>1988</v>
      </c>
      <c r="J635" s="9">
        <v>18.61</v>
      </c>
    </row>
    <row r="636" spans="7:10" x14ac:dyDescent="0.3">
      <c r="G636" s="10" t="s">
        <v>624</v>
      </c>
      <c r="H636" s="11" t="s">
        <v>2042</v>
      </c>
      <c r="I636" s="11" t="s">
        <v>1979</v>
      </c>
      <c r="J636" s="12">
        <v>4.8499999999999996</v>
      </c>
    </row>
    <row r="637" spans="7:10" x14ac:dyDescent="0.3">
      <c r="G637" s="7" t="s">
        <v>625</v>
      </c>
      <c r="H637" s="8" t="s">
        <v>2041</v>
      </c>
      <c r="I637" s="8" t="s">
        <v>2005</v>
      </c>
      <c r="J637" s="9">
        <v>11.91</v>
      </c>
    </row>
    <row r="638" spans="7:10" x14ac:dyDescent="0.3">
      <c r="G638" s="10" t="s">
        <v>626</v>
      </c>
      <c r="H638" s="11" t="s">
        <v>2034</v>
      </c>
      <c r="I638" s="11" t="s">
        <v>2005</v>
      </c>
      <c r="J638" s="12">
        <v>9.67</v>
      </c>
    </row>
    <row r="639" spans="7:10" x14ac:dyDescent="0.3">
      <c r="G639" s="7" t="s">
        <v>627</v>
      </c>
      <c r="H639" s="8" t="s">
        <v>2047</v>
      </c>
      <c r="I639" s="8" t="s">
        <v>2022</v>
      </c>
      <c r="J639" s="9">
        <v>7.27</v>
      </c>
    </row>
    <row r="640" spans="7:10" x14ac:dyDescent="0.3">
      <c r="G640" s="10" t="s">
        <v>628</v>
      </c>
      <c r="H640" s="11" t="s">
        <v>2055</v>
      </c>
      <c r="I640" s="11" t="s">
        <v>1979</v>
      </c>
      <c r="J640" s="12">
        <v>1.38</v>
      </c>
    </row>
    <row r="641" spans="7:10" x14ac:dyDescent="0.3">
      <c r="G641" s="7" t="s">
        <v>629</v>
      </c>
      <c r="H641" s="8" t="s">
        <v>2034</v>
      </c>
      <c r="I641" s="8" t="s">
        <v>2000</v>
      </c>
      <c r="J641" s="9">
        <v>59.53</v>
      </c>
    </row>
    <row r="642" spans="7:10" x14ac:dyDescent="0.3">
      <c r="G642" s="10" t="s">
        <v>630</v>
      </c>
      <c r="H642" s="11" t="s">
        <v>2038</v>
      </c>
      <c r="I642" s="11" t="s">
        <v>1998</v>
      </c>
      <c r="J642" s="12">
        <v>3.2</v>
      </c>
    </row>
    <row r="643" spans="7:10" x14ac:dyDescent="0.3">
      <c r="G643" s="7" t="s">
        <v>631</v>
      </c>
      <c r="H643" s="8" t="s">
        <v>2072</v>
      </c>
      <c r="I643" s="8" t="s">
        <v>2031</v>
      </c>
      <c r="J643" s="9">
        <v>4.4800000000000004</v>
      </c>
    </row>
    <row r="644" spans="7:10" x14ac:dyDescent="0.3">
      <c r="G644" s="10" t="s">
        <v>632</v>
      </c>
      <c r="H644" s="11" t="s">
        <v>2047</v>
      </c>
      <c r="I644" s="11" t="s">
        <v>2015</v>
      </c>
      <c r="J644" s="12">
        <v>21.1</v>
      </c>
    </row>
    <row r="645" spans="7:10" x14ac:dyDescent="0.3">
      <c r="G645" s="7" t="s">
        <v>633</v>
      </c>
      <c r="H645" s="8" t="s">
        <v>2034</v>
      </c>
      <c r="I645" s="8" t="s">
        <v>1978</v>
      </c>
      <c r="J645" s="9">
        <v>9.44</v>
      </c>
    </row>
    <row r="646" spans="7:10" x14ac:dyDescent="0.3">
      <c r="G646" s="10" t="s">
        <v>634</v>
      </c>
      <c r="H646" s="11" t="s">
        <v>2070</v>
      </c>
      <c r="I646" s="11" t="s">
        <v>1979</v>
      </c>
      <c r="J646" s="12">
        <v>3.56</v>
      </c>
    </row>
    <row r="647" spans="7:10" x14ac:dyDescent="0.3">
      <c r="G647" s="7" t="s">
        <v>635</v>
      </c>
      <c r="H647" s="8" t="s">
        <v>2034</v>
      </c>
      <c r="I647" s="8" t="s">
        <v>1988</v>
      </c>
      <c r="J647" s="9">
        <v>7.99</v>
      </c>
    </row>
    <row r="648" spans="7:10" x14ac:dyDescent="0.3">
      <c r="G648" s="10" t="s">
        <v>636</v>
      </c>
      <c r="H648" s="11" t="s">
        <v>2034</v>
      </c>
      <c r="I648" s="11" t="s">
        <v>1988</v>
      </c>
      <c r="J648" s="12">
        <v>10.199999999999999</v>
      </c>
    </row>
    <row r="649" spans="7:10" x14ac:dyDescent="0.3">
      <c r="G649" s="7" t="s">
        <v>637</v>
      </c>
      <c r="H649" s="8" t="s">
        <v>2034</v>
      </c>
      <c r="I649" s="8" t="s">
        <v>1979</v>
      </c>
      <c r="J649" s="9">
        <v>3.57</v>
      </c>
    </row>
    <row r="650" spans="7:10" x14ac:dyDescent="0.3">
      <c r="G650" s="10" t="s">
        <v>638</v>
      </c>
      <c r="H650" s="11" t="s">
        <v>2041</v>
      </c>
      <c r="I650" s="11" t="s">
        <v>2002</v>
      </c>
      <c r="J650" s="12">
        <v>25.99</v>
      </c>
    </row>
    <row r="651" spans="7:10" x14ac:dyDescent="0.3">
      <c r="G651" s="7" t="s">
        <v>639</v>
      </c>
      <c r="H651" s="8" t="s">
        <v>2038</v>
      </c>
      <c r="I651" s="8" t="s">
        <v>2017</v>
      </c>
      <c r="J651" s="9">
        <v>13.19</v>
      </c>
    </row>
    <row r="652" spans="7:10" x14ac:dyDescent="0.3">
      <c r="G652" s="10" t="s">
        <v>640</v>
      </c>
      <c r="H652" s="11" t="s">
        <v>2065</v>
      </c>
      <c r="I652" s="11" t="s">
        <v>2015</v>
      </c>
      <c r="J652" s="12">
        <v>6.04</v>
      </c>
    </row>
    <row r="653" spans="7:10" x14ac:dyDescent="0.3">
      <c r="G653" s="7" t="s">
        <v>641</v>
      </c>
      <c r="H653" s="8" t="s">
        <v>2038</v>
      </c>
      <c r="I653" s="8" t="s">
        <v>2004</v>
      </c>
      <c r="J653" s="9">
        <v>12.12</v>
      </c>
    </row>
    <row r="654" spans="7:10" x14ac:dyDescent="0.3">
      <c r="G654" s="10" t="s">
        <v>642</v>
      </c>
      <c r="H654" s="11" t="s">
        <v>2057</v>
      </c>
      <c r="I654" s="11" t="s">
        <v>1987</v>
      </c>
      <c r="J654" s="12">
        <v>7.96</v>
      </c>
    </row>
    <row r="655" spans="7:10" x14ac:dyDescent="0.3">
      <c r="G655" s="7" t="s">
        <v>643</v>
      </c>
      <c r="H655" s="8" t="s">
        <v>2042</v>
      </c>
      <c r="I655" s="8" t="s">
        <v>2030</v>
      </c>
      <c r="J655" s="9">
        <v>3.89</v>
      </c>
    </row>
    <row r="656" spans="7:10" x14ac:dyDescent="0.3">
      <c r="G656" s="10" t="s">
        <v>644</v>
      </c>
      <c r="H656" s="11" t="s">
        <v>2034</v>
      </c>
      <c r="I656" s="11" t="s">
        <v>1988</v>
      </c>
      <c r="J656" s="12">
        <v>6.63</v>
      </c>
    </row>
    <row r="657" spans="7:10" x14ac:dyDescent="0.3">
      <c r="G657" s="7" t="s">
        <v>645</v>
      </c>
      <c r="H657" s="8" t="s">
        <v>2047</v>
      </c>
      <c r="I657" s="8" t="s">
        <v>2022</v>
      </c>
      <c r="J657" s="9">
        <v>4.1100000000000003</v>
      </c>
    </row>
    <row r="658" spans="7:10" x14ac:dyDescent="0.3">
      <c r="G658" s="10" t="s">
        <v>646</v>
      </c>
      <c r="H658" s="11" t="s">
        <v>2064</v>
      </c>
      <c r="I658" s="11" t="s">
        <v>1992</v>
      </c>
      <c r="J658" s="12">
        <v>16.48</v>
      </c>
    </row>
    <row r="659" spans="7:10" x14ac:dyDescent="0.3">
      <c r="G659" s="7" t="s">
        <v>647</v>
      </c>
      <c r="H659" s="8" t="s">
        <v>2034</v>
      </c>
      <c r="I659" s="8" t="s">
        <v>2023</v>
      </c>
      <c r="J659" s="9">
        <v>16.059999999999999</v>
      </c>
    </row>
    <row r="660" spans="7:10" x14ac:dyDescent="0.3">
      <c r="G660" s="10" t="s">
        <v>648</v>
      </c>
      <c r="H660" s="11" t="s">
        <v>2061</v>
      </c>
      <c r="I660" s="11" t="s">
        <v>1979</v>
      </c>
      <c r="J660" s="12">
        <v>3.9</v>
      </c>
    </row>
    <row r="661" spans="7:10" x14ac:dyDescent="0.3">
      <c r="G661" s="7" t="s">
        <v>649</v>
      </c>
      <c r="H661" s="8" t="s">
        <v>2040</v>
      </c>
      <c r="I661" s="8" t="s">
        <v>2004</v>
      </c>
      <c r="J661" s="9">
        <v>7.39</v>
      </c>
    </row>
    <row r="662" spans="7:10" x14ac:dyDescent="0.3">
      <c r="G662" s="10" t="s">
        <v>650</v>
      </c>
      <c r="H662" s="11" t="s">
        <v>2034</v>
      </c>
      <c r="I662" s="11" t="s">
        <v>2005</v>
      </c>
      <c r="J662" s="12">
        <v>4.22</v>
      </c>
    </row>
    <row r="663" spans="7:10" x14ac:dyDescent="0.3">
      <c r="G663" s="7" t="s">
        <v>651</v>
      </c>
      <c r="H663" s="8" t="s">
        <v>2034</v>
      </c>
      <c r="I663" s="8" t="s">
        <v>2023</v>
      </c>
      <c r="J663" s="9">
        <v>5.75</v>
      </c>
    </row>
    <row r="664" spans="7:10" x14ac:dyDescent="0.3">
      <c r="G664" s="10" t="s">
        <v>652</v>
      </c>
      <c r="H664" s="11" t="s">
        <v>2034</v>
      </c>
      <c r="I664" s="11" t="s">
        <v>1998</v>
      </c>
      <c r="J664" s="12">
        <v>3.17</v>
      </c>
    </row>
    <row r="665" spans="7:10" x14ac:dyDescent="0.3">
      <c r="G665" s="7" t="s">
        <v>653</v>
      </c>
      <c r="H665" s="8" t="s">
        <v>2034</v>
      </c>
      <c r="I665" s="8" t="s">
        <v>2001</v>
      </c>
      <c r="J665" s="9">
        <v>7.63</v>
      </c>
    </row>
    <row r="666" spans="7:10" x14ac:dyDescent="0.3">
      <c r="G666" s="10" t="s">
        <v>654</v>
      </c>
      <c r="H666" s="11" t="s">
        <v>2034</v>
      </c>
      <c r="I666" s="11" t="s">
        <v>2005</v>
      </c>
      <c r="J666" s="12">
        <v>7.5</v>
      </c>
    </row>
    <row r="667" spans="7:10" x14ac:dyDescent="0.3">
      <c r="G667" s="7" t="s">
        <v>655</v>
      </c>
      <c r="H667" s="8" t="s">
        <v>2034</v>
      </c>
      <c r="I667" s="8" t="s">
        <v>2017</v>
      </c>
      <c r="J667" s="9">
        <v>6</v>
      </c>
    </row>
    <row r="668" spans="7:10" x14ac:dyDescent="0.3">
      <c r="G668" s="10" t="s">
        <v>656</v>
      </c>
      <c r="H668" s="11" t="s">
        <v>2035</v>
      </c>
      <c r="I668" s="11" t="s">
        <v>2017</v>
      </c>
      <c r="J668" s="12">
        <v>7.04</v>
      </c>
    </row>
    <row r="669" spans="7:10" x14ac:dyDescent="0.3">
      <c r="G669" s="7" t="s">
        <v>657</v>
      </c>
      <c r="H669" s="8" t="s">
        <v>2057</v>
      </c>
      <c r="I669" s="8" t="s">
        <v>1987</v>
      </c>
      <c r="J669" s="9">
        <v>6.63</v>
      </c>
    </row>
    <row r="670" spans="7:10" x14ac:dyDescent="0.3">
      <c r="G670" s="10" t="s">
        <v>658</v>
      </c>
      <c r="H670" s="11" t="s">
        <v>2034</v>
      </c>
      <c r="I670" s="11" t="s">
        <v>1979</v>
      </c>
      <c r="J670" s="12">
        <v>3.01</v>
      </c>
    </row>
    <row r="671" spans="7:10" x14ac:dyDescent="0.3">
      <c r="G671" s="7" t="s">
        <v>659</v>
      </c>
      <c r="H671" s="8" t="s">
        <v>2038</v>
      </c>
      <c r="I671" s="8" t="s">
        <v>2004</v>
      </c>
      <c r="J671" s="9">
        <v>8.74</v>
      </c>
    </row>
    <row r="672" spans="7:10" x14ac:dyDescent="0.3">
      <c r="G672" s="10" t="s">
        <v>660</v>
      </c>
      <c r="H672" s="11" t="s">
        <v>2042</v>
      </c>
      <c r="I672" s="11" t="s">
        <v>1998</v>
      </c>
      <c r="J672" s="12">
        <v>70.39</v>
      </c>
    </row>
    <row r="673" spans="7:10" x14ac:dyDescent="0.3">
      <c r="G673" s="7" t="s">
        <v>661</v>
      </c>
      <c r="H673" s="8" t="s">
        <v>2038</v>
      </c>
      <c r="I673" s="8" t="s">
        <v>1998</v>
      </c>
      <c r="J673" s="9">
        <v>4.05</v>
      </c>
    </row>
    <row r="674" spans="7:10" x14ac:dyDescent="0.3">
      <c r="G674" s="10" t="s">
        <v>662</v>
      </c>
      <c r="H674" s="11" t="s">
        <v>2060</v>
      </c>
      <c r="I674" s="11" t="s">
        <v>2001</v>
      </c>
      <c r="J674" s="12">
        <v>8.4</v>
      </c>
    </row>
    <row r="675" spans="7:10" x14ac:dyDescent="0.3">
      <c r="G675" s="7" t="s">
        <v>663</v>
      </c>
      <c r="H675" s="8" t="s">
        <v>1975</v>
      </c>
      <c r="I675" s="8" t="s">
        <v>2000</v>
      </c>
      <c r="J675" s="9">
        <v>27.39</v>
      </c>
    </row>
    <row r="676" spans="7:10" x14ac:dyDescent="0.3">
      <c r="G676" s="10" t="s">
        <v>664</v>
      </c>
      <c r="H676" s="11" t="s">
        <v>2035</v>
      </c>
      <c r="I676" s="11" t="s">
        <v>1988</v>
      </c>
      <c r="J676" s="12">
        <v>6.62</v>
      </c>
    </row>
    <row r="677" spans="7:10" x14ac:dyDescent="0.3">
      <c r="G677" s="7" t="s">
        <v>665</v>
      </c>
      <c r="H677" s="8" t="s">
        <v>2050</v>
      </c>
      <c r="I677" s="8" t="s">
        <v>2028</v>
      </c>
      <c r="J677" s="9">
        <v>7.35</v>
      </c>
    </row>
    <row r="678" spans="7:10" x14ac:dyDescent="0.3">
      <c r="G678" s="10" t="s">
        <v>666</v>
      </c>
      <c r="H678" s="11" t="s">
        <v>2035</v>
      </c>
      <c r="I678" s="11" t="s">
        <v>2031</v>
      </c>
      <c r="J678" s="12">
        <v>12.95</v>
      </c>
    </row>
    <row r="679" spans="7:10" x14ac:dyDescent="0.3">
      <c r="G679" s="7" t="s">
        <v>667</v>
      </c>
      <c r="H679" s="8" t="s">
        <v>2045</v>
      </c>
      <c r="I679" s="8" t="s">
        <v>2015</v>
      </c>
      <c r="J679" s="9">
        <v>7.05</v>
      </c>
    </row>
    <row r="680" spans="7:10" x14ac:dyDescent="0.3">
      <c r="G680" s="10" t="s">
        <v>668</v>
      </c>
      <c r="H680" s="11" t="s">
        <v>2054</v>
      </c>
      <c r="I680" s="11" t="s">
        <v>1999</v>
      </c>
      <c r="J680" s="12">
        <v>5.35</v>
      </c>
    </row>
    <row r="681" spans="7:10" x14ac:dyDescent="0.3">
      <c r="G681" s="7" t="s">
        <v>2032</v>
      </c>
      <c r="H681" s="8" t="s">
        <v>2035</v>
      </c>
      <c r="I681" s="8" t="s">
        <v>2031</v>
      </c>
      <c r="J681" s="9">
        <v>4.26</v>
      </c>
    </row>
    <row r="682" spans="7:10" x14ac:dyDescent="0.3">
      <c r="G682" s="10" t="s">
        <v>669</v>
      </c>
      <c r="H682" s="11" t="s">
        <v>2038</v>
      </c>
      <c r="I682" s="11" t="s">
        <v>1993</v>
      </c>
      <c r="J682" s="12">
        <v>12.74</v>
      </c>
    </row>
    <row r="683" spans="7:10" x14ac:dyDescent="0.3">
      <c r="G683" s="7" t="s">
        <v>670</v>
      </c>
      <c r="H683" s="8" t="s">
        <v>2042</v>
      </c>
      <c r="I683" s="8" t="s">
        <v>1979</v>
      </c>
      <c r="J683" s="9">
        <v>4.0999999999999996</v>
      </c>
    </row>
    <row r="684" spans="7:10" x14ac:dyDescent="0.3">
      <c r="G684" s="10" t="s">
        <v>671</v>
      </c>
      <c r="H684" s="11" t="s">
        <v>2073</v>
      </c>
      <c r="I684" s="11" t="s">
        <v>2027</v>
      </c>
      <c r="J684" s="12">
        <v>8.5399999999999991</v>
      </c>
    </row>
    <row r="685" spans="7:10" x14ac:dyDescent="0.3">
      <c r="G685" s="7" t="s">
        <v>672</v>
      </c>
      <c r="H685" s="8" t="s">
        <v>2057</v>
      </c>
      <c r="I685" s="8" t="s">
        <v>2023</v>
      </c>
      <c r="J685" s="9">
        <v>7.57</v>
      </c>
    </row>
    <row r="686" spans="7:10" x14ac:dyDescent="0.3">
      <c r="G686" s="10" t="s">
        <v>673</v>
      </c>
      <c r="H686" s="11" t="s">
        <v>2038</v>
      </c>
      <c r="I686" s="11" t="s">
        <v>2029</v>
      </c>
      <c r="J686" s="12">
        <v>31.17</v>
      </c>
    </row>
    <row r="687" spans="7:10" x14ac:dyDescent="0.3">
      <c r="G687" s="7" t="s">
        <v>674</v>
      </c>
      <c r="H687" s="8" t="s">
        <v>1975</v>
      </c>
      <c r="I687" s="8" t="s">
        <v>2030</v>
      </c>
      <c r="J687" s="9">
        <v>9.6300000000000008</v>
      </c>
    </row>
    <row r="688" spans="7:10" x14ac:dyDescent="0.3">
      <c r="G688" s="10" t="s">
        <v>675</v>
      </c>
      <c r="H688" s="11" t="s">
        <v>2038</v>
      </c>
      <c r="I688" s="11" t="s">
        <v>2030</v>
      </c>
      <c r="J688" s="12">
        <v>9.85</v>
      </c>
    </row>
    <row r="689" spans="7:10" x14ac:dyDescent="0.3">
      <c r="G689" s="7" t="s">
        <v>676</v>
      </c>
      <c r="H689" s="8" t="s">
        <v>2034</v>
      </c>
      <c r="I689" s="8" t="s">
        <v>2003</v>
      </c>
      <c r="J689" s="9">
        <v>9.35</v>
      </c>
    </row>
    <row r="690" spans="7:10" x14ac:dyDescent="0.3">
      <c r="G690" s="10" t="s">
        <v>677</v>
      </c>
      <c r="H690" s="11" t="s">
        <v>2038</v>
      </c>
      <c r="I690" s="11" t="s">
        <v>2015</v>
      </c>
      <c r="J690" s="12">
        <v>11.06</v>
      </c>
    </row>
    <row r="691" spans="7:10" x14ac:dyDescent="0.3">
      <c r="G691" s="7" t="s">
        <v>1983</v>
      </c>
      <c r="H691" s="8" t="s">
        <v>2066</v>
      </c>
      <c r="I691" s="8" t="s">
        <v>1979</v>
      </c>
      <c r="J691" s="9">
        <v>2.2599999999999998</v>
      </c>
    </row>
    <row r="692" spans="7:10" x14ac:dyDescent="0.3">
      <c r="G692" s="10" t="s">
        <v>678</v>
      </c>
      <c r="H692" s="11" t="s">
        <v>2042</v>
      </c>
      <c r="I692" s="11" t="s">
        <v>1998</v>
      </c>
      <c r="J692" s="12">
        <v>2.4</v>
      </c>
    </row>
    <row r="693" spans="7:10" x14ac:dyDescent="0.3">
      <c r="G693" s="7" t="s">
        <v>679</v>
      </c>
      <c r="H693" s="8" t="s">
        <v>2034</v>
      </c>
      <c r="I693" s="8" t="s">
        <v>2022</v>
      </c>
      <c r="J693" s="9">
        <v>11.88</v>
      </c>
    </row>
    <row r="694" spans="7:10" x14ac:dyDescent="0.3">
      <c r="G694" s="10" t="s">
        <v>680</v>
      </c>
      <c r="H694" s="11" t="s">
        <v>2052</v>
      </c>
      <c r="I694" s="11" t="s">
        <v>2031</v>
      </c>
      <c r="J694" s="12">
        <v>3.96</v>
      </c>
    </row>
    <row r="695" spans="7:10" x14ac:dyDescent="0.3">
      <c r="G695" s="7" t="s">
        <v>2018</v>
      </c>
      <c r="H695" s="8" t="s">
        <v>2034</v>
      </c>
      <c r="I695" s="8" t="s">
        <v>2017</v>
      </c>
      <c r="J695" s="9">
        <v>8.01</v>
      </c>
    </row>
    <row r="696" spans="7:10" x14ac:dyDescent="0.3">
      <c r="G696" s="10" t="s">
        <v>681</v>
      </c>
      <c r="H696" s="11" t="s">
        <v>2034</v>
      </c>
      <c r="I696" s="11" t="s">
        <v>2003</v>
      </c>
      <c r="J696" s="12">
        <v>5.98</v>
      </c>
    </row>
    <row r="697" spans="7:10" x14ac:dyDescent="0.3">
      <c r="G697" s="7" t="s">
        <v>682</v>
      </c>
      <c r="H697" s="8" t="s">
        <v>2062</v>
      </c>
      <c r="I697" s="8" t="s">
        <v>1979</v>
      </c>
      <c r="J697" s="9">
        <v>2.83</v>
      </c>
    </row>
    <row r="698" spans="7:10" x14ac:dyDescent="0.3">
      <c r="G698" s="10" t="s">
        <v>683</v>
      </c>
      <c r="H698" s="11" t="s">
        <v>2043</v>
      </c>
      <c r="I698" s="11" t="s">
        <v>1979</v>
      </c>
      <c r="J698" s="12">
        <v>5.13</v>
      </c>
    </row>
    <row r="699" spans="7:10" x14ac:dyDescent="0.3">
      <c r="G699" s="7" t="s">
        <v>684</v>
      </c>
      <c r="H699" s="8" t="s">
        <v>2034</v>
      </c>
      <c r="I699" s="8" t="s">
        <v>2001</v>
      </c>
      <c r="J699" s="9">
        <v>11.89</v>
      </c>
    </row>
    <row r="700" spans="7:10" x14ac:dyDescent="0.3">
      <c r="G700" s="10" t="s">
        <v>1984</v>
      </c>
      <c r="H700" s="11" t="s">
        <v>2074</v>
      </c>
      <c r="I700" s="11" t="s">
        <v>1979</v>
      </c>
      <c r="J700" s="12">
        <v>2.71</v>
      </c>
    </row>
    <row r="701" spans="7:10" x14ac:dyDescent="0.3">
      <c r="G701" s="7" t="s">
        <v>685</v>
      </c>
      <c r="H701" s="8" t="s">
        <v>2034</v>
      </c>
      <c r="I701" s="8" t="s">
        <v>2005</v>
      </c>
      <c r="J701" s="9">
        <v>6.35</v>
      </c>
    </row>
    <row r="702" spans="7:10" x14ac:dyDescent="0.3">
      <c r="G702" s="10" t="s">
        <v>686</v>
      </c>
      <c r="H702" s="11" t="s">
        <v>2065</v>
      </c>
      <c r="I702" s="11" t="s">
        <v>2025</v>
      </c>
      <c r="J702" s="12">
        <v>4.0599999999999996</v>
      </c>
    </row>
    <row r="703" spans="7:10" x14ac:dyDescent="0.3">
      <c r="G703" s="7" t="s">
        <v>687</v>
      </c>
      <c r="H703" s="8" t="s">
        <v>2034</v>
      </c>
      <c r="I703" s="8" t="s">
        <v>2017</v>
      </c>
      <c r="J703" s="9">
        <v>5.6</v>
      </c>
    </row>
    <row r="704" spans="7:10" x14ac:dyDescent="0.3">
      <c r="G704" s="10" t="s">
        <v>688</v>
      </c>
      <c r="H704" s="11" t="s">
        <v>2035</v>
      </c>
      <c r="I704" s="11" t="s">
        <v>1993</v>
      </c>
      <c r="J704" s="12">
        <v>6.38</v>
      </c>
    </row>
    <row r="705" spans="7:10" x14ac:dyDescent="0.3">
      <c r="G705" s="7" t="s">
        <v>689</v>
      </c>
      <c r="H705" s="8" t="s">
        <v>2038</v>
      </c>
      <c r="I705" s="8" t="s">
        <v>2030</v>
      </c>
      <c r="J705" s="9">
        <v>19.87</v>
      </c>
    </row>
    <row r="706" spans="7:10" x14ac:dyDescent="0.3">
      <c r="G706" s="10" t="s">
        <v>690</v>
      </c>
      <c r="H706" s="11" t="s">
        <v>2057</v>
      </c>
      <c r="I706" s="11" t="s">
        <v>1987</v>
      </c>
      <c r="J706" s="12">
        <v>8.4</v>
      </c>
    </row>
    <row r="707" spans="7:10" x14ac:dyDescent="0.3">
      <c r="G707" s="7" t="s">
        <v>691</v>
      </c>
      <c r="H707" s="8" t="s">
        <v>2034</v>
      </c>
      <c r="I707" s="8" t="s">
        <v>2003</v>
      </c>
      <c r="J707" s="9">
        <v>7.11</v>
      </c>
    </row>
    <row r="708" spans="7:10" x14ac:dyDescent="0.3">
      <c r="G708" s="10" t="s">
        <v>692</v>
      </c>
      <c r="H708" s="11" t="s">
        <v>2038</v>
      </c>
      <c r="I708" s="11" t="s">
        <v>2031</v>
      </c>
      <c r="J708" s="12">
        <v>9.1</v>
      </c>
    </row>
    <row r="709" spans="7:10" x14ac:dyDescent="0.3">
      <c r="G709" s="7" t="s">
        <v>693</v>
      </c>
      <c r="H709" s="8" t="s">
        <v>2047</v>
      </c>
      <c r="I709" s="8" t="s">
        <v>2022</v>
      </c>
      <c r="J709" s="9">
        <v>4.3899999999999997</v>
      </c>
    </row>
    <row r="710" spans="7:10" x14ac:dyDescent="0.3">
      <c r="G710" s="10" t="s">
        <v>694</v>
      </c>
      <c r="H710" s="11" t="s">
        <v>2041</v>
      </c>
      <c r="I710" s="11" t="s">
        <v>1999</v>
      </c>
      <c r="J710" s="12">
        <v>6.27</v>
      </c>
    </row>
    <row r="711" spans="7:10" x14ac:dyDescent="0.3">
      <c r="G711" s="7" t="s">
        <v>695</v>
      </c>
      <c r="H711" s="8" t="s">
        <v>2034</v>
      </c>
      <c r="I711" s="8" t="s">
        <v>2022</v>
      </c>
      <c r="J711" s="9">
        <v>3.52</v>
      </c>
    </row>
    <row r="712" spans="7:10" x14ac:dyDescent="0.3">
      <c r="G712" s="10" t="s">
        <v>696</v>
      </c>
      <c r="H712" s="11" t="s">
        <v>2047</v>
      </c>
      <c r="I712" s="11" t="s">
        <v>2015</v>
      </c>
      <c r="J712" s="12">
        <v>4.6900000000000004</v>
      </c>
    </row>
    <row r="713" spans="7:10" x14ac:dyDescent="0.3">
      <c r="G713" s="7" t="s">
        <v>697</v>
      </c>
      <c r="H713" s="8" t="s">
        <v>2071</v>
      </c>
      <c r="I713" s="8" t="s">
        <v>1979</v>
      </c>
      <c r="J713" s="9">
        <v>3.17</v>
      </c>
    </row>
    <row r="714" spans="7:10" x14ac:dyDescent="0.3">
      <c r="G714" s="10" t="s">
        <v>698</v>
      </c>
      <c r="H714" s="11" t="s">
        <v>2034</v>
      </c>
      <c r="I714" s="11" t="s">
        <v>2031</v>
      </c>
      <c r="J714" s="12">
        <v>5.41</v>
      </c>
    </row>
    <row r="715" spans="7:10" x14ac:dyDescent="0.3">
      <c r="G715" s="7" t="s">
        <v>699</v>
      </c>
      <c r="H715" s="8" t="s">
        <v>2050</v>
      </c>
      <c r="I715" s="8" t="s">
        <v>2000</v>
      </c>
      <c r="J715" s="9">
        <v>24.38</v>
      </c>
    </row>
    <row r="716" spans="7:10" x14ac:dyDescent="0.3">
      <c r="G716" s="10" t="s">
        <v>700</v>
      </c>
      <c r="H716" s="11" t="s">
        <v>2034</v>
      </c>
      <c r="I716" s="11" t="s">
        <v>1987</v>
      </c>
      <c r="J716" s="12">
        <v>8.6199999999999992</v>
      </c>
    </row>
    <row r="717" spans="7:10" x14ac:dyDescent="0.3">
      <c r="G717" s="7" t="s">
        <v>701</v>
      </c>
      <c r="H717" s="8" t="s">
        <v>2040</v>
      </c>
      <c r="I717" s="8" t="s">
        <v>1993</v>
      </c>
      <c r="J717" s="9">
        <v>8.3800000000000008</v>
      </c>
    </row>
    <row r="718" spans="7:10" x14ac:dyDescent="0.3">
      <c r="G718" s="10" t="s">
        <v>702</v>
      </c>
      <c r="H718" s="11" t="s">
        <v>2037</v>
      </c>
      <c r="I718" s="11" t="s">
        <v>2025</v>
      </c>
      <c r="J718" s="12">
        <v>8.4700000000000006</v>
      </c>
    </row>
    <row r="719" spans="7:10" x14ac:dyDescent="0.3">
      <c r="G719" s="7" t="s">
        <v>703</v>
      </c>
      <c r="H719" s="8" t="s">
        <v>2034</v>
      </c>
      <c r="I719" s="8" t="s">
        <v>2026</v>
      </c>
      <c r="J719" s="9">
        <v>19.760000000000002</v>
      </c>
    </row>
    <row r="720" spans="7:10" x14ac:dyDescent="0.3">
      <c r="G720" s="10" t="s">
        <v>704</v>
      </c>
      <c r="H720" s="11" t="s">
        <v>2039</v>
      </c>
      <c r="I720" s="11" t="s">
        <v>1978</v>
      </c>
      <c r="J720" s="12">
        <v>13.96</v>
      </c>
    </row>
    <row r="721" spans="7:10" x14ac:dyDescent="0.3">
      <c r="G721" s="7" t="s">
        <v>705</v>
      </c>
      <c r="H721" s="8" t="s">
        <v>2057</v>
      </c>
      <c r="I721" s="8" t="s">
        <v>1993</v>
      </c>
      <c r="J721" s="9">
        <v>18.25</v>
      </c>
    </row>
    <row r="722" spans="7:10" x14ac:dyDescent="0.3">
      <c r="G722" s="10" t="s">
        <v>706</v>
      </c>
      <c r="H722" s="11" t="s">
        <v>2035</v>
      </c>
      <c r="I722" s="11" t="s">
        <v>1988</v>
      </c>
      <c r="J722" s="12">
        <v>9.99</v>
      </c>
    </row>
    <row r="723" spans="7:10" x14ac:dyDescent="0.3">
      <c r="G723" s="7" t="s">
        <v>707</v>
      </c>
      <c r="H723" s="8" t="s">
        <v>2065</v>
      </c>
      <c r="I723" s="8" t="s">
        <v>1998</v>
      </c>
      <c r="J723" s="9">
        <v>2.67</v>
      </c>
    </row>
    <row r="724" spans="7:10" x14ac:dyDescent="0.3">
      <c r="G724" s="10" t="s">
        <v>708</v>
      </c>
      <c r="H724" s="11" t="s">
        <v>2034</v>
      </c>
      <c r="I724" s="11" t="s">
        <v>2015</v>
      </c>
      <c r="J724" s="12">
        <v>4.41</v>
      </c>
    </row>
    <row r="725" spans="7:10" x14ac:dyDescent="0.3">
      <c r="G725" s="7" t="s">
        <v>709</v>
      </c>
      <c r="H725" s="8" t="s">
        <v>2075</v>
      </c>
      <c r="I725" s="8" t="s">
        <v>2022</v>
      </c>
      <c r="J725" s="9">
        <v>10.15</v>
      </c>
    </row>
    <row r="726" spans="7:10" x14ac:dyDescent="0.3">
      <c r="G726" s="10" t="s">
        <v>710</v>
      </c>
      <c r="H726" s="11" t="s">
        <v>2076</v>
      </c>
      <c r="I726" s="11" t="s">
        <v>1999</v>
      </c>
      <c r="J726" s="12">
        <v>4.9800000000000004</v>
      </c>
    </row>
    <row r="727" spans="7:10" x14ac:dyDescent="0.3">
      <c r="G727" s="7" t="s">
        <v>711</v>
      </c>
      <c r="H727" s="8" t="s">
        <v>2036</v>
      </c>
      <c r="I727" s="8" t="s">
        <v>1988</v>
      </c>
      <c r="J727" s="9">
        <v>10.52</v>
      </c>
    </row>
    <row r="728" spans="7:10" x14ac:dyDescent="0.3">
      <c r="G728" s="10" t="s">
        <v>712</v>
      </c>
      <c r="H728" s="11" t="s">
        <v>2034</v>
      </c>
      <c r="I728" s="11" t="s">
        <v>2022</v>
      </c>
      <c r="J728" s="12">
        <v>3.62</v>
      </c>
    </row>
    <row r="729" spans="7:10" x14ac:dyDescent="0.3">
      <c r="G729" s="7" t="s">
        <v>713</v>
      </c>
      <c r="H729" s="8" t="s">
        <v>2076</v>
      </c>
      <c r="I729" s="8" t="s">
        <v>1979</v>
      </c>
      <c r="J729" s="9">
        <v>4.17</v>
      </c>
    </row>
    <row r="730" spans="7:10" x14ac:dyDescent="0.3">
      <c r="G730" s="10" t="s">
        <v>714</v>
      </c>
      <c r="H730" s="11" t="s">
        <v>2070</v>
      </c>
      <c r="I730" s="11" t="s">
        <v>1979</v>
      </c>
      <c r="J730" s="12">
        <v>2.73</v>
      </c>
    </row>
    <row r="731" spans="7:10" x14ac:dyDescent="0.3">
      <c r="G731" s="7" t="s">
        <v>715</v>
      </c>
      <c r="H731" s="8" t="s">
        <v>2040</v>
      </c>
      <c r="I731" s="8" t="s">
        <v>1979</v>
      </c>
      <c r="J731" s="9">
        <v>2.93</v>
      </c>
    </row>
    <row r="732" spans="7:10" x14ac:dyDescent="0.3">
      <c r="G732" s="10" t="s">
        <v>716</v>
      </c>
      <c r="H732" s="11" t="s">
        <v>2038</v>
      </c>
      <c r="I732" s="11" t="s">
        <v>2022</v>
      </c>
      <c r="J732" s="12">
        <v>4.47</v>
      </c>
    </row>
    <row r="733" spans="7:10" x14ac:dyDescent="0.3">
      <c r="G733" s="7" t="s">
        <v>717</v>
      </c>
      <c r="H733" s="8" t="s">
        <v>2034</v>
      </c>
      <c r="I733" s="8" t="s">
        <v>2002</v>
      </c>
      <c r="J733" s="9">
        <v>5.54</v>
      </c>
    </row>
    <row r="734" spans="7:10" x14ac:dyDescent="0.3">
      <c r="G734" s="10" t="s">
        <v>718</v>
      </c>
      <c r="H734" s="11" t="s">
        <v>2035</v>
      </c>
      <c r="I734" s="11" t="s">
        <v>2000</v>
      </c>
      <c r="J734" s="12">
        <v>29.13</v>
      </c>
    </row>
    <row r="735" spans="7:10" x14ac:dyDescent="0.3">
      <c r="G735" s="7" t="s">
        <v>719</v>
      </c>
      <c r="H735" s="8" t="s">
        <v>2034</v>
      </c>
      <c r="I735" s="8" t="s">
        <v>2002</v>
      </c>
      <c r="J735" s="9">
        <v>16.27</v>
      </c>
    </row>
    <row r="736" spans="7:10" x14ac:dyDescent="0.3">
      <c r="G736" s="10" t="s">
        <v>720</v>
      </c>
      <c r="H736" s="11" t="s">
        <v>2034</v>
      </c>
      <c r="I736" s="11" t="s">
        <v>1992</v>
      </c>
      <c r="J736" s="12">
        <v>10.039999999999999</v>
      </c>
    </row>
    <row r="737" spans="7:10" x14ac:dyDescent="0.3">
      <c r="G737" s="7" t="s">
        <v>721</v>
      </c>
      <c r="H737" s="8" t="s">
        <v>2051</v>
      </c>
      <c r="I737" s="8" t="s">
        <v>2005</v>
      </c>
      <c r="J737" s="9">
        <v>11.29</v>
      </c>
    </row>
    <row r="738" spans="7:10" x14ac:dyDescent="0.3">
      <c r="G738" s="10" t="s">
        <v>722</v>
      </c>
      <c r="H738" s="11" t="s">
        <v>2038</v>
      </c>
      <c r="I738" s="11" t="s">
        <v>1987</v>
      </c>
      <c r="J738" s="12">
        <v>13.81</v>
      </c>
    </row>
    <row r="739" spans="7:10" x14ac:dyDescent="0.3">
      <c r="G739" s="7" t="s">
        <v>723</v>
      </c>
      <c r="H739" s="8" t="s">
        <v>2038</v>
      </c>
      <c r="I739" s="8" t="s">
        <v>1979</v>
      </c>
      <c r="J739" s="9">
        <v>2.25</v>
      </c>
    </row>
    <row r="740" spans="7:10" x14ac:dyDescent="0.3">
      <c r="G740" s="10" t="s">
        <v>724</v>
      </c>
      <c r="H740" s="11" t="s">
        <v>2039</v>
      </c>
      <c r="I740" s="11" t="s">
        <v>1987</v>
      </c>
      <c r="J740" s="12">
        <v>17.7</v>
      </c>
    </row>
    <row r="741" spans="7:10" x14ac:dyDescent="0.3">
      <c r="G741" s="7" t="s">
        <v>725</v>
      </c>
      <c r="H741" s="8" t="s">
        <v>2034</v>
      </c>
      <c r="I741" s="8" t="s">
        <v>2023</v>
      </c>
      <c r="J741" s="9">
        <v>19.25</v>
      </c>
    </row>
    <row r="742" spans="7:10" x14ac:dyDescent="0.3">
      <c r="G742" s="10" t="s">
        <v>726</v>
      </c>
      <c r="H742" s="11" t="s">
        <v>2039</v>
      </c>
      <c r="I742" s="11" t="s">
        <v>2030</v>
      </c>
      <c r="J742" s="12">
        <v>3.24</v>
      </c>
    </row>
    <row r="743" spans="7:10" x14ac:dyDescent="0.3">
      <c r="G743" s="7" t="s">
        <v>727</v>
      </c>
      <c r="H743" s="8" t="s">
        <v>2046</v>
      </c>
      <c r="I743" s="8" t="s">
        <v>2015</v>
      </c>
      <c r="J743" s="9">
        <v>6.89</v>
      </c>
    </row>
    <row r="744" spans="7:10" x14ac:dyDescent="0.3">
      <c r="G744" s="10" t="s">
        <v>728</v>
      </c>
      <c r="H744" s="11" t="s">
        <v>2043</v>
      </c>
      <c r="I744" s="11" t="s">
        <v>2022</v>
      </c>
      <c r="J744" s="12">
        <v>10.47</v>
      </c>
    </row>
    <row r="745" spans="7:10" x14ac:dyDescent="0.3">
      <c r="G745" s="7" t="s">
        <v>729</v>
      </c>
      <c r="H745" s="8" t="s">
        <v>2040</v>
      </c>
      <c r="I745" s="8" t="s">
        <v>1993</v>
      </c>
      <c r="J745" s="9">
        <v>5.2</v>
      </c>
    </row>
    <row r="746" spans="7:10" x14ac:dyDescent="0.3">
      <c r="G746" s="10" t="s">
        <v>730</v>
      </c>
      <c r="H746" s="11" t="s">
        <v>2034</v>
      </c>
      <c r="I746" s="11" t="s">
        <v>2004</v>
      </c>
      <c r="J746" s="12">
        <v>8.15</v>
      </c>
    </row>
    <row r="747" spans="7:10" x14ac:dyDescent="0.3">
      <c r="G747" s="7" t="s">
        <v>731</v>
      </c>
      <c r="H747" s="8" t="s">
        <v>2034</v>
      </c>
      <c r="I747" s="8" t="s">
        <v>2023</v>
      </c>
      <c r="J747" s="9">
        <v>9.6999999999999993</v>
      </c>
    </row>
    <row r="748" spans="7:10" x14ac:dyDescent="0.3">
      <c r="G748" s="10" t="s">
        <v>732</v>
      </c>
      <c r="H748" s="11" t="s">
        <v>2077</v>
      </c>
      <c r="I748" s="11" t="s">
        <v>2003</v>
      </c>
      <c r="J748" s="12">
        <v>4.9000000000000004</v>
      </c>
    </row>
    <row r="749" spans="7:10" x14ac:dyDescent="0.3">
      <c r="G749" s="7" t="s">
        <v>733</v>
      </c>
      <c r="H749" s="8" t="s">
        <v>2038</v>
      </c>
      <c r="I749" s="8" t="s">
        <v>1999</v>
      </c>
      <c r="J749" s="9">
        <v>5.48</v>
      </c>
    </row>
    <row r="750" spans="7:10" x14ac:dyDescent="0.3">
      <c r="G750" s="10" t="s">
        <v>734</v>
      </c>
      <c r="H750" s="11" t="s">
        <v>2038</v>
      </c>
      <c r="I750" s="11" t="s">
        <v>1997</v>
      </c>
      <c r="J750" s="12">
        <v>11.65</v>
      </c>
    </row>
    <row r="751" spans="7:10" x14ac:dyDescent="0.3">
      <c r="G751" s="7" t="s">
        <v>735</v>
      </c>
      <c r="H751" s="8" t="s">
        <v>2034</v>
      </c>
      <c r="I751" s="8" t="s">
        <v>1987</v>
      </c>
      <c r="J751" s="9">
        <v>10.26</v>
      </c>
    </row>
    <row r="752" spans="7:10" x14ac:dyDescent="0.3">
      <c r="G752" s="10" t="s">
        <v>736</v>
      </c>
      <c r="H752" s="11" t="s">
        <v>2039</v>
      </c>
      <c r="I752" s="11" t="s">
        <v>2001</v>
      </c>
      <c r="J752" s="12">
        <v>4.45</v>
      </c>
    </row>
    <row r="753" spans="7:10" x14ac:dyDescent="0.3">
      <c r="G753" s="7" t="s">
        <v>737</v>
      </c>
      <c r="H753" s="8" t="s">
        <v>2065</v>
      </c>
      <c r="I753" s="8" t="s">
        <v>2027</v>
      </c>
      <c r="J753" s="9">
        <v>6.62</v>
      </c>
    </row>
    <row r="754" spans="7:10" x14ac:dyDescent="0.3">
      <c r="G754" s="10" t="s">
        <v>738</v>
      </c>
      <c r="H754" s="11" t="s">
        <v>2034</v>
      </c>
      <c r="I754" s="11" t="s">
        <v>1997</v>
      </c>
      <c r="J754" s="12">
        <v>5.67</v>
      </c>
    </row>
    <row r="755" spans="7:10" x14ac:dyDescent="0.3">
      <c r="G755" s="7" t="s">
        <v>739</v>
      </c>
      <c r="H755" s="8" t="s">
        <v>2034</v>
      </c>
      <c r="I755" s="8" t="s">
        <v>2031</v>
      </c>
      <c r="J755" s="9">
        <v>7.66</v>
      </c>
    </row>
    <row r="756" spans="7:10" x14ac:dyDescent="0.3">
      <c r="G756" s="10" t="s">
        <v>740</v>
      </c>
      <c r="H756" s="11" t="s">
        <v>2034</v>
      </c>
      <c r="I756" s="11" t="s">
        <v>1979</v>
      </c>
      <c r="J756" s="12">
        <v>3.42</v>
      </c>
    </row>
    <row r="757" spans="7:10" x14ac:dyDescent="0.3">
      <c r="G757" s="7" t="s">
        <v>741</v>
      </c>
      <c r="H757" s="8" t="s">
        <v>2055</v>
      </c>
      <c r="I757" s="8" t="s">
        <v>1979</v>
      </c>
      <c r="J757" s="9">
        <v>1.1000000000000001</v>
      </c>
    </row>
    <row r="758" spans="7:10" x14ac:dyDescent="0.3">
      <c r="G758" s="10" t="s">
        <v>742</v>
      </c>
      <c r="H758" s="11" t="s">
        <v>2053</v>
      </c>
      <c r="I758" s="11" t="s">
        <v>2015</v>
      </c>
      <c r="J758" s="12">
        <v>15.59</v>
      </c>
    </row>
    <row r="759" spans="7:10" x14ac:dyDescent="0.3">
      <c r="G759" s="7" t="s">
        <v>743</v>
      </c>
      <c r="H759" s="8" t="s">
        <v>2038</v>
      </c>
      <c r="I759" s="8" t="s">
        <v>1979</v>
      </c>
      <c r="J759" s="9">
        <v>2.06</v>
      </c>
    </row>
    <row r="760" spans="7:10" x14ac:dyDescent="0.3">
      <c r="G760" s="10" t="s">
        <v>744</v>
      </c>
      <c r="H760" s="11" t="s">
        <v>2047</v>
      </c>
      <c r="I760" s="11" t="s">
        <v>2015</v>
      </c>
      <c r="J760" s="12">
        <v>3.83</v>
      </c>
    </row>
    <row r="761" spans="7:10" x14ac:dyDescent="0.3">
      <c r="G761" s="7" t="s">
        <v>745</v>
      </c>
      <c r="H761" s="8" t="s">
        <v>2034</v>
      </c>
      <c r="I761" s="8" t="s">
        <v>2001</v>
      </c>
      <c r="J761" s="9">
        <v>26.01</v>
      </c>
    </row>
    <row r="762" spans="7:10" x14ac:dyDescent="0.3">
      <c r="G762" s="10" t="s">
        <v>746</v>
      </c>
      <c r="H762" s="11" t="s">
        <v>2034</v>
      </c>
      <c r="I762" s="11" t="s">
        <v>2022</v>
      </c>
      <c r="J762" s="12">
        <v>9.9499999999999993</v>
      </c>
    </row>
    <row r="763" spans="7:10" x14ac:dyDescent="0.3">
      <c r="G763" s="7" t="s">
        <v>747</v>
      </c>
      <c r="H763" s="8" t="s">
        <v>2034</v>
      </c>
      <c r="I763" s="8" t="s">
        <v>1986</v>
      </c>
      <c r="J763" s="9">
        <v>5.49</v>
      </c>
    </row>
    <row r="764" spans="7:10" x14ac:dyDescent="0.3">
      <c r="G764" s="10" t="s">
        <v>748</v>
      </c>
      <c r="H764" s="11" t="s">
        <v>2034</v>
      </c>
      <c r="I764" s="11" t="s">
        <v>1993</v>
      </c>
      <c r="J764" s="12">
        <v>9.44</v>
      </c>
    </row>
    <row r="765" spans="7:10" x14ac:dyDescent="0.3">
      <c r="G765" s="7" t="s">
        <v>749</v>
      </c>
      <c r="H765" s="8" t="s">
        <v>2034</v>
      </c>
      <c r="I765" s="8" t="s">
        <v>2028</v>
      </c>
      <c r="J765" s="9">
        <v>13.9</v>
      </c>
    </row>
    <row r="766" spans="7:10" x14ac:dyDescent="0.3">
      <c r="G766" s="10" t="s">
        <v>750</v>
      </c>
      <c r="H766" s="11" t="s">
        <v>2073</v>
      </c>
      <c r="I766" s="11" t="s">
        <v>2022</v>
      </c>
      <c r="J766" s="12">
        <v>2.89</v>
      </c>
    </row>
    <row r="767" spans="7:10" x14ac:dyDescent="0.3">
      <c r="G767" s="7" t="s">
        <v>751</v>
      </c>
      <c r="H767" s="8" t="s">
        <v>2038</v>
      </c>
      <c r="I767" s="8" t="s">
        <v>1993</v>
      </c>
      <c r="J767" s="9">
        <v>13.24</v>
      </c>
    </row>
    <row r="768" spans="7:10" x14ac:dyDescent="0.3">
      <c r="G768" s="10" t="s">
        <v>752</v>
      </c>
      <c r="H768" s="11" t="s">
        <v>2061</v>
      </c>
      <c r="I768" s="11" t="s">
        <v>2015</v>
      </c>
      <c r="J768" s="12">
        <v>6.83</v>
      </c>
    </row>
    <row r="769" spans="7:10" x14ac:dyDescent="0.3">
      <c r="G769" s="7" t="s">
        <v>753</v>
      </c>
      <c r="H769" s="8" t="s">
        <v>2038</v>
      </c>
      <c r="I769" s="8" t="s">
        <v>1998</v>
      </c>
      <c r="J769" s="9">
        <v>3.36</v>
      </c>
    </row>
    <row r="770" spans="7:10" x14ac:dyDescent="0.3">
      <c r="G770" s="10" t="s">
        <v>754</v>
      </c>
      <c r="H770" s="11" t="s">
        <v>2038</v>
      </c>
      <c r="I770" s="11" t="s">
        <v>2030</v>
      </c>
      <c r="J770" s="12">
        <v>16.36</v>
      </c>
    </row>
    <row r="771" spans="7:10" x14ac:dyDescent="0.3">
      <c r="G771" s="7" t="s">
        <v>755</v>
      </c>
      <c r="H771" s="8" t="s">
        <v>2034</v>
      </c>
      <c r="I771" s="8" t="s">
        <v>2005</v>
      </c>
      <c r="J771" s="9">
        <v>5</v>
      </c>
    </row>
    <row r="772" spans="7:10" x14ac:dyDescent="0.3">
      <c r="G772" s="10" t="s">
        <v>756</v>
      </c>
      <c r="H772" s="11" t="s">
        <v>2038</v>
      </c>
      <c r="I772" s="11" t="s">
        <v>2022</v>
      </c>
      <c r="J772" s="12">
        <v>19.21</v>
      </c>
    </row>
    <row r="773" spans="7:10" x14ac:dyDescent="0.3">
      <c r="G773" s="7" t="s">
        <v>757</v>
      </c>
      <c r="H773" s="8" t="s">
        <v>2035</v>
      </c>
      <c r="I773" s="8" t="s">
        <v>2005</v>
      </c>
      <c r="J773" s="9">
        <v>17.170000000000002</v>
      </c>
    </row>
    <row r="774" spans="7:10" x14ac:dyDescent="0.3">
      <c r="G774" s="10" t="s">
        <v>758</v>
      </c>
      <c r="H774" s="11" t="s">
        <v>2046</v>
      </c>
      <c r="I774" s="11" t="s">
        <v>2015</v>
      </c>
      <c r="J774" s="12">
        <v>4.7</v>
      </c>
    </row>
    <row r="775" spans="7:10" x14ac:dyDescent="0.3">
      <c r="G775" s="7" t="s">
        <v>759</v>
      </c>
      <c r="H775" s="8" t="s">
        <v>2065</v>
      </c>
      <c r="I775" s="8" t="s">
        <v>1998</v>
      </c>
      <c r="J775" s="9">
        <v>3.33</v>
      </c>
    </row>
    <row r="776" spans="7:10" x14ac:dyDescent="0.3">
      <c r="G776" s="10" t="s">
        <v>760</v>
      </c>
      <c r="H776" s="11" t="s">
        <v>2074</v>
      </c>
      <c r="I776" s="11" t="s">
        <v>2031</v>
      </c>
      <c r="J776" s="12">
        <v>5.03</v>
      </c>
    </row>
    <row r="777" spans="7:10" x14ac:dyDescent="0.3">
      <c r="G777" s="7" t="s">
        <v>761</v>
      </c>
      <c r="H777" s="8" t="s">
        <v>2040</v>
      </c>
      <c r="I777" s="8" t="s">
        <v>2005</v>
      </c>
      <c r="J777" s="9">
        <v>8.2899999999999991</v>
      </c>
    </row>
    <row r="778" spans="7:10" x14ac:dyDescent="0.3">
      <c r="G778" s="10" t="s">
        <v>762</v>
      </c>
      <c r="H778" s="11" t="s">
        <v>2056</v>
      </c>
      <c r="I778" s="11" t="s">
        <v>2022</v>
      </c>
      <c r="J778" s="12">
        <v>4.49</v>
      </c>
    </row>
    <row r="779" spans="7:10" x14ac:dyDescent="0.3">
      <c r="G779" s="7" t="s">
        <v>763</v>
      </c>
      <c r="H779" s="8" t="s">
        <v>2034</v>
      </c>
      <c r="I779" s="8" t="s">
        <v>1997</v>
      </c>
      <c r="J779" s="9">
        <v>14.32</v>
      </c>
    </row>
    <row r="780" spans="7:10" x14ac:dyDescent="0.3">
      <c r="G780" s="10" t="s">
        <v>764</v>
      </c>
      <c r="H780" s="11" t="s">
        <v>2038</v>
      </c>
      <c r="I780" s="11" t="s">
        <v>2026</v>
      </c>
      <c r="J780" s="12">
        <v>7.81</v>
      </c>
    </row>
    <row r="781" spans="7:10" x14ac:dyDescent="0.3">
      <c r="G781" s="7" t="s">
        <v>765</v>
      </c>
      <c r="H781" s="8" t="s">
        <v>2060</v>
      </c>
      <c r="I781" s="8" t="s">
        <v>1992</v>
      </c>
      <c r="J781" s="9">
        <v>7.36</v>
      </c>
    </row>
    <row r="782" spans="7:10" x14ac:dyDescent="0.3">
      <c r="G782" s="10" t="s">
        <v>766</v>
      </c>
      <c r="H782" s="11" t="s">
        <v>2038</v>
      </c>
      <c r="I782" s="11" t="s">
        <v>1998</v>
      </c>
      <c r="J782" s="12">
        <v>3.45</v>
      </c>
    </row>
    <row r="783" spans="7:10" x14ac:dyDescent="0.3">
      <c r="G783" s="7" t="s">
        <v>2010</v>
      </c>
      <c r="H783" s="8" t="s">
        <v>1975</v>
      </c>
      <c r="I783" s="8" t="s">
        <v>2005</v>
      </c>
      <c r="J783" s="9">
        <v>5.35</v>
      </c>
    </row>
    <row r="784" spans="7:10" x14ac:dyDescent="0.3">
      <c r="G784" s="10" t="s">
        <v>767</v>
      </c>
      <c r="H784" s="11" t="s">
        <v>2046</v>
      </c>
      <c r="I784" s="11" t="s">
        <v>2022</v>
      </c>
      <c r="J784" s="12">
        <v>4.7300000000000004</v>
      </c>
    </row>
    <row r="785" spans="7:10" x14ac:dyDescent="0.3">
      <c r="G785" s="7" t="s">
        <v>768</v>
      </c>
      <c r="H785" s="8" t="s">
        <v>2034</v>
      </c>
      <c r="I785" s="8" t="s">
        <v>2005</v>
      </c>
      <c r="J785" s="9">
        <v>3.77</v>
      </c>
    </row>
    <row r="786" spans="7:10" x14ac:dyDescent="0.3">
      <c r="G786" s="10" t="s">
        <v>769</v>
      </c>
      <c r="H786" s="11" t="s">
        <v>2038</v>
      </c>
      <c r="I786" s="11" t="s">
        <v>1997</v>
      </c>
      <c r="J786" s="12">
        <v>19.8</v>
      </c>
    </row>
    <row r="787" spans="7:10" x14ac:dyDescent="0.3">
      <c r="G787" s="7" t="s">
        <v>770</v>
      </c>
      <c r="H787" s="8" t="s">
        <v>2038</v>
      </c>
      <c r="I787" s="8" t="s">
        <v>1986</v>
      </c>
      <c r="J787" s="9">
        <v>5.1100000000000003</v>
      </c>
    </row>
    <row r="788" spans="7:10" x14ac:dyDescent="0.3">
      <c r="G788" s="10" t="s">
        <v>771</v>
      </c>
      <c r="H788" s="11" t="s">
        <v>2034</v>
      </c>
      <c r="I788" s="11" t="s">
        <v>1979</v>
      </c>
      <c r="J788" s="12">
        <v>3.45</v>
      </c>
    </row>
    <row r="789" spans="7:10" x14ac:dyDescent="0.3">
      <c r="G789" s="7" t="s">
        <v>772</v>
      </c>
      <c r="H789" s="8" t="s">
        <v>2042</v>
      </c>
      <c r="I789" s="8" t="s">
        <v>2031</v>
      </c>
      <c r="J789" s="9">
        <v>7.57</v>
      </c>
    </row>
    <row r="790" spans="7:10" x14ac:dyDescent="0.3">
      <c r="G790" s="10" t="s">
        <v>773</v>
      </c>
      <c r="H790" s="11" t="s">
        <v>2038</v>
      </c>
      <c r="I790" s="11" t="s">
        <v>2030</v>
      </c>
      <c r="J790" s="12">
        <v>12.06</v>
      </c>
    </row>
    <row r="791" spans="7:10" x14ac:dyDescent="0.3">
      <c r="G791" s="7" t="s">
        <v>774</v>
      </c>
      <c r="H791" s="8" t="s">
        <v>2035</v>
      </c>
      <c r="I791" s="8" t="s">
        <v>2017</v>
      </c>
      <c r="J791" s="9">
        <v>7.25</v>
      </c>
    </row>
    <row r="792" spans="7:10" x14ac:dyDescent="0.3">
      <c r="G792" s="10" t="s">
        <v>775</v>
      </c>
      <c r="H792" s="11" t="s">
        <v>1977</v>
      </c>
      <c r="I792" s="11" t="s">
        <v>1979</v>
      </c>
      <c r="J792" s="12">
        <v>3.24</v>
      </c>
    </row>
    <row r="793" spans="7:10" x14ac:dyDescent="0.3">
      <c r="G793" s="7" t="s">
        <v>776</v>
      </c>
      <c r="H793" s="8" t="s">
        <v>2042</v>
      </c>
      <c r="I793" s="8" t="s">
        <v>1979</v>
      </c>
      <c r="J793" s="9">
        <v>5.98</v>
      </c>
    </row>
    <row r="794" spans="7:10" x14ac:dyDescent="0.3">
      <c r="G794" s="10" t="s">
        <v>777</v>
      </c>
      <c r="H794" s="11" t="s">
        <v>2038</v>
      </c>
      <c r="I794" s="11" t="s">
        <v>1997</v>
      </c>
      <c r="J794" s="12">
        <v>13.93</v>
      </c>
    </row>
    <row r="795" spans="7:10" x14ac:dyDescent="0.3">
      <c r="G795" s="7" t="s">
        <v>778</v>
      </c>
      <c r="H795" s="8" t="s">
        <v>2065</v>
      </c>
      <c r="I795" s="8" t="s">
        <v>1988</v>
      </c>
      <c r="J795" s="9">
        <v>4.5999999999999996</v>
      </c>
    </row>
    <row r="796" spans="7:10" x14ac:dyDescent="0.3">
      <c r="G796" s="10" t="s">
        <v>779</v>
      </c>
      <c r="H796" s="11" t="s">
        <v>2038</v>
      </c>
      <c r="I796" s="11" t="s">
        <v>2001</v>
      </c>
      <c r="J796" s="12">
        <v>10.01</v>
      </c>
    </row>
    <row r="797" spans="7:10" x14ac:dyDescent="0.3">
      <c r="G797" s="7" t="s">
        <v>780</v>
      </c>
      <c r="H797" s="8" t="s">
        <v>2076</v>
      </c>
      <c r="I797" s="8" t="s">
        <v>1979</v>
      </c>
      <c r="J797" s="9">
        <v>3.85</v>
      </c>
    </row>
    <row r="798" spans="7:10" x14ac:dyDescent="0.3">
      <c r="G798" s="10" t="s">
        <v>2019</v>
      </c>
      <c r="H798" s="11" t="s">
        <v>2042</v>
      </c>
      <c r="I798" s="11" t="s">
        <v>2017</v>
      </c>
      <c r="J798" s="12">
        <v>4.5999999999999996</v>
      </c>
    </row>
    <row r="799" spans="7:10" x14ac:dyDescent="0.3">
      <c r="G799" s="7" t="s">
        <v>781</v>
      </c>
      <c r="H799" s="8" t="s">
        <v>2045</v>
      </c>
      <c r="I799" s="8" t="s">
        <v>1979</v>
      </c>
      <c r="J799" s="9">
        <v>2.74</v>
      </c>
    </row>
    <row r="800" spans="7:10" x14ac:dyDescent="0.3">
      <c r="G800" s="10" t="s">
        <v>782</v>
      </c>
      <c r="H800" s="11" t="s">
        <v>2034</v>
      </c>
      <c r="I800" s="11" t="s">
        <v>2031</v>
      </c>
      <c r="J800" s="12">
        <v>7.89</v>
      </c>
    </row>
    <row r="801" spans="7:10" x14ac:dyDescent="0.3">
      <c r="G801" s="7" t="s">
        <v>783</v>
      </c>
      <c r="H801" s="8" t="s">
        <v>2038</v>
      </c>
      <c r="I801" s="8" t="s">
        <v>1993</v>
      </c>
      <c r="J801" s="9">
        <v>13.11</v>
      </c>
    </row>
    <row r="802" spans="7:10" x14ac:dyDescent="0.3">
      <c r="G802" s="10" t="s">
        <v>784</v>
      </c>
      <c r="H802" s="11" t="s">
        <v>2057</v>
      </c>
      <c r="I802" s="11" t="s">
        <v>1997</v>
      </c>
      <c r="J802" s="12">
        <v>16.27</v>
      </c>
    </row>
    <row r="803" spans="7:10" x14ac:dyDescent="0.3">
      <c r="G803" s="7" t="s">
        <v>785</v>
      </c>
      <c r="H803" s="8" t="s">
        <v>2053</v>
      </c>
      <c r="I803" s="8" t="s">
        <v>2022</v>
      </c>
      <c r="J803" s="9">
        <v>11.79</v>
      </c>
    </row>
    <row r="804" spans="7:10" x14ac:dyDescent="0.3">
      <c r="G804" s="10" t="s">
        <v>786</v>
      </c>
      <c r="H804" s="11" t="s">
        <v>2075</v>
      </c>
      <c r="I804" s="11" t="s">
        <v>1979</v>
      </c>
      <c r="J804" s="12">
        <v>2.61</v>
      </c>
    </row>
    <row r="805" spans="7:10" x14ac:dyDescent="0.3">
      <c r="G805" s="7" t="s">
        <v>787</v>
      </c>
      <c r="H805" s="8" t="s">
        <v>2052</v>
      </c>
      <c r="I805" s="8" t="s">
        <v>1998</v>
      </c>
      <c r="J805" s="9">
        <v>2.36</v>
      </c>
    </row>
    <row r="806" spans="7:10" x14ac:dyDescent="0.3">
      <c r="G806" s="10" t="s">
        <v>788</v>
      </c>
      <c r="H806" s="11" t="s">
        <v>2051</v>
      </c>
      <c r="I806" s="11" t="s">
        <v>2022</v>
      </c>
      <c r="J806" s="12">
        <v>4.33</v>
      </c>
    </row>
    <row r="807" spans="7:10" x14ac:dyDescent="0.3">
      <c r="G807" s="7" t="s">
        <v>789</v>
      </c>
      <c r="H807" s="8" t="s">
        <v>2047</v>
      </c>
      <c r="I807" s="8" t="s">
        <v>1986</v>
      </c>
      <c r="J807" s="9">
        <v>14.24</v>
      </c>
    </row>
    <row r="808" spans="7:10" x14ac:dyDescent="0.3">
      <c r="G808" s="10" t="s">
        <v>790</v>
      </c>
      <c r="H808" s="11" t="s">
        <v>2070</v>
      </c>
      <c r="I808" s="11" t="s">
        <v>2028</v>
      </c>
      <c r="J808" s="12">
        <v>7.03</v>
      </c>
    </row>
    <row r="809" spans="7:10" x14ac:dyDescent="0.3">
      <c r="G809" s="7" t="s">
        <v>791</v>
      </c>
      <c r="H809" s="8" t="s">
        <v>2034</v>
      </c>
      <c r="I809" s="8" t="s">
        <v>1998</v>
      </c>
      <c r="J809" s="9">
        <v>2.54</v>
      </c>
    </row>
    <row r="810" spans="7:10" x14ac:dyDescent="0.3">
      <c r="G810" s="10" t="s">
        <v>792</v>
      </c>
      <c r="H810" s="11" t="s">
        <v>2060</v>
      </c>
      <c r="I810" s="11" t="s">
        <v>2015</v>
      </c>
      <c r="J810" s="12">
        <v>5.48</v>
      </c>
    </row>
    <row r="811" spans="7:10" x14ac:dyDescent="0.3">
      <c r="G811" s="7" t="s">
        <v>793</v>
      </c>
      <c r="H811" s="8" t="s">
        <v>2035</v>
      </c>
      <c r="I811" s="8" t="s">
        <v>2001</v>
      </c>
      <c r="J811" s="9">
        <v>5.6</v>
      </c>
    </row>
    <row r="812" spans="7:10" x14ac:dyDescent="0.3">
      <c r="G812" s="10" t="s">
        <v>794</v>
      </c>
      <c r="H812" s="11" t="s">
        <v>2034</v>
      </c>
      <c r="I812" s="11" t="s">
        <v>2027</v>
      </c>
      <c r="J812" s="12">
        <v>11.66</v>
      </c>
    </row>
    <row r="813" spans="7:10" x14ac:dyDescent="0.3">
      <c r="G813" s="7" t="s">
        <v>795</v>
      </c>
      <c r="H813" s="8" t="s">
        <v>2038</v>
      </c>
      <c r="I813" s="8" t="s">
        <v>2025</v>
      </c>
      <c r="J813" s="9">
        <v>5.93</v>
      </c>
    </row>
    <row r="814" spans="7:10" x14ac:dyDescent="0.3">
      <c r="G814" s="10" t="s">
        <v>796</v>
      </c>
      <c r="H814" s="11" t="s">
        <v>2034</v>
      </c>
      <c r="I814" s="11" t="s">
        <v>2003</v>
      </c>
      <c r="J814" s="12">
        <v>6.71</v>
      </c>
    </row>
    <row r="815" spans="7:10" x14ac:dyDescent="0.3">
      <c r="G815" s="7" t="s">
        <v>797</v>
      </c>
      <c r="H815" s="8" t="s">
        <v>2034</v>
      </c>
      <c r="I815" s="8" t="s">
        <v>2002</v>
      </c>
      <c r="J815" s="9">
        <v>4.87</v>
      </c>
    </row>
    <row r="816" spans="7:10" x14ac:dyDescent="0.3">
      <c r="G816" s="10" t="s">
        <v>798</v>
      </c>
      <c r="H816" s="11" t="s">
        <v>2035</v>
      </c>
      <c r="I816" s="11" t="s">
        <v>2023</v>
      </c>
      <c r="J816" s="12">
        <v>10.34</v>
      </c>
    </row>
    <row r="817" spans="7:10" x14ac:dyDescent="0.3">
      <c r="G817" s="7" t="s">
        <v>799</v>
      </c>
      <c r="H817" s="8" t="s">
        <v>2034</v>
      </c>
      <c r="I817" s="8" t="s">
        <v>2002</v>
      </c>
      <c r="J817" s="9">
        <v>14.42</v>
      </c>
    </row>
    <row r="818" spans="7:10" x14ac:dyDescent="0.3">
      <c r="G818" s="10" t="s">
        <v>800</v>
      </c>
      <c r="H818" s="11" t="s">
        <v>2035</v>
      </c>
      <c r="I818" s="11" t="s">
        <v>2023</v>
      </c>
      <c r="J818" s="12">
        <v>13.33</v>
      </c>
    </row>
    <row r="819" spans="7:10" x14ac:dyDescent="0.3">
      <c r="G819" s="7" t="s">
        <v>801</v>
      </c>
      <c r="H819" s="8" t="s">
        <v>2065</v>
      </c>
      <c r="I819" s="8" t="s">
        <v>1988</v>
      </c>
      <c r="J819" s="9">
        <v>4.34</v>
      </c>
    </row>
    <row r="820" spans="7:10" x14ac:dyDescent="0.3">
      <c r="G820" s="10" t="s">
        <v>802</v>
      </c>
      <c r="H820" s="11" t="s">
        <v>2063</v>
      </c>
      <c r="I820" s="11" t="s">
        <v>2028</v>
      </c>
      <c r="J820" s="12">
        <v>4.6399999999999997</v>
      </c>
    </row>
    <row r="821" spans="7:10" x14ac:dyDescent="0.3">
      <c r="G821" s="7" t="s">
        <v>803</v>
      </c>
      <c r="H821" s="8" t="s">
        <v>2034</v>
      </c>
      <c r="I821" s="8" t="s">
        <v>2005</v>
      </c>
      <c r="J821" s="9">
        <v>2.2999999999999998</v>
      </c>
    </row>
    <row r="822" spans="7:10" x14ac:dyDescent="0.3">
      <c r="G822" s="10" t="s">
        <v>804</v>
      </c>
      <c r="H822" s="11" t="s">
        <v>2046</v>
      </c>
      <c r="I822" s="11" t="s">
        <v>2028</v>
      </c>
      <c r="J822" s="12">
        <v>5.92</v>
      </c>
    </row>
    <row r="823" spans="7:10" x14ac:dyDescent="0.3">
      <c r="G823" s="7" t="s">
        <v>805</v>
      </c>
      <c r="H823" s="8" t="s">
        <v>2034</v>
      </c>
      <c r="I823" s="8" t="s">
        <v>1998</v>
      </c>
      <c r="J823" s="9">
        <v>1.95</v>
      </c>
    </row>
    <row r="824" spans="7:10" x14ac:dyDescent="0.3">
      <c r="G824" s="10" t="s">
        <v>806</v>
      </c>
      <c r="H824" s="11" t="s">
        <v>2035</v>
      </c>
      <c r="I824" s="11" t="s">
        <v>2001</v>
      </c>
      <c r="J824" s="12">
        <v>4.8899999999999997</v>
      </c>
    </row>
    <row r="825" spans="7:10" x14ac:dyDescent="0.3">
      <c r="G825" s="7" t="s">
        <v>807</v>
      </c>
      <c r="H825" s="8" t="s">
        <v>2041</v>
      </c>
      <c r="I825" s="8" t="s">
        <v>1979</v>
      </c>
      <c r="J825" s="9">
        <v>8.7799999999999994</v>
      </c>
    </row>
    <row r="826" spans="7:10" x14ac:dyDescent="0.3">
      <c r="G826" s="10" t="s">
        <v>808</v>
      </c>
      <c r="H826" s="11" t="s">
        <v>2038</v>
      </c>
      <c r="I826" s="11" t="s">
        <v>2030</v>
      </c>
      <c r="J826" s="12">
        <v>10.32</v>
      </c>
    </row>
    <row r="827" spans="7:10" x14ac:dyDescent="0.3">
      <c r="G827" s="7" t="s">
        <v>809</v>
      </c>
      <c r="H827" s="8" t="s">
        <v>2034</v>
      </c>
      <c r="I827" s="8" t="s">
        <v>2023</v>
      </c>
      <c r="J827" s="9">
        <v>14.28</v>
      </c>
    </row>
    <row r="828" spans="7:10" x14ac:dyDescent="0.3">
      <c r="G828" s="10" t="s">
        <v>810</v>
      </c>
      <c r="H828" s="11" t="s">
        <v>2052</v>
      </c>
      <c r="I828" s="11" t="s">
        <v>1998</v>
      </c>
      <c r="J828" s="12">
        <v>0.75</v>
      </c>
    </row>
    <row r="829" spans="7:10" x14ac:dyDescent="0.3">
      <c r="G829" s="7" t="s">
        <v>811</v>
      </c>
      <c r="H829" s="8" t="s">
        <v>2035</v>
      </c>
      <c r="I829" s="8" t="s">
        <v>1998</v>
      </c>
      <c r="J829" s="9">
        <v>3.86</v>
      </c>
    </row>
    <row r="830" spans="7:10" x14ac:dyDescent="0.3">
      <c r="G830" s="10" t="s">
        <v>812</v>
      </c>
      <c r="H830" s="11" t="s">
        <v>2038</v>
      </c>
      <c r="I830" s="11" t="s">
        <v>1987</v>
      </c>
      <c r="J830" s="12">
        <v>3.08</v>
      </c>
    </row>
    <row r="831" spans="7:10" x14ac:dyDescent="0.3">
      <c r="G831" s="7" t="s">
        <v>813</v>
      </c>
      <c r="H831" s="8" t="s">
        <v>2034</v>
      </c>
      <c r="I831" s="8" t="s">
        <v>1992</v>
      </c>
      <c r="J831" s="9">
        <v>6.1</v>
      </c>
    </row>
    <row r="832" spans="7:10" x14ac:dyDescent="0.3">
      <c r="G832" s="10" t="s">
        <v>814</v>
      </c>
      <c r="H832" s="11" t="s">
        <v>1976</v>
      </c>
      <c r="I832" s="11" t="s">
        <v>1986</v>
      </c>
      <c r="J832" s="12">
        <v>6.03</v>
      </c>
    </row>
    <row r="833" spans="7:10" x14ac:dyDescent="0.3">
      <c r="G833" s="7" t="s">
        <v>815</v>
      </c>
      <c r="H833" s="8" t="s">
        <v>2034</v>
      </c>
      <c r="I833" s="8" t="s">
        <v>1998</v>
      </c>
      <c r="J833" s="9">
        <v>2.2799999999999998</v>
      </c>
    </row>
    <row r="834" spans="7:10" x14ac:dyDescent="0.3">
      <c r="G834" s="10" t="s">
        <v>816</v>
      </c>
      <c r="H834" s="11" t="s">
        <v>2042</v>
      </c>
      <c r="I834" s="11" t="s">
        <v>1997</v>
      </c>
      <c r="J834" s="12">
        <v>9.65</v>
      </c>
    </row>
    <row r="835" spans="7:10" x14ac:dyDescent="0.3">
      <c r="G835" s="7" t="s">
        <v>817</v>
      </c>
      <c r="H835" s="8" t="s">
        <v>2035</v>
      </c>
      <c r="I835" s="8" t="s">
        <v>2003</v>
      </c>
      <c r="J835" s="9">
        <v>22.41</v>
      </c>
    </row>
    <row r="836" spans="7:10" x14ac:dyDescent="0.3">
      <c r="G836" s="10" t="s">
        <v>818</v>
      </c>
      <c r="H836" s="11" t="s">
        <v>2057</v>
      </c>
      <c r="I836" s="11" t="s">
        <v>2015</v>
      </c>
      <c r="J836" s="12">
        <v>12.11</v>
      </c>
    </row>
    <row r="837" spans="7:10" x14ac:dyDescent="0.3">
      <c r="G837" s="7" t="s">
        <v>819</v>
      </c>
      <c r="H837" s="8" t="s">
        <v>2067</v>
      </c>
      <c r="I837" s="8" t="s">
        <v>1993</v>
      </c>
      <c r="J837" s="9">
        <v>4.95</v>
      </c>
    </row>
    <row r="838" spans="7:10" x14ac:dyDescent="0.3">
      <c r="G838" s="10" t="s">
        <v>820</v>
      </c>
      <c r="H838" s="11" t="s">
        <v>2040</v>
      </c>
      <c r="I838" s="11" t="s">
        <v>1993</v>
      </c>
      <c r="J838" s="12">
        <v>5.49</v>
      </c>
    </row>
    <row r="839" spans="7:10" x14ac:dyDescent="0.3">
      <c r="G839" s="7" t="s">
        <v>821</v>
      </c>
      <c r="H839" s="8" t="s">
        <v>2034</v>
      </c>
      <c r="I839" s="8" t="s">
        <v>1992</v>
      </c>
      <c r="J839" s="9">
        <v>7.43</v>
      </c>
    </row>
    <row r="840" spans="7:10" x14ac:dyDescent="0.3">
      <c r="G840" s="10" t="s">
        <v>822</v>
      </c>
      <c r="H840" s="11" t="s">
        <v>2038</v>
      </c>
      <c r="I840" s="11" t="s">
        <v>1999</v>
      </c>
      <c r="J840" s="12">
        <v>4.17</v>
      </c>
    </row>
    <row r="841" spans="7:10" x14ac:dyDescent="0.3">
      <c r="G841" s="7" t="s">
        <v>823</v>
      </c>
      <c r="H841" s="8" t="s">
        <v>2040</v>
      </c>
      <c r="I841" s="8" t="s">
        <v>2030</v>
      </c>
      <c r="J841" s="9">
        <v>2.02</v>
      </c>
    </row>
    <row r="842" spans="7:10" x14ac:dyDescent="0.3">
      <c r="G842" s="10" t="s">
        <v>824</v>
      </c>
      <c r="H842" s="11" t="s">
        <v>2038</v>
      </c>
      <c r="I842" s="11" t="s">
        <v>2001</v>
      </c>
      <c r="J842" s="12">
        <v>8.0399999999999991</v>
      </c>
    </row>
    <row r="843" spans="7:10" x14ac:dyDescent="0.3">
      <c r="G843" s="7" t="s">
        <v>2011</v>
      </c>
      <c r="H843" s="8" t="s">
        <v>2038</v>
      </c>
      <c r="I843" s="8" t="s">
        <v>2005</v>
      </c>
      <c r="J843" s="9">
        <v>9.7200000000000006</v>
      </c>
    </row>
    <row r="844" spans="7:10" x14ac:dyDescent="0.3">
      <c r="G844" s="10" t="s">
        <v>825</v>
      </c>
      <c r="H844" s="11" t="s">
        <v>2034</v>
      </c>
      <c r="I844" s="11" t="s">
        <v>1979</v>
      </c>
      <c r="J844" s="12">
        <v>2.35</v>
      </c>
    </row>
    <row r="845" spans="7:10" x14ac:dyDescent="0.3">
      <c r="G845" s="7" t="s">
        <v>2012</v>
      </c>
      <c r="H845" s="8" t="s">
        <v>2038</v>
      </c>
      <c r="I845" s="8" t="s">
        <v>2005</v>
      </c>
      <c r="J845" s="9">
        <v>9.6300000000000008</v>
      </c>
    </row>
    <row r="846" spans="7:10" x14ac:dyDescent="0.3">
      <c r="G846" s="10" t="s">
        <v>826</v>
      </c>
      <c r="H846" s="11" t="s">
        <v>2041</v>
      </c>
      <c r="I846" s="11" t="s">
        <v>2002</v>
      </c>
      <c r="J846" s="12">
        <v>9.8699999999999992</v>
      </c>
    </row>
    <row r="847" spans="7:10" x14ac:dyDescent="0.3">
      <c r="G847" s="7" t="s">
        <v>827</v>
      </c>
      <c r="H847" s="8" t="s">
        <v>2034</v>
      </c>
      <c r="I847" s="8" t="s">
        <v>2023</v>
      </c>
      <c r="J847" s="9">
        <v>7.72</v>
      </c>
    </row>
    <row r="848" spans="7:10" x14ac:dyDescent="0.3">
      <c r="G848" s="10" t="s">
        <v>828</v>
      </c>
      <c r="H848" s="11" t="s">
        <v>2044</v>
      </c>
      <c r="I848" s="11" t="s">
        <v>2015</v>
      </c>
      <c r="J848" s="12">
        <v>4.5999999999999996</v>
      </c>
    </row>
    <row r="849" spans="7:10" x14ac:dyDescent="0.3">
      <c r="G849" s="7" t="s">
        <v>829</v>
      </c>
      <c r="H849" s="8" t="s">
        <v>1977</v>
      </c>
      <c r="I849" s="8" t="s">
        <v>2028</v>
      </c>
      <c r="J849" s="9">
        <v>5.5</v>
      </c>
    </row>
    <row r="850" spans="7:10" x14ac:dyDescent="0.3">
      <c r="G850" s="10" t="s">
        <v>830</v>
      </c>
      <c r="H850" s="11" t="s">
        <v>2038</v>
      </c>
      <c r="I850" s="11" t="s">
        <v>1999</v>
      </c>
      <c r="J850" s="12">
        <v>4.97</v>
      </c>
    </row>
    <row r="851" spans="7:10" x14ac:dyDescent="0.3">
      <c r="G851" s="7" t="s">
        <v>831</v>
      </c>
      <c r="H851" s="8" t="s">
        <v>2038</v>
      </c>
      <c r="I851" s="8" t="s">
        <v>2031</v>
      </c>
      <c r="J851" s="9">
        <v>5.55</v>
      </c>
    </row>
    <row r="852" spans="7:10" x14ac:dyDescent="0.3">
      <c r="G852" s="10" t="s">
        <v>832</v>
      </c>
      <c r="H852" s="11" t="s">
        <v>2041</v>
      </c>
      <c r="I852" s="11" t="s">
        <v>2004</v>
      </c>
      <c r="J852" s="12">
        <v>8.7899999999999991</v>
      </c>
    </row>
    <row r="853" spans="7:10" x14ac:dyDescent="0.3">
      <c r="G853" s="7" t="s">
        <v>1989</v>
      </c>
      <c r="H853" s="8" t="s">
        <v>2038</v>
      </c>
      <c r="I853" s="8" t="s">
        <v>1988</v>
      </c>
      <c r="J853" s="9">
        <v>11.45</v>
      </c>
    </row>
    <row r="854" spans="7:10" x14ac:dyDescent="0.3">
      <c r="G854" s="10" t="s">
        <v>833</v>
      </c>
      <c r="H854" s="11" t="s">
        <v>2074</v>
      </c>
      <c r="I854" s="11" t="s">
        <v>2028</v>
      </c>
      <c r="J854" s="12">
        <v>3.49</v>
      </c>
    </row>
    <row r="855" spans="7:10" x14ac:dyDescent="0.3">
      <c r="G855" s="7" t="s">
        <v>834</v>
      </c>
      <c r="H855" s="8" t="s">
        <v>2052</v>
      </c>
      <c r="I855" s="8" t="s">
        <v>2030</v>
      </c>
      <c r="J855" s="9">
        <v>5.03</v>
      </c>
    </row>
    <row r="856" spans="7:10" x14ac:dyDescent="0.3">
      <c r="G856" s="10" t="s">
        <v>835</v>
      </c>
      <c r="H856" s="11" t="s">
        <v>2047</v>
      </c>
      <c r="I856" s="11" t="s">
        <v>2027</v>
      </c>
      <c r="J856" s="12">
        <v>10.59</v>
      </c>
    </row>
    <row r="857" spans="7:10" x14ac:dyDescent="0.3">
      <c r="G857" s="7" t="s">
        <v>836</v>
      </c>
      <c r="H857" s="8" t="s">
        <v>2038</v>
      </c>
      <c r="I857" s="8" t="s">
        <v>1993</v>
      </c>
      <c r="J857" s="9">
        <v>13.85</v>
      </c>
    </row>
    <row r="858" spans="7:10" x14ac:dyDescent="0.3">
      <c r="G858" s="10" t="s">
        <v>837</v>
      </c>
      <c r="H858" s="11" t="s">
        <v>2070</v>
      </c>
      <c r="I858" s="11" t="s">
        <v>2031</v>
      </c>
      <c r="J858" s="12">
        <v>5.56</v>
      </c>
    </row>
    <row r="859" spans="7:10" x14ac:dyDescent="0.3">
      <c r="G859" s="7" t="s">
        <v>838</v>
      </c>
      <c r="H859" s="8" t="s">
        <v>2043</v>
      </c>
      <c r="I859" s="8" t="s">
        <v>2029</v>
      </c>
      <c r="J859" s="9">
        <v>17.05</v>
      </c>
    </row>
    <row r="860" spans="7:10" x14ac:dyDescent="0.3">
      <c r="G860" s="10" t="s">
        <v>839</v>
      </c>
      <c r="H860" s="11" t="s">
        <v>2052</v>
      </c>
      <c r="I860" s="11" t="s">
        <v>1998</v>
      </c>
      <c r="J860" s="12">
        <v>0.37</v>
      </c>
    </row>
    <row r="861" spans="7:10" x14ac:dyDescent="0.3">
      <c r="G861" s="7" t="s">
        <v>840</v>
      </c>
      <c r="H861" s="8" t="s">
        <v>2044</v>
      </c>
      <c r="I861" s="8" t="s">
        <v>2015</v>
      </c>
      <c r="J861" s="9">
        <v>3.69</v>
      </c>
    </row>
    <row r="862" spans="7:10" x14ac:dyDescent="0.3">
      <c r="G862" s="10" t="s">
        <v>841</v>
      </c>
      <c r="H862" s="11" t="s">
        <v>2038</v>
      </c>
      <c r="I862" s="11" t="s">
        <v>1993</v>
      </c>
      <c r="J862" s="12">
        <v>15.94</v>
      </c>
    </row>
    <row r="863" spans="7:10" x14ac:dyDescent="0.3">
      <c r="G863" s="7" t="s">
        <v>842</v>
      </c>
      <c r="H863" s="8" t="s">
        <v>2035</v>
      </c>
      <c r="I863" s="8" t="s">
        <v>2002</v>
      </c>
      <c r="J863" s="9">
        <v>17.079999999999998</v>
      </c>
    </row>
    <row r="864" spans="7:10" x14ac:dyDescent="0.3">
      <c r="G864" s="10" t="s">
        <v>843</v>
      </c>
      <c r="H864" s="11" t="s">
        <v>2038</v>
      </c>
      <c r="I864" s="11" t="s">
        <v>1986</v>
      </c>
      <c r="J864" s="12">
        <v>3.96</v>
      </c>
    </row>
    <row r="865" spans="7:10" x14ac:dyDescent="0.3">
      <c r="G865" s="7" t="s">
        <v>844</v>
      </c>
      <c r="H865" s="8" t="s">
        <v>2078</v>
      </c>
      <c r="I865" s="8" t="s">
        <v>1979</v>
      </c>
      <c r="J865" s="9">
        <v>1.45</v>
      </c>
    </row>
    <row r="866" spans="7:10" x14ac:dyDescent="0.3">
      <c r="G866" s="10" t="s">
        <v>845</v>
      </c>
      <c r="H866" s="11" t="s">
        <v>2035</v>
      </c>
      <c r="I866" s="11" t="s">
        <v>1997</v>
      </c>
      <c r="J866" s="12">
        <v>6.69</v>
      </c>
    </row>
    <row r="867" spans="7:10" x14ac:dyDescent="0.3">
      <c r="G867" s="7" t="s">
        <v>846</v>
      </c>
      <c r="H867" s="8" t="s">
        <v>2034</v>
      </c>
      <c r="I867" s="8" t="s">
        <v>2005</v>
      </c>
      <c r="J867" s="9">
        <v>1.66</v>
      </c>
    </row>
    <row r="868" spans="7:10" x14ac:dyDescent="0.3">
      <c r="G868" s="10" t="s">
        <v>847</v>
      </c>
      <c r="H868" s="11" t="s">
        <v>2034</v>
      </c>
      <c r="I868" s="11" t="s">
        <v>1987</v>
      </c>
      <c r="J868" s="12">
        <v>9.92</v>
      </c>
    </row>
    <row r="869" spans="7:10" x14ac:dyDescent="0.3">
      <c r="G869" s="7" t="s">
        <v>848</v>
      </c>
      <c r="H869" s="8" t="s">
        <v>2041</v>
      </c>
      <c r="I869" s="8" t="s">
        <v>1993</v>
      </c>
      <c r="J869" s="9">
        <v>9.4</v>
      </c>
    </row>
    <row r="870" spans="7:10" x14ac:dyDescent="0.3">
      <c r="G870" s="10" t="s">
        <v>849</v>
      </c>
      <c r="H870" s="11" t="s">
        <v>2045</v>
      </c>
      <c r="I870" s="11" t="s">
        <v>2031</v>
      </c>
      <c r="J870" s="12">
        <v>3.64</v>
      </c>
    </row>
    <row r="871" spans="7:10" x14ac:dyDescent="0.3">
      <c r="G871" s="7" t="s">
        <v>850</v>
      </c>
      <c r="H871" s="8" t="s">
        <v>2034</v>
      </c>
      <c r="I871" s="8" t="s">
        <v>2031</v>
      </c>
      <c r="J871" s="9">
        <v>1.59</v>
      </c>
    </row>
    <row r="872" spans="7:10" x14ac:dyDescent="0.3">
      <c r="G872" s="10" t="s">
        <v>851</v>
      </c>
      <c r="H872" s="11" t="s">
        <v>2034</v>
      </c>
      <c r="I872" s="11" t="s">
        <v>1998</v>
      </c>
      <c r="J872" s="12">
        <v>2.35</v>
      </c>
    </row>
    <row r="873" spans="7:10" x14ac:dyDescent="0.3">
      <c r="G873" s="7" t="s">
        <v>852</v>
      </c>
      <c r="H873" s="8" t="s">
        <v>2034</v>
      </c>
      <c r="I873" s="8" t="s">
        <v>2002</v>
      </c>
      <c r="J873" s="9">
        <v>5.58</v>
      </c>
    </row>
    <row r="874" spans="7:10" x14ac:dyDescent="0.3">
      <c r="G874" s="10" t="s">
        <v>853</v>
      </c>
      <c r="H874" s="11" t="s">
        <v>2043</v>
      </c>
      <c r="I874" s="11" t="s">
        <v>2005</v>
      </c>
      <c r="J874" s="12">
        <v>6.42</v>
      </c>
    </row>
    <row r="875" spans="7:10" x14ac:dyDescent="0.3">
      <c r="G875" s="7" t="s">
        <v>854</v>
      </c>
      <c r="H875" s="8" t="s">
        <v>2038</v>
      </c>
      <c r="I875" s="8" t="s">
        <v>2030</v>
      </c>
      <c r="J875" s="9">
        <v>10</v>
      </c>
    </row>
    <row r="876" spans="7:10" x14ac:dyDescent="0.3">
      <c r="G876" s="10" t="s">
        <v>855</v>
      </c>
      <c r="H876" s="11" t="s">
        <v>2060</v>
      </c>
      <c r="I876" s="11" t="s">
        <v>1979</v>
      </c>
      <c r="J876" s="12">
        <v>3.91</v>
      </c>
    </row>
    <row r="877" spans="7:10" x14ac:dyDescent="0.3">
      <c r="G877" s="7" t="s">
        <v>856</v>
      </c>
      <c r="H877" s="8" t="s">
        <v>2034</v>
      </c>
      <c r="I877" s="8" t="s">
        <v>2015</v>
      </c>
      <c r="J877" s="9">
        <v>4.6399999999999997</v>
      </c>
    </row>
    <row r="878" spans="7:10" x14ac:dyDescent="0.3">
      <c r="G878" s="10" t="s">
        <v>857</v>
      </c>
      <c r="H878" s="11" t="s">
        <v>2034</v>
      </c>
      <c r="I878" s="11" t="s">
        <v>2002</v>
      </c>
      <c r="J878" s="12">
        <v>3.29</v>
      </c>
    </row>
    <row r="879" spans="7:10" x14ac:dyDescent="0.3">
      <c r="G879" s="7" t="s">
        <v>858</v>
      </c>
      <c r="H879" s="8" t="s">
        <v>2079</v>
      </c>
      <c r="I879" s="8" t="s">
        <v>2028</v>
      </c>
      <c r="J879" s="9">
        <v>3.67</v>
      </c>
    </row>
    <row r="880" spans="7:10" x14ac:dyDescent="0.3">
      <c r="G880" s="10" t="s">
        <v>859</v>
      </c>
      <c r="H880" s="11" t="s">
        <v>2045</v>
      </c>
      <c r="I880" s="11" t="s">
        <v>2015</v>
      </c>
      <c r="J880" s="12">
        <v>3.9</v>
      </c>
    </row>
    <row r="881" spans="7:10" x14ac:dyDescent="0.3">
      <c r="G881" s="7" t="s">
        <v>860</v>
      </c>
      <c r="H881" s="8" t="s">
        <v>2044</v>
      </c>
      <c r="I881" s="8" t="s">
        <v>2028</v>
      </c>
      <c r="J881" s="9">
        <v>5.96</v>
      </c>
    </row>
    <row r="882" spans="7:10" x14ac:dyDescent="0.3">
      <c r="G882" s="10" t="s">
        <v>861</v>
      </c>
      <c r="H882" s="11" t="s">
        <v>2043</v>
      </c>
      <c r="I882" s="11" t="s">
        <v>1997</v>
      </c>
      <c r="J882" s="12">
        <v>7.06</v>
      </c>
    </row>
    <row r="883" spans="7:10" x14ac:dyDescent="0.3">
      <c r="G883" s="7" t="s">
        <v>862</v>
      </c>
      <c r="H883" s="8" t="s">
        <v>2034</v>
      </c>
      <c r="I883" s="8" t="s">
        <v>2004</v>
      </c>
      <c r="J883" s="9">
        <v>14.27</v>
      </c>
    </row>
    <row r="884" spans="7:10" x14ac:dyDescent="0.3">
      <c r="G884" s="10" t="s">
        <v>863</v>
      </c>
      <c r="H884" s="11" t="s">
        <v>2034</v>
      </c>
      <c r="I884" s="11" t="s">
        <v>2015</v>
      </c>
      <c r="J884" s="12">
        <v>4.18</v>
      </c>
    </row>
    <row r="885" spans="7:10" x14ac:dyDescent="0.3">
      <c r="G885" s="7" t="s">
        <v>864</v>
      </c>
      <c r="H885" s="8" t="s">
        <v>2038</v>
      </c>
      <c r="I885" s="8" t="s">
        <v>2015</v>
      </c>
      <c r="J885" s="9">
        <v>11.01</v>
      </c>
    </row>
    <row r="886" spans="7:10" x14ac:dyDescent="0.3">
      <c r="G886" s="10" t="s">
        <v>865</v>
      </c>
      <c r="H886" s="11" t="s">
        <v>2034</v>
      </c>
      <c r="I886" s="11" t="s">
        <v>1993</v>
      </c>
      <c r="J886" s="12">
        <v>6.2</v>
      </c>
    </row>
    <row r="887" spans="7:10" x14ac:dyDescent="0.3">
      <c r="G887" s="7" t="s">
        <v>866</v>
      </c>
      <c r="H887" s="8" t="s">
        <v>2034</v>
      </c>
      <c r="I887" s="8" t="s">
        <v>2003</v>
      </c>
      <c r="J887" s="9">
        <v>4.4400000000000004</v>
      </c>
    </row>
    <row r="888" spans="7:10" x14ac:dyDescent="0.3">
      <c r="G888" s="10" t="s">
        <v>867</v>
      </c>
      <c r="H888" s="11" t="s">
        <v>2034</v>
      </c>
      <c r="I888" s="11" t="s">
        <v>1979</v>
      </c>
      <c r="J888" s="12">
        <v>3.24</v>
      </c>
    </row>
    <row r="889" spans="7:10" x14ac:dyDescent="0.3">
      <c r="G889" s="7" t="s">
        <v>868</v>
      </c>
      <c r="H889" s="8" t="s">
        <v>2034</v>
      </c>
      <c r="I889" s="8" t="s">
        <v>2002</v>
      </c>
      <c r="J889" s="9">
        <v>5.5</v>
      </c>
    </row>
    <row r="890" spans="7:10" x14ac:dyDescent="0.3">
      <c r="G890" s="10" t="s">
        <v>869</v>
      </c>
      <c r="H890" s="11" t="s">
        <v>1975</v>
      </c>
      <c r="I890" s="11" t="s">
        <v>1992</v>
      </c>
      <c r="J890" s="12">
        <v>6.11</v>
      </c>
    </row>
    <row r="891" spans="7:10" x14ac:dyDescent="0.3">
      <c r="G891" s="7" t="s">
        <v>870</v>
      </c>
      <c r="H891" s="8" t="s">
        <v>2038</v>
      </c>
      <c r="I891" s="8" t="s">
        <v>1997</v>
      </c>
      <c r="J891" s="9">
        <v>24.13</v>
      </c>
    </row>
    <row r="892" spans="7:10" x14ac:dyDescent="0.3">
      <c r="G892" s="10" t="s">
        <v>871</v>
      </c>
      <c r="H892" s="11" t="s">
        <v>2034</v>
      </c>
      <c r="I892" s="11" t="s">
        <v>2031</v>
      </c>
      <c r="J892" s="12">
        <v>7.73</v>
      </c>
    </row>
    <row r="893" spans="7:10" x14ac:dyDescent="0.3">
      <c r="G893" s="7" t="s">
        <v>872</v>
      </c>
      <c r="H893" s="8" t="s">
        <v>1977</v>
      </c>
      <c r="I893" s="8" t="s">
        <v>2031</v>
      </c>
      <c r="J893" s="9">
        <v>4.18</v>
      </c>
    </row>
    <row r="894" spans="7:10" x14ac:dyDescent="0.3">
      <c r="G894" s="10" t="s">
        <v>873</v>
      </c>
      <c r="H894" s="11" t="s">
        <v>2052</v>
      </c>
      <c r="I894" s="11" t="s">
        <v>2030</v>
      </c>
      <c r="J894" s="12">
        <v>1.07</v>
      </c>
    </row>
    <row r="895" spans="7:10" x14ac:dyDescent="0.3">
      <c r="G895" s="7" t="s">
        <v>874</v>
      </c>
      <c r="H895" s="8" t="s">
        <v>2051</v>
      </c>
      <c r="I895" s="8" t="s">
        <v>2022</v>
      </c>
      <c r="J895" s="9">
        <v>3.55</v>
      </c>
    </row>
    <row r="896" spans="7:10" x14ac:dyDescent="0.3">
      <c r="G896" s="10" t="s">
        <v>875</v>
      </c>
      <c r="H896" s="11" t="s">
        <v>2034</v>
      </c>
      <c r="I896" s="11" t="s">
        <v>2002</v>
      </c>
      <c r="J896" s="12">
        <v>3.55</v>
      </c>
    </row>
    <row r="897" spans="7:10" x14ac:dyDescent="0.3">
      <c r="G897" s="7" t="s">
        <v>876</v>
      </c>
      <c r="H897" s="8" t="s">
        <v>2060</v>
      </c>
      <c r="I897" s="8" t="s">
        <v>2001</v>
      </c>
      <c r="J897" s="9">
        <v>4.0199999999999996</v>
      </c>
    </row>
    <row r="898" spans="7:10" x14ac:dyDescent="0.3">
      <c r="G898" s="10" t="s">
        <v>877</v>
      </c>
      <c r="H898" s="11" t="s">
        <v>2056</v>
      </c>
      <c r="I898" s="11" t="s">
        <v>2015</v>
      </c>
      <c r="J898" s="12">
        <v>4.45</v>
      </c>
    </row>
    <row r="899" spans="7:10" x14ac:dyDescent="0.3">
      <c r="G899" s="7" t="s">
        <v>878</v>
      </c>
      <c r="H899" s="8" t="s">
        <v>2080</v>
      </c>
      <c r="I899" s="8" t="s">
        <v>1998</v>
      </c>
      <c r="J899" s="9">
        <v>5.74</v>
      </c>
    </row>
    <row r="900" spans="7:10" x14ac:dyDescent="0.3">
      <c r="G900" s="10" t="s">
        <v>879</v>
      </c>
      <c r="H900" s="11" t="s">
        <v>2039</v>
      </c>
      <c r="I900" s="11" t="s">
        <v>2017</v>
      </c>
      <c r="J900" s="12">
        <v>5.19</v>
      </c>
    </row>
    <row r="901" spans="7:10" x14ac:dyDescent="0.3">
      <c r="G901" s="7" t="s">
        <v>880</v>
      </c>
      <c r="H901" s="8" t="s">
        <v>2038</v>
      </c>
      <c r="I901" s="8" t="s">
        <v>1993</v>
      </c>
      <c r="J901" s="9">
        <v>15.74</v>
      </c>
    </row>
    <row r="902" spans="7:10" x14ac:dyDescent="0.3">
      <c r="G902" s="10" t="s">
        <v>881</v>
      </c>
      <c r="H902" s="11" t="s">
        <v>2035</v>
      </c>
      <c r="I902" s="11" t="s">
        <v>2003</v>
      </c>
      <c r="J902" s="12">
        <v>4.2300000000000004</v>
      </c>
    </row>
    <row r="903" spans="7:10" x14ac:dyDescent="0.3">
      <c r="G903" s="7" t="s">
        <v>882</v>
      </c>
      <c r="H903" s="8" t="s">
        <v>2039</v>
      </c>
      <c r="I903" s="8" t="s">
        <v>2003</v>
      </c>
      <c r="J903" s="9">
        <v>14.39</v>
      </c>
    </row>
    <row r="904" spans="7:10" x14ac:dyDescent="0.3">
      <c r="G904" s="10" t="s">
        <v>883</v>
      </c>
      <c r="H904" s="11" t="s">
        <v>2038</v>
      </c>
      <c r="I904" s="11" t="s">
        <v>1979</v>
      </c>
      <c r="J904" s="12">
        <v>1.93</v>
      </c>
    </row>
    <row r="905" spans="7:10" x14ac:dyDescent="0.3">
      <c r="G905" s="7" t="s">
        <v>884</v>
      </c>
      <c r="H905" s="8" t="s">
        <v>2038</v>
      </c>
      <c r="I905" s="8" t="s">
        <v>1993</v>
      </c>
      <c r="J905" s="9">
        <v>9.1999999999999993</v>
      </c>
    </row>
    <row r="906" spans="7:10" x14ac:dyDescent="0.3">
      <c r="G906" s="10" t="s">
        <v>885</v>
      </c>
      <c r="H906" s="11" t="s">
        <v>2034</v>
      </c>
      <c r="I906" s="11" t="s">
        <v>2030</v>
      </c>
      <c r="J906" s="12">
        <v>20.71</v>
      </c>
    </row>
    <row r="907" spans="7:10" x14ac:dyDescent="0.3">
      <c r="G907" s="7" t="s">
        <v>886</v>
      </c>
      <c r="H907" s="8" t="s">
        <v>2034</v>
      </c>
      <c r="I907" s="8" t="s">
        <v>2002</v>
      </c>
      <c r="J907" s="9">
        <v>6.61</v>
      </c>
    </row>
    <row r="908" spans="7:10" x14ac:dyDescent="0.3">
      <c r="G908" s="10" t="s">
        <v>887</v>
      </c>
      <c r="H908" s="11" t="s">
        <v>2034</v>
      </c>
      <c r="I908" s="11" t="s">
        <v>1986</v>
      </c>
      <c r="J908" s="12">
        <v>4.7300000000000004</v>
      </c>
    </row>
    <row r="909" spans="7:10" x14ac:dyDescent="0.3">
      <c r="G909" s="7" t="s">
        <v>888</v>
      </c>
      <c r="H909" s="8" t="s">
        <v>2038</v>
      </c>
      <c r="I909" s="8" t="s">
        <v>1986</v>
      </c>
      <c r="J909" s="9">
        <v>6.14</v>
      </c>
    </row>
    <row r="910" spans="7:10" x14ac:dyDescent="0.3">
      <c r="G910" s="10" t="s">
        <v>889</v>
      </c>
      <c r="H910" s="11" t="s">
        <v>2034</v>
      </c>
      <c r="I910" s="11" t="s">
        <v>2023</v>
      </c>
      <c r="J910" s="12">
        <v>8.49</v>
      </c>
    </row>
    <row r="911" spans="7:10" x14ac:dyDescent="0.3">
      <c r="G911" s="7" t="s">
        <v>890</v>
      </c>
      <c r="H911" s="8" t="s">
        <v>2043</v>
      </c>
      <c r="I911" s="8" t="s">
        <v>1986</v>
      </c>
      <c r="J911" s="9">
        <v>9</v>
      </c>
    </row>
    <row r="912" spans="7:10" x14ac:dyDescent="0.3">
      <c r="G912" s="10" t="s">
        <v>891</v>
      </c>
      <c r="H912" s="11" t="s">
        <v>2034</v>
      </c>
      <c r="I912" s="11" t="s">
        <v>1997</v>
      </c>
      <c r="J912" s="12">
        <v>9.7799999999999994</v>
      </c>
    </row>
    <row r="913" spans="7:10" x14ac:dyDescent="0.3">
      <c r="G913" s="7" t="s">
        <v>892</v>
      </c>
      <c r="H913" s="8" t="s">
        <v>2038</v>
      </c>
      <c r="I913" s="8" t="s">
        <v>1998</v>
      </c>
      <c r="J913" s="9">
        <v>5.75</v>
      </c>
    </row>
    <row r="914" spans="7:10" x14ac:dyDescent="0.3">
      <c r="G914" s="10" t="s">
        <v>893</v>
      </c>
      <c r="H914" s="11" t="s">
        <v>2038</v>
      </c>
      <c r="I914" s="11" t="s">
        <v>1998</v>
      </c>
      <c r="J914" s="12">
        <v>3.99</v>
      </c>
    </row>
    <row r="915" spans="7:10" x14ac:dyDescent="0.3">
      <c r="G915" s="7" t="s">
        <v>894</v>
      </c>
      <c r="H915" s="8" t="s">
        <v>2065</v>
      </c>
      <c r="I915" s="8" t="s">
        <v>2027</v>
      </c>
      <c r="J915" s="9">
        <v>7.87</v>
      </c>
    </row>
    <row r="916" spans="7:10" x14ac:dyDescent="0.3">
      <c r="G916" s="10" t="s">
        <v>895</v>
      </c>
      <c r="H916" s="11" t="s">
        <v>2034</v>
      </c>
      <c r="I916" s="11" t="s">
        <v>2031</v>
      </c>
      <c r="J916" s="12">
        <v>12.68</v>
      </c>
    </row>
    <row r="917" spans="7:10" x14ac:dyDescent="0.3">
      <c r="G917" s="7" t="s">
        <v>896</v>
      </c>
      <c r="H917" s="8" t="s">
        <v>2039</v>
      </c>
      <c r="I917" s="8" t="s">
        <v>1978</v>
      </c>
      <c r="J917" s="9">
        <v>4.6900000000000004</v>
      </c>
    </row>
    <row r="918" spans="7:10" x14ac:dyDescent="0.3">
      <c r="G918" s="10" t="s">
        <v>897</v>
      </c>
      <c r="H918" s="11" t="s">
        <v>2034</v>
      </c>
      <c r="I918" s="11" t="s">
        <v>1997</v>
      </c>
      <c r="J918" s="12">
        <v>6.52</v>
      </c>
    </row>
    <row r="919" spans="7:10" x14ac:dyDescent="0.3">
      <c r="G919" s="7" t="s">
        <v>898</v>
      </c>
      <c r="H919" s="8" t="s">
        <v>2065</v>
      </c>
      <c r="I919" s="8" t="s">
        <v>1979</v>
      </c>
      <c r="J919" s="9">
        <v>2.39</v>
      </c>
    </row>
    <row r="920" spans="7:10" x14ac:dyDescent="0.3">
      <c r="G920" s="10" t="s">
        <v>899</v>
      </c>
      <c r="H920" s="11" t="s">
        <v>2051</v>
      </c>
      <c r="I920" s="11" t="s">
        <v>2005</v>
      </c>
      <c r="J920" s="12">
        <v>4.5999999999999996</v>
      </c>
    </row>
    <row r="921" spans="7:10" x14ac:dyDescent="0.3">
      <c r="G921" s="7" t="s">
        <v>900</v>
      </c>
      <c r="H921" s="8" t="s">
        <v>2066</v>
      </c>
      <c r="I921" s="8" t="s">
        <v>1986</v>
      </c>
      <c r="J921" s="9">
        <v>15.58</v>
      </c>
    </row>
    <row r="922" spans="7:10" x14ac:dyDescent="0.3">
      <c r="G922" s="10" t="s">
        <v>901</v>
      </c>
      <c r="H922" s="11" t="s">
        <v>2034</v>
      </c>
      <c r="I922" s="11" t="s">
        <v>1987</v>
      </c>
      <c r="J922" s="12">
        <v>5.12</v>
      </c>
    </row>
    <row r="923" spans="7:10" x14ac:dyDescent="0.3">
      <c r="G923" s="7" t="s">
        <v>902</v>
      </c>
      <c r="H923" s="8" t="s">
        <v>2034</v>
      </c>
      <c r="I923" s="8" t="s">
        <v>2001</v>
      </c>
      <c r="J923" s="9">
        <v>10.51</v>
      </c>
    </row>
    <row r="924" spans="7:10" x14ac:dyDescent="0.3">
      <c r="G924" s="10" t="s">
        <v>903</v>
      </c>
      <c r="H924" s="11" t="s">
        <v>2035</v>
      </c>
      <c r="I924" s="11" t="s">
        <v>2028</v>
      </c>
      <c r="J924" s="12">
        <v>5.71</v>
      </c>
    </row>
    <row r="925" spans="7:10" x14ac:dyDescent="0.3">
      <c r="G925" s="7" t="s">
        <v>904</v>
      </c>
      <c r="H925" s="8" t="s">
        <v>2038</v>
      </c>
      <c r="I925" s="8" t="s">
        <v>1979</v>
      </c>
      <c r="J925" s="9">
        <v>1.6</v>
      </c>
    </row>
    <row r="926" spans="7:10" x14ac:dyDescent="0.3">
      <c r="G926" s="10" t="s">
        <v>905</v>
      </c>
      <c r="H926" s="11" t="s">
        <v>2038</v>
      </c>
      <c r="I926" s="11" t="s">
        <v>2023</v>
      </c>
      <c r="J926" s="12">
        <v>17.55</v>
      </c>
    </row>
    <row r="927" spans="7:10" x14ac:dyDescent="0.3">
      <c r="G927" s="7" t="s">
        <v>906</v>
      </c>
      <c r="H927" s="8" t="s">
        <v>2039</v>
      </c>
      <c r="I927" s="8" t="s">
        <v>1998</v>
      </c>
      <c r="J927" s="9">
        <v>0.87</v>
      </c>
    </row>
    <row r="928" spans="7:10" x14ac:dyDescent="0.3">
      <c r="G928" s="10" t="s">
        <v>907</v>
      </c>
      <c r="H928" s="11" t="s">
        <v>2035</v>
      </c>
      <c r="I928" s="11" t="s">
        <v>1998</v>
      </c>
      <c r="J928" s="12">
        <v>2.56</v>
      </c>
    </row>
    <row r="929" spans="7:10" x14ac:dyDescent="0.3">
      <c r="G929" s="7" t="s">
        <v>908</v>
      </c>
      <c r="H929" s="8" t="s">
        <v>2074</v>
      </c>
      <c r="I929" s="8" t="s">
        <v>2030</v>
      </c>
      <c r="J929" s="9">
        <v>2.8</v>
      </c>
    </row>
    <row r="930" spans="7:10" x14ac:dyDescent="0.3">
      <c r="G930" s="10" t="s">
        <v>909</v>
      </c>
      <c r="H930" s="11" t="s">
        <v>2038</v>
      </c>
      <c r="I930" s="11" t="s">
        <v>1987</v>
      </c>
      <c r="J930" s="12">
        <v>6.8</v>
      </c>
    </row>
    <row r="931" spans="7:10" x14ac:dyDescent="0.3">
      <c r="G931" s="7" t="s">
        <v>910</v>
      </c>
      <c r="H931" s="8" t="s">
        <v>2041</v>
      </c>
      <c r="I931" s="8" t="s">
        <v>2001</v>
      </c>
      <c r="J931" s="9">
        <v>6.39</v>
      </c>
    </row>
    <row r="932" spans="7:10" x14ac:dyDescent="0.3">
      <c r="G932" s="10" t="s">
        <v>911</v>
      </c>
      <c r="H932" s="11" t="s">
        <v>2042</v>
      </c>
      <c r="I932" s="11" t="s">
        <v>1979</v>
      </c>
      <c r="J932" s="12">
        <v>3.68</v>
      </c>
    </row>
    <row r="933" spans="7:10" x14ac:dyDescent="0.3">
      <c r="G933" s="7" t="s">
        <v>912</v>
      </c>
      <c r="H933" s="8" t="s">
        <v>2034</v>
      </c>
      <c r="I933" s="8" t="s">
        <v>1997</v>
      </c>
      <c r="J933" s="9">
        <v>6.62</v>
      </c>
    </row>
    <row r="934" spans="7:10" x14ac:dyDescent="0.3">
      <c r="G934" s="10" t="s">
        <v>913</v>
      </c>
      <c r="H934" s="11" t="s">
        <v>1975</v>
      </c>
      <c r="I934" s="11" t="s">
        <v>2001</v>
      </c>
      <c r="J934" s="12">
        <v>3.02</v>
      </c>
    </row>
    <row r="935" spans="7:10" x14ac:dyDescent="0.3">
      <c r="G935" s="7" t="s">
        <v>914</v>
      </c>
      <c r="H935" s="8" t="s">
        <v>2034</v>
      </c>
      <c r="I935" s="8" t="s">
        <v>2025</v>
      </c>
      <c r="J935" s="9">
        <v>5.84</v>
      </c>
    </row>
    <row r="936" spans="7:10" x14ac:dyDescent="0.3">
      <c r="G936" s="10" t="s">
        <v>915</v>
      </c>
      <c r="H936" s="11" t="s">
        <v>2042</v>
      </c>
      <c r="I936" s="11" t="s">
        <v>2004</v>
      </c>
      <c r="J936" s="12">
        <v>4.42</v>
      </c>
    </row>
    <row r="937" spans="7:10" x14ac:dyDescent="0.3">
      <c r="G937" s="7" t="s">
        <v>916</v>
      </c>
      <c r="H937" s="8" t="s">
        <v>2047</v>
      </c>
      <c r="I937" s="8" t="s">
        <v>2030</v>
      </c>
      <c r="J937" s="9">
        <v>3.67</v>
      </c>
    </row>
    <row r="938" spans="7:10" x14ac:dyDescent="0.3">
      <c r="G938" s="10" t="s">
        <v>917</v>
      </c>
      <c r="H938" s="11" t="s">
        <v>2034</v>
      </c>
      <c r="I938" s="11" t="s">
        <v>2031</v>
      </c>
      <c r="J938" s="12">
        <v>9.7200000000000006</v>
      </c>
    </row>
    <row r="939" spans="7:10" x14ac:dyDescent="0.3">
      <c r="G939" s="7" t="s">
        <v>918</v>
      </c>
      <c r="H939" s="8" t="s">
        <v>2038</v>
      </c>
      <c r="I939" s="8" t="s">
        <v>2022</v>
      </c>
      <c r="J939" s="9">
        <v>20.100000000000001</v>
      </c>
    </row>
    <row r="940" spans="7:10" x14ac:dyDescent="0.3">
      <c r="G940" s="10" t="s">
        <v>919</v>
      </c>
      <c r="H940" s="11" t="s">
        <v>2034</v>
      </c>
      <c r="I940" s="11" t="s">
        <v>2022</v>
      </c>
      <c r="J940" s="12">
        <v>16.579999999999998</v>
      </c>
    </row>
    <row r="941" spans="7:10" x14ac:dyDescent="0.3">
      <c r="G941" s="7" t="s">
        <v>920</v>
      </c>
      <c r="H941" s="8" t="s">
        <v>2037</v>
      </c>
      <c r="I941" s="8" t="s">
        <v>2005</v>
      </c>
      <c r="J941" s="9">
        <v>8</v>
      </c>
    </row>
    <row r="942" spans="7:10" x14ac:dyDescent="0.3">
      <c r="G942" s="10" t="s">
        <v>921</v>
      </c>
      <c r="H942" s="11" t="s">
        <v>2034</v>
      </c>
      <c r="I942" s="11" t="s">
        <v>2027</v>
      </c>
      <c r="J942" s="12">
        <v>6.03</v>
      </c>
    </row>
    <row r="943" spans="7:10" x14ac:dyDescent="0.3">
      <c r="G943" s="7" t="s">
        <v>922</v>
      </c>
      <c r="H943" s="8" t="s">
        <v>2060</v>
      </c>
      <c r="I943" s="8" t="s">
        <v>2017</v>
      </c>
      <c r="J943" s="9">
        <v>3.06</v>
      </c>
    </row>
    <row r="944" spans="7:10" x14ac:dyDescent="0.3">
      <c r="G944" s="10" t="s">
        <v>923</v>
      </c>
      <c r="H944" s="11" t="s">
        <v>2038</v>
      </c>
      <c r="I944" s="11" t="s">
        <v>2025</v>
      </c>
      <c r="J944" s="12">
        <v>3.44</v>
      </c>
    </row>
    <row r="945" spans="7:10" x14ac:dyDescent="0.3">
      <c r="G945" s="7" t="s">
        <v>924</v>
      </c>
      <c r="H945" s="8" t="s">
        <v>2034</v>
      </c>
      <c r="I945" s="8" t="s">
        <v>1998</v>
      </c>
      <c r="J945" s="9">
        <v>1.18</v>
      </c>
    </row>
    <row r="946" spans="7:10" x14ac:dyDescent="0.3">
      <c r="G946" s="10" t="s">
        <v>925</v>
      </c>
      <c r="H946" s="11" t="s">
        <v>2047</v>
      </c>
      <c r="I946" s="11" t="s">
        <v>1978</v>
      </c>
      <c r="J946" s="12">
        <v>16.41</v>
      </c>
    </row>
    <row r="947" spans="7:10" x14ac:dyDescent="0.3">
      <c r="G947" s="7" t="s">
        <v>926</v>
      </c>
      <c r="H947" s="8" t="s">
        <v>2057</v>
      </c>
      <c r="I947" s="8" t="s">
        <v>1986</v>
      </c>
      <c r="J947" s="9">
        <v>8.3000000000000007</v>
      </c>
    </row>
    <row r="948" spans="7:10" x14ac:dyDescent="0.3">
      <c r="G948" s="10" t="s">
        <v>927</v>
      </c>
      <c r="H948" s="11" t="s">
        <v>2038</v>
      </c>
      <c r="I948" s="11" t="s">
        <v>2031</v>
      </c>
      <c r="J948" s="12">
        <v>4.87</v>
      </c>
    </row>
    <row r="949" spans="7:10" x14ac:dyDescent="0.3">
      <c r="G949" s="7" t="s">
        <v>928</v>
      </c>
      <c r="H949" s="8" t="s">
        <v>2035</v>
      </c>
      <c r="I949" s="8" t="s">
        <v>1992</v>
      </c>
      <c r="J949" s="9">
        <v>5.3</v>
      </c>
    </row>
    <row r="950" spans="7:10" x14ac:dyDescent="0.3">
      <c r="G950" s="10" t="s">
        <v>929</v>
      </c>
      <c r="H950" s="11" t="s">
        <v>2067</v>
      </c>
      <c r="I950" s="11" t="s">
        <v>1979</v>
      </c>
      <c r="J950" s="12">
        <v>1.72</v>
      </c>
    </row>
    <row r="951" spans="7:10" x14ac:dyDescent="0.3">
      <c r="G951" s="7" t="s">
        <v>930</v>
      </c>
      <c r="H951" s="8" t="s">
        <v>2034</v>
      </c>
      <c r="I951" s="8" t="s">
        <v>2005</v>
      </c>
      <c r="J951" s="9">
        <v>4.3600000000000003</v>
      </c>
    </row>
    <row r="952" spans="7:10" x14ac:dyDescent="0.3">
      <c r="G952" s="10" t="s">
        <v>931</v>
      </c>
      <c r="H952" s="11" t="s">
        <v>2034</v>
      </c>
      <c r="I952" s="11" t="s">
        <v>2000</v>
      </c>
      <c r="J952" s="12">
        <v>19.809999999999999</v>
      </c>
    </row>
    <row r="953" spans="7:10" x14ac:dyDescent="0.3">
      <c r="G953" s="7" t="s">
        <v>932</v>
      </c>
      <c r="H953" s="8" t="s">
        <v>2034</v>
      </c>
      <c r="I953" s="8" t="s">
        <v>2026</v>
      </c>
      <c r="J953" s="9">
        <v>3.62</v>
      </c>
    </row>
    <row r="954" spans="7:10" x14ac:dyDescent="0.3">
      <c r="G954" s="10" t="s">
        <v>933</v>
      </c>
      <c r="H954" s="11" t="s">
        <v>2034</v>
      </c>
      <c r="I954" s="11" t="s">
        <v>2023</v>
      </c>
      <c r="J954" s="12">
        <v>5.59</v>
      </c>
    </row>
    <row r="955" spans="7:10" x14ac:dyDescent="0.3">
      <c r="G955" s="7" t="s">
        <v>934</v>
      </c>
      <c r="H955" s="8" t="s">
        <v>2034</v>
      </c>
      <c r="I955" s="8" t="s">
        <v>1997</v>
      </c>
      <c r="J955" s="9">
        <v>19.72</v>
      </c>
    </row>
    <row r="956" spans="7:10" x14ac:dyDescent="0.3">
      <c r="G956" s="10" t="s">
        <v>935</v>
      </c>
      <c r="H956" s="11" t="s">
        <v>2034</v>
      </c>
      <c r="I956" s="11" t="s">
        <v>2005</v>
      </c>
      <c r="J956" s="12">
        <v>3.12</v>
      </c>
    </row>
    <row r="957" spans="7:10" x14ac:dyDescent="0.3">
      <c r="G957" s="7" t="s">
        <v>936</v>
      </c>
      <c r="H957" s="8" t="s">
        <v>2064</v>
      </c>
      <c r="I957" s="8" t="s">
        <v>1979</v>
      </c>
      <c r="J957" s="9">
        <v>3.45</v>
      </c>
    </row>
    <row r="958" spans="7:10" x14ac:dyDescent="0.3">
      <c r="G958" s="10" t="s">
        <v>937</v>
      </c>
      <c r="H958" s="11" t="s">
        <v>2034</v>
      </c>
      <c r="I958" s="11" t="s">
        <v>1998</v>
      </c>
      <c r="J958" s="12">
        <v>0.95</v>
      </c>
    </row>
    <row r="959" spans="7:10" x14ac:dyDescent="0.3">
      <c r="G959" s="7" t="s">
        <v>938</v>
      </c>
      <c r="H959" s="8" t="s">
        <v>2039</v>
      </c>
      <c r="I959" s="8" t="s">
        <v>1993</v>
      </c>
      <c r="J959" s="9">
        <v>10.6</v>
      </c>
    </row>
    <row r="960" spans="7:10" x14ac:dyDescent="0.3">
      <c r="G960" s="10" t="s">
        <v>939</v>
      </c>
      <c r="H960" s="11" t="s">
        <v>2034</v>
      </c>
      <c r="I960" s="11" t="s">
        <v>1998</v>
      </c>
      <c r="J960" s="12">
        <v>0.73</v>
      </c>
    </row>
    <row r="961" spans="7:10" x14ac:dyDescent="0.3">
      <c r="G961" s="7" t="s">
        <v>940</v>
      </c>
      <c r="H961" s="8" t="s">
        <v>2034</v>
      </c>
      <c r="I961" s="8" t="s">
        <v>2030</v>
      </c>
      <c r="J961" s="9">
        <v>17.38</v>
      </c>
    </row>
    <row r="962" spans="7:10" x14ac:dyDescent="0.3">
      <c r="G962" s="10" t="s">
        <v>941</v>
      </c>
      <c r="H962" s="11" t="s">
        <v>2047</v>
      </c>
      <c r="I962" s="11" t="s">
        <v>2028</v>
      </c>
      <c r="J962" s="12">
        <v>6.43</v>
      </c>
    </row>
    <row r="963" spans="7:10" x14ac:dyDescent="0.3">
      <c r="G963" s="7" t="s">
        <v>942</v>
      </c>
      <c r="H963" s="8" t="s">
        <v>2034</v>
      </c>
      <c r="I963" s="8" t="s">
        <v>2026</v>
      </c>
      <c r="J963" s="9">
        <v>3.76</v>
      </c>
    </row>
    <row r="964" spans="7:10" x14ac:dyDescent="0.3">
      <c r="G964" s="10" t="s">
        <v>943</v>
      </c>
      <c r="H964" s="11" t="s">
        <v>2034</v>
      </c>
      <c r="I964" s="11" t="s">
        <v>2005</v>
      </c>
      <c r="J964" s="12">
        <v>8.06</v>
      </c>
    </row>
    <row r="965" spans="7:10" x14ac:dyDescent="0.3">
      <c r="G965" s="7" t="s">
        <v>944</v>
      </c>
      <c r="H965" s="8" t="s">
        <v>2070</v>
      </c>
      <c r="I965" s="8" t="s">
        <v>2003</v>
      </c>
      <c r="J965" s="9">
        <v>4.3099999999999996</v>
      </c>
    </row>
    <row r="966" spans="7:10" x14ac:dyDescent="0.3">
      <c r="G966" s="10" t="s">
        <v>945</v>
      </c>
      <c r="H966" s="11" t="s">
        <v>2034</v>
      </c>
      <c r="I966" s="11" t="s">
        <v>2001</v>
      </c>
      <c r="J966" s="12">
        <v>4.16</v>
      </c>
    </row>
    <row r="967" spans="7:10" x14ac:dyDescent="0.3">
      <c r="G967" s="7" t="s">
        <v>946</v>
      </c>
      <c r="H967" s="8" t="s">
        <v>2034</v>
      </c>
      <c r="I967" s="8" t="s">
        <v>2001</v>
      </c>
      <c r="J967" s="9">
        <v>4.84</v>
      </c>
    </row>
    <row r="968" spans="7:10" x14ac:dyDescent="0.3">
      <c r="G968" s="10" t="s">
        <v>947</v>
      </c>
      <c r="H968" s="11" t="s">
        <v>2034</v>
      </c>
      <c r="I968" s="11" t="s">
        <v>2004</v>
      </c>
      <c r="J968" s="12">
        <v>6.43</v>
      </c>
    </row>
    <row r="969" spans="7:10" x14ac:dyDescent="0.3">
      <c r="G969" s="7" t="s">
        <v>948</v>
      </c>
      <c r="H969" s="8" t="s">
        <v>2034</v>
      </c>
      <c r="I969" s="8" t="s">
        <v>1979</v>
      </c>
      <c r="J969" s="9">
        <v>2.2000000000000002</v>
      </c>
    </row>
    <row r="970" spans="7:10" x14ac:dyDescent="0.3">
      <c r="G970" s="10" t="s">
        <v>949</v>
      </c>
      <c r="H970" s="11" t="s">
        <v>2043</v>
      </c>
      <c r="I970" s="11" t="s">
        <v>1987</v>
      </c>
      <c r="J970" s="12">
        <v>11.5</v>
      </c>
    </row>
    <row r="971" spans="7:10" x14ac:dyDescent="0.3">
      <c r="G971" s="7" t="s">
        <v>950</v>
      </c>
      <c r="H971" s="8" t="s">
        <v>2034</v>
      </c>
      <c r="I971" s="8" t="s">
        <v>2022</v>
      </c>
      <c r="J971" s="9">
        <v>4.54</v>
      </c>
    </row>
    <row r="972" spans="7:10" x14ac:dyDescent="0.3">
      <c r="G972" s="10" t="s">
        <v>951</v>
      </c>
      <c r="H972" s="11" t="s">
        <v>2036</v>
      </c>
      <c r="I972" s="11" t="s">
        <v>2017</v>
      </c>
      <c r="J972" s="12">
        <v>5.13</v>
      </c>
    </row>
    <row r="973" spans="7:10" x14ac:dyDescent="0.3">
      <c r="G973" s="7" t="s">
        <v>952</v>
      </c>
      <c r="H973" s="8" t="s">
        <v>2034</v>
      </c>
      <c r="I973" s="8" t="s">
        <v>1999</v>
      </c>
      <c r="J973" s="9">
        <v>2.73</v>
      </c>
    </row>
    <row r="974" spans="7:10" x14ac:dyDescent="0.3">
      <c r="G974" s="10" t="s">
        <v>953</v>
      </c>
      <c r="H974" s="11" t="s">
        <v>2043</v>
      </c>
      <c r="I974" s="11" t="s">
        <v>2023</v>
      </c>
      <c r="J974" s="12">
        <v>7.04</v>
      </c>
    </row>
    <row r="975" spans="7:10" x14ac:dyDescent="0.3">
      <c r="G975" s="7" t="s">
        <v>954</v>
      </c>
      <c r="H975" s="8" t="s">
        <v>2043</v>
      </c>
      <c r="I975" s="8" t="s">
        <v>2030</v>
      </c>
      <c r="J975" s="9">
        <v>7.16</v>
      </c>
    </row>
    <row r="976" spans="7:10" x14ac:dyDescent="0.3">
      <c r="G976" s="10" t="s">
        <v>955</v>
      </c>
      <c r="H976" s="11" t="s">
        <v>2034</v>
      </c>
      <c r="I976" s="11" t="s">
        <v>2005</v>
      </c>
      <c r="J976" s="12">
        <v>3.7</v>
      </c>
    </row>
    <row r="977" spans="7:10" x14ac:dyDescent="0.3">
      <c r="G977" s="7" t="s">
        <v>956</v>
      </c>
      <c r="H977" s="8" t="s">
        <v>2034</v>
      </c>
      <c r="I977" s="8" t="s">
        <v>2027</v>
      </c>
      <c r="J977" s="9">
        <v>5</v>
      </c>
    </row>
    <row r="978" spans="7:10" x14ac:dyDescent="0.3">
      <c r="G978" s="10" t="s">
        <v>957</v>
      </c>
      <c r="H978" s="11" t="s">
        <v>1977</v>
      </c>
      <c r="I978" s="11" t="s">
        <v>2015</v>
      </c>
      <c r="J978" s="12">
        <v>7.49</v>
      </c>
    </row>
    <row r="979" spans="7:10" x14ac:dyDescent="0.3">
      <c r="G979" s="7" t="s">
        <v>958</v>
      </c>
      <c r="H979" s="8" t="s">
        <v>2065</v>
      </c>
      <c r="I979" s="8" t="s">
        <v>2027</v>
      </c>
      <c r="J979" s="9">
        <v>10.38</v>
      </c>
    </row>
    <row r="980" spans="7:10" x14ac:dyDescent="0.3">
      <c r="G980" s="10" t="s">
        <v>959</v>
      </c>
      <c r="H980" s="11" t="s">
        <v>2063</v>
      </c>
      <c r="I980" s="11" t="s">
        <v>1992</v>
      </c>
      <c r="J980" s="12">
        <v>1.6</v>
      </c>
    </row>
    <row r="981" spans="7:10" x14ac:dyDescent="0.3">
      <c r="G981" s="7" t="s">
        <v>960</v>
      </c>
      <c r="H981" s="8" t="s">
        <v>2050</v>
      </c>
      <c r="I981" s="8" t="s">
        <v>1999</v>
      </c>
      <c r="J981" s="9">
        <v>4.16</v>
      </c>
    </row>
    <row r="982" spans="7:10" x14ac:dyDescent="0.3">
      <c r="G982" s="10" t="s">
        <v>961</v>
      </c>
      <c r="H982" s="11" t="s">
        <v>2064</v>
      </c>
      <c r="I982" s="11" t="s">
        <v>2028</v>
      </c>
      <c r="J982" s="12">
        <v>3.7</v>
      </c>
    </row>
    <row r="983" spans="7:10" x14ac:dyDescent="0.3">
      <c r="G983" s="7" t="s">
        <v>962</v>
      </c>
      <c r="H983" s="8" t="s">
        <v>2034</v>
      </c>
      <c r="I983" s="8" t="s">
        <v>2025</v>
      </c>
      <c r="J983" s="9">
        <v>5.85</v>
      </c>
    </row>
    <row r="984" spans="7:10" x14ac:dyDescent="0.3">
      <c r="G984" s="10" t="s">
        <v>963</v>
      </c>
      <c r="H984" s="11" t="s">
        <v>2038</v>
      </c>
      <c r="I984" s="11" t="s">
        <v>2031</v>
      </c>
      <c r="J984" s="12">
        <v>5.38</v>
      </c>
    </row>
    <row r="985" spans="7:10" x14ac:dyDescent="0.3">
      <c r="G985" s="7" t="s">
        <v>964</v>
      </c>
      <c r="H985" s="8" t="s">
        <v>2034</v>
      </c>
      <c r="I985" s="8" t="s">
        <v>2023</v>
      </c>
      <c r="J985" s="9">
        <v>5.76</v>
      </c>
    </row>
    <row r="986" spans="7:10" x14ac:dyDescent="0.3">
      <c r="G986" s="10" t="s">
        <v>965</v>
      </c>
      <c r="H986" s="11" t="s">
        <v>2034</v>
      </c>
      <c r="I986" s="11" t="s">
        <v>2022</v>
      </c>
      <c r="J986" s="12">
        <v>4.6399999999999997</v>
      </c>
    </row>
    <row r="987" spans="7:10" x14ac:dyDescent="0.3">
      <c r="G987" s="7" t="s">
        <v>966</v>
      </c>
      <c r="H987" s="8" t="s">
        <v>2074</v>
      </c>
      <c r="I987" s="8" t="s">
        <v>1979</v>
      </c>
      <c r="J987" s="9">
        <v>1.56</v>
      </c>
    </row>
    <row r="988" spans="7:10" x14ac:dyDescent="0.3">
      <c r="G988" s="10" t="s">
        <v>967</v>
      </c>
      <c r="H988" s="11" t="s">
        <v>2065</v>
      </c>
      <c r="I988" s="11" t="s">
        <v>2027</v>
      </c>
      <c r="J988" s="12">
        <v>3.71</v>
      </c>
    </row>
    <row r="989" spans="7:10" x14ac:dyDescent="0.3">
      <c r="G989" s="7" t="s">
        <v>968</v>
      </c>
      <c r="H989" s="8" t="s">
        <v>2034</v>
      </c>
      <c r="I989" s="8" t="s">
        <v>1979</v>
      </c>
      <c r="J989" s="9">
        <v>2.27</v>
      </c>
    </row>
    <row r="990" spans="7:10" x14ac:dyDescent="0.3">
      <c r="G990" s="10" t="s">
        <v>969</v>
      </c>
      <c r="H990" s="11" t="s">
        <v>2047</v>
      </c>
      <c r="I990" s="11" t="s">
        <v>1988</v>
      </c>
      <c r="J990" s="12">
        <v>3.61</v>
      </c>
    </row>
    <row r="991" spans="7:10" x14ac:dyDescent="0.3">
      <c r="G991" s="7" t="s">
        <v>970</v>
      </c>
      <c r="H991" s="8" t="s">
        <v>1975</v>
      </c>
      <c r="I991" s="8" t="s">
        <v>2022</v>
      </c>
      <c r="J991" s="9">
        <v>1.92</v>
      </c>
    </row>
    <row r="992" spans="7:10" x14ac:dyDescent="0.3">
      <c r="G992" s="10" t="s">
        <v>971</v>
      </c>
      <c r="H992" s="11" t="s">
        <v>2041</v>
      </c>
      <c r="I992" s="11" t="s">
        <v>1998</v>
      </c>
      <c r="J992" s="12">
        <v>2.0699999999999998</v>
      </c>
    </row>
    <row r="993" spans="7:10" x14ac:dyDescent="0.3">
      <c r="G993" s="7" t="s">
        <v>972</v>
      </c>
      <c r="H993" s="8" t="s">
        <v>2034</v>
      </c>
      <c r="I993" s="8" t="s">
        <v>2028</v>
      </c>
      <c r="J993" s="9">
        <v>4.59</v>
      </c>
    </row>
    <row r="994" spans="7:10" x14ac:dyDescent="0.3">
      <c r="G994" s="10" t="s">
        <v>973</v>
      </c>
      <c r="H994" s="11" t="s">
        <v>2041</v>
      </c>
      <c r="I994" s="11" t="s">
        <v>2023</v>
      </c>
      <c r="J994" s="12">
        <v>18.25</v>
      </c>
    </row>
    <row r="995" spans="7:10" x14ac:dyDescent="0.3">
      <c r="G995" s="7" t="s">
        <v>974</v>
      </c>
      <c r="H995" s="8" t="s">
        <v>2057</v>
      </c>
      <c r="I995" s="8" t="s">
        <v>1987</v>
      </c>
      <c r="J995" s="9">
        <v>6.19</v>
      </c>
    </row>
    <row r="996" spans="7:10" x14ac:dyDescent="0.3">
      <c r="G996" s="10" t="s">
        <v>975</v>
      </c>
      <c r="H996" s="11" t="s">
        <v>2052</v>
      </c>
      <c r="I996" s="11" t="s">
        <v>2031</v>
      </c>
      <c r="J996" s="12">
        <v>1.47</v>
      </c>
    </row>
    <row r="997" spans="7:10" x14ac:dyDescent="0.3">
      <c r="G997" s="7" t="s">
        <v>976</v>
      </c>
      <c r="H997" s="8" t="s">
        <v>2034</v>
      </c>
      <c r="I997" s="8" t="s">
        <v>2026</v>
      </c>
      <c r="J997" s="9">
        <v>4.0599999999999996</v>
      </c>
    </row>
    <row r="998" spans="7:10" x14ac:dyDescent="0.3">
      <c r="G998" s="10" t="s">
        <v>2016</v>
      </c>
      <c r="H998" s="11" t="s">
        <v>2038</v>
      </c>
      <c r="I998" s="11" t="s">
        <v>2015</v>
      </c>
      <c r="J998" s="12">
        <v>9.19</v>
      </c>
    </row>
    <row r="999" spans="7:10" x14ac:dyDescent="0.3">
      <c r="G999" s="7" t="s">
        <v>977</v>
      </c>
      <c r="H999" s="8" t="s">
        <v>1975</v>
      </c>
      <c r="I999" s="8" t="s">
        <v>1993</v>
      </c>
      <c r="J999" s="9">
        <v>4.5199999999999996</v>
      </c>
    </row>
    <row r="1000" spans="7:10" x14ac:dyDescent="0.3">
      <c r="G1000" s="10" t="s">
        <v>978</v>
      </c>
      <c r="H1000" s="11" t="s">
        <v>2038</v>
      </c>
      <c r="I1000" s="11" t="s">
        <v>2023</v>
      </c>
      <c r="J1000" s="12">
        <v>10.29</v>
      </c>
    </row>
    <row r="1001" spans="7:10" x14ac:dyDescent="0.3">
      <c r="G1001" s="7" t="s">
        <v>979</v>
      </c>
      <c r="H1001" s="8" t="s">
        <v>2035</v>
      </c>
      <c r="I1001" s="8" t="s">
        <v>2031</v>
      </c>
      <c r="J1001" s="9">
        <v>3.93</v>
      </c>
    </row>
    <row r="1002" spans="7:10" x14ac:dyDescent="0.3">
      <c r="G1002" s="10" t="s">
        <v>980</v>
      </c>
      <c r="H1002" s="11" t="s">
        <v>2034</v>
      </c>
      <c r="I1002" s="11" t="s">
        <v>2015</v>
      </c>
      <c r="J1002" s="12">
        <v>4.8600000000000003</v>
      </c>
    </row>
    <row r="1003" spans="7:10" x14ac:dyDescent="0.3">
      <c r="G1003" s="7" t="s">
        <v>981</v>
      </c>
      <c r="H1003" s="8" t="s">
        <v>2038</v>
      </c>
      <c r="I1003" s="8" t="s">
        <v>1988</v>
      </c>
      <c r="J1003" s="9">
        <v>4.8</v>
      </c>
    </row>
    <row r="1004" spans="7:10" x14ac:dyDescent="0.3">
      <c r="G1004" s="10" t="s">
        <v>982</v>
      </c>
      <c r="H1004" s="11" t="s">
        <v>2035</v>
      </c>
      <c r="I1004" s="11" t="s">
        <v>1993</v>
      </c>
      <c r="J1004" s="12">
        <v>6.45</v>
      </c>
    </row>
    <row r="1005" spans="7:10" x14ac:dyDescent="0.3">
      <c r="G1005" s="7" t="s">
        <v>983</v>
      </c>
      <c r="H1005" s="8" t="s">
        <v>2034</v>
      </c>
      <c r="I1005" s="8" t="s">
        <v>2023</v>
      </c>
      <c r="J1005" s="9">
        <v>7.19</v>
      </c>
    </row>
    <row r="1006" spans="7:10" x14ac:dyDescent="0.3">
      <c r="G1006" s="10" t="s">
        <v>984</v>
      </c>
      <c r="H1006" s="11" t="s">
        <v>2052</v>
      </c>
      <c r="I1006" s="11" t="s">
        <v>1998</v>
      </c>
      <c r="J1006" s="12">
        <v>1.54</v>
      </c>
    </row>
    <row r="1007" spans="7:10" x14ac:dyDescent="0.3">
      <c r="G1007" s="7" t="s">
        <v>985</v>
      </c>
      <c r="H1007" s="8" t="s">
        <v>2035</v>
      </c>
      <c r="I1007" s="8" t="s">
        <v>1998</v>
      </c>
      <c r="J1007" s="9">
        <v>0.75</v>
      </c>
    </row>
    <row r="1008" spans="7:10" x14ac:dyDescent="0.3">
      <c r="G1008" s="10" t="s">
        <v>986</v>
      </c>
      <c r="H1008" s="11" t="s">
        <v>2047</v>
      </c>
      <c r="I1008" s="11" t="s">
        <v>2015</v>
      </c>
      <c r="J1008" s="12">
        <v>2.44</v>
      </c>
    </row>
    <row r="1009" spans="7:10" x14ac:dyDescent="0.3">
      <c r="G1009" s="7" t="s">
        <v>987</v>
      </c>
      <c r="H1009" s="8" t="s">
        <v>2038</v>
      </c>
      <c r="I1009" s="8" t="s">
        <v>2030</v>
      </c>
      <c r="J1009" s="9">
        <v>4.45</v>
      </c>
    </row>
    <row r="1010" spans="7:10" x14ac:dyDescent="0.3">
      <c r="G1010" s="10" t="s">
        <v>988</v>
      </c>
      <c r="H1010" s="11" t="s">
        <v>2081</v>
      </c>
      <c r="I1010" s="11" t="s">
        <v>1979</v>
      </c>
      <c r="J1010" s="12">
        <v>1.38</v>
      </c>
    </row>
    <row r="1011" spans="7:10" x14ac:dyDescent="0.3">
      <c r="G1011" s="7" t="s">
        <v>989</v>
      </c>
      <c r="H1011" s="8" t="s">
        <v>2039</v>
      </c>
      <c r="I1011" s="8" t="s">
        <v>2029</v>
      </c>
      <c r="J1011" s="9">
        <v>32.369999999999997</v>
      </c>
    </row>
    <row r="1012" spans="7:10" x14ac:dyDescent="0.3">
      <c r="G1012" s="10" t="s">
        <v>990</v>
      </c>
      <c r="H1012" s="11" t="s">
        <v>2035</v>
      </c>
      <c r="I1012" s="11" t="s">
        <v>2017</v>
      </c>
      <c r="J1012" s="12">
        <v>4.1399999999999997</v>
      </c>
    </row>
    <row r="1013" spans="7:10" x14ac:dyDescent="0.3">
      <c r="G1013" s="7" t="s">
        <v>991</v>
      </c>
      <c r="H1013" s="8" t="s">
        <v>2049</v>
      </c>
      <c r="I1013" s="8" t="s">
        <v>2005</v>
      </c>
      <c r="J1013" s="9">
        <v>4.49</v>
      </c>
    </row>
    <row r="1014" spans="7:10" x14ac:dyDescent="0.3">
      <c r="G1014" s="10" t="s">
        <v>992</v>
      </c>
      <c r="H1014" s="11" t="s">
        <v>2034</v>
      </c>
      <c r="I1014" s="11" t="s">
        <v>2026</v>
      </c>
      <c r="J1014" s="12">
        <v>4.9400000000000004</v>
      </c>
    </row>
    <row r="1015" spans="7:10" x14ac:dyDescent="0.3">
      <c r="G1015" s="7" t="s">
        <v>993</v>
      </c>
      <c r="H1015" s="8" t="s">
        <v>2035</v>
      </c>
      <c r="I1015" s="8" t="s">
        <v>2017</v>
      </c>
      <c r="J1015" s="9">
        <v>3.94</v>
      </c>
    </row>
    <row r="1016" spans="7:10" x14ac:dyDescent="0.3">
      <c r="G1016" s="10" t="s">
        <v>994</v>
      </c>
      <c r="H1016" s="11" t="s">
        <v>2038</v>
      </c>
      <c r="I1016" s="11" t="s">
        <v>2029</v>
      </c>
      <c r="J1016" s="12">
        <v>43.63</v>
      </c>
    </row>
    <row r="1017" spans="7:10" x14ac:dyDescent="0.3">
      <c r="G1017" s="7" t="s">
        <v>995</v>
      </c>
      <c r="H1017" s="8" t="s">
        <v>2034</v>
      </c>
      <c r="I1017" s="8" t="s">
        <v>1988</v>
      </c>
      <c r="J1017" s="9">
        <v>5.49</v>
      </c>
    </row>
    <row r="1018" spans="7:10" x14ac:dyDescent="0.3">
      <c r="G1018" s="10" t="s">
        <v>996</v>
      </c>
      <c r="H1018" s="11" t="s">
        <v>2034</v>
      </c>
      <c r="I1018" s="11" t="s">
        <v>1986</v>
      </c>
      <c r="J1018" s="12">
        <v>16.079999999999998</v>
      </c>
    </row>
    <row r="1019" spans="7:10" x14ac:dyDescent="0.3">
      <c r="G1019" s="7" t="s">
        <v>997</v>
      </c>
      <c r="H1019" s="8" t="s">
        <v>2034</v>
      </c>
      <c r="I1019" s="8" t="s">
        <v>1979</v>
      </c>
      <c r="J1019" s="9">
        <v>1.19</v>
      </c>
    </row>
    <row r="1020" spans="7:10" x14ac:dyDescent="0.3">
      <c r="G1020" s="10" t="s">
        <v>998</v>
      </c>
      <c r="H1020" s="11" t="s">
        <v>2034</v>
      </c>
      <c r="I1020" s="11" t="s">
        <v>1986</v>
      </c>
      <c r="J1020" s="12">
        <v>11.16</v>
      </c>
    </row>
    <row r="1021" spans="7:10" x14ac:dyDescent="0.3">
      <c r="G1021" s="7" t="s">
        <v>999</v>
      </c>
      <c r="H1021" s="8" t="s">
        <v>2035</v>
      </c>
      <c r="I1021" s="8" t="s">
        <v>1998</v>
      </c>
      <c r="J1021" s="9">
        <v>0.42</v>
      </c>
    </row>
    <row r="1022" spans="7:10" x14ac:dyDescent="0.3">
      <c r="G1022" s="10" t="s">
        <v>1000</v>
      </c>
      <c r="H1022" s="11" t="s">
        <v>2043</v>
      </c>
      <c r="I1022" s="11" t="s">
        <v>1988</v>
      </c>
      <c r="J1022" s="12">
        <v>11.2</v>
      </c>
    </row>
    <row r="1023" spans="7:10" x14ac:dyDescent="0.3">
      <c r="G1023" s="7" t="s">
        <v>1001</v>
      </c>
      <c r="H1023" s="8" t="s">
        <v>2057</v>
      </c>
      <c r="I1023" s="8" t="s">
        <v>2028</v>
      </c>
      <c r="J1023" s="9">
        <v>6.28</v>
      </c>
    </row>
    <row r="1024" spans="7:10" x14ac:dyDescent="0.3">
      <c r="G1024" s="10" t="s">
        <v>1002</v>
      </c>
      <c r="H1024" s="11" t="s">
        <v>2041</v>
      </c>
      <c r="I1024" s="11" t="s">
        <v>2004</v>
      </c>
      <c r="J1024" s="12">
        <v>5.65</v>
      </c>
    </row>
    <row r="1025" spans="7:10" x14ac:dyDescent="0.3">
      <c r="G1025" s="7" t="s">
        <v>1003</v>
      </c>
      <c r="H1025" s="8" t="s">
        <v>2044</v>
      </c>
      <c r="I1025" s="8" t="s">
        <v>2015</v>
      </c>
      <c r="J1025" s="9">
        <v>7.38</v>
      </c>
    </row>
    <row r="1026" spans="7:10" x14ac:dyDescent="0.3">
      <c r="G1026" s="10" t="s">
        <v>1004</v>
      </c>
      <c r="H1026" s="11" t="s">
        <v>2034</v>
      </c>
      <c r="I1026" s="11" t="s">
        <v>1988</v>
      </c>
      <c r="J1026" s="12">
        <v>7.06</v>
      </c>
    </row>
    <row r="1027" spans="7:10" x14ac:dyDescent="0.3">
      <c r="G1027" s="7" t="s">
        <v>1005</v>
      </c>
      <c r="H1027" s="8" t="s">
        <v>2034</v>
      </c>
      <c r="I1027" s="8" t="s">
        <v>1999</v>
      </c>
      <c r="J1027" s="9">
        <v>2.0299999999999998</v>
      </c>
    </row>
    <row r="1028" spans="7:10" x14ac:dyDescent="0.3">
      <c r="G1028" s="10" t="s">
        <v>1006</v>
      </c>
      <c r="H1028" s="11" t="s">
        <v>2038</v>
      </c>
      <c r="I1028" s="11" t="s">
        <v>1997</v>
      </c>
      <c r="J1028" s="12">
        <v>4.8099999999999996</v>
      </c>
    </row>
    <row r="1029" spans="7:10" x14ac:dyDescent="0.3">
      <c r="G1029" s="7" t="s">
        <v>1007</v>
      </c>
      <c r="H1029" s="8" t="s">
        <v>2052</v>
      </c>
      <c r="I1029" s="8" t="s">
        <v>1993</v>
      </c>
      <c r="J1029" s="9">
        <v>2.87</v>
      </c>
    </row>
    <row r="1030" spans="7:10" x14ac:dyDescent="0.3">
      <c r="G1030" s="10" t="s">
        <v>1008</v>
      </c>
      <c r="H1030" s="11" t="s">
        <v>2052</v>
      </c>
      <c r="I1030" s="11" t="s">
        <v>1979</v>
      </c>
      <c r="J1030" s="12">
        <v>1.01</v>
      </c>
    </row>
    <row r="1031" spans="7:10" x14ac:dyDescent="0.3">
      <c r="G1031" s="7" t="s">
        <v>1009</v>
      </c>
      <c r="H1031" s="8" t="s">
        <v>2035</v>
      </c>
      <c r="I1031" s="8" t="s">
        <v>2023</v>
      </c>
      <c r="J1031" s="9">
        <v>5.38</v>
      </c>
    </row>
    <row r="1032" spans="7:10" x14ac:dyDescent="0.3">
      <c r="G1032" s="10" t="s">
        <v>1010</v>
      </c>
      <c r="H1032" s="11" t="s">
        <v>2038</v>
      </c>
      <c r="I1032" s="11" t="s">
        <v>1979</v>
      </c>
      <c r="J1032" s="12">
        <v>1.51</v>
      </c>
    </row>
    <row r="1033" spans="7:10" x14ac:dyDescent="0.3">
      <c r="G1033" s="7" t="s">
        <v>1011</v>
      </c>
      <c r="H1033" s="8" t="s">
        <v>2035</v>
      </c>
      <c r="I1033" s="8" t="s">
        <v>1998</v>
      </c>
      <c r="J1033" s="9">
        <v>3.1</v>
      </c>
    </row>
    <row r="1034" spans="7:10" x14ac:dyDescent="0.3">
      <c r="G1034" s="10" t="s">
        <v>1012</v>
      </c>
      <c r="H1034" s="11" t="s">
        <v>2038</v>
      </c>
      <c r="I1034" s="11" t="s">
        <v>1997</v>
      </c>
      <c r="J1034" s="12">
        <v>13.5</v>
      </c>
    </row>
    <row r="1035" spans="7:10" x14ac:dyDescent="0.3">
      <c r="G1035" s="7" t="s">
        <v>1013</v>
      </c>
      <c r="H1035" s="8" t="s">
        <v>2041</v>
      </c>
      <c r="I1035" s="8" t="s">
        <v>2025</v>
      </c>
      <c r="J1035" s="9">
        <v>8.1199999999999992</v>
      </c>
    </row>
    <row r="1036" spans="7:10" x14ac:dyDescent="0.3">
      <c r="G1036" s="10" t="s">
        <v>1014</v>
      </c>
      <c r="H1036" s="11" t="s">
        <v>2034</v>
      </c>
      <c r="I1036" s="11" t="s">
        <v>1979</v>
      </c>
      <c r="J1036" s="12">
        <v>2.11</v>
      </c>
    </row>
    <row r="1037" spans="7:10" x14ac:dyDescent="0.3">
      <c r="G1037" s="7" t="s">
        <v>1015</v>
      </c>
      <c r="H1037" s="8" t="s">
        <v>2038</v>
      </c>
      <c r="I1037" s="8" t="s">
        <v>2030</v>
      </c>
      <c r="J1037" s="9">
        <v>7.73</v>
      </c>
    </row>
    <row r="1038" spans="7:10" x14ac:dyDescent="0.3">
      <c r="G1038" s="10" t="s">
        <v>1016</v>
      </c>
      <c r="H1038" s="11" t="s">
        <v>2049</v>
      </c>
      <c r="I1038" s="11" t="s">
        <v>1988</v>
      </c>
      <c r="J1038" s="12">
        <v>7.1</v>
      </c>
    </row>
    <row r="1039" spans="7:10" x14ac:dyDescent="0.3">
      <c r="G1039" s="7" t="s">
        <v>1017</v>
      </c>
      <c r="H1039" s="8" t="s">
        <v>2035</v>
      </c>
      <c r="I1039" s="8" t="s">
        <v>2015</v>
      </c>
      <c r="J1039" s="9">
        <v>5.56</v>
      </c>
    </row>
    <row r="1040" spans="7:10" x14ac:dyDescent="0.3">
      <c r="G1040" s="10" t="s">
        <v>1018</v>
      </c>
      <c r="H1040" s="11" t="s">
        <v>2034</v>
      </c>
      <c r="I1040" s="11" t="s">
        <v>1998</v>
      </c>
      <c r="J1040" s="12">
        <v>3.07</v>
      </c>
    </row>
    <row r="1041" spans="7:10" x14ac:dyDescent="0.3">
      <c r="G1041" s="7" t="s">
        <v>1019</v>
      </c>
      <c r="H1041" s="8" t="s">
        <v>2038</v>
      </c>
      <c r="I1041" s="8" t="s">
        <v>2027</v>
      </c>
      <c r="J1041" s="9">
        <v>2.88</v>
      </c>
    </row>
    <row r="1042" spans="7:10" x14ac:dyDescent="0.3">
      <c r="G1042" s="10" t="s">
        <v>1020</v>
      </c>
      <c r="H1042" s="11" t="s">
        <v>2034</v>
      </c>
      <c r="I1042" s="11" t="s">
        <v>2022</v>
      </c>
      <c r="J1042" s="12">
        <v>2.19</v>
      </c>
    </row>
    <row r="1043" spans="7:10" x14ac:dyDescent="0.3">
      <c r="G1043" s="7" t="s">
        <v>1021</v>
      </c>
      <c r="H1043" s="8" t="s">
        <v>2038</v>
      </c>
      <c r="I1043" s="8" t="s">
        <v>2031</v>
      </c>
      <c r="J1043" s="9">
        <v>4.3899999999999997</v>
      </c>
    </row>
    <row r="1044" spans="7:10" x14ac:dyDescent="0.3">
      <c r="G1044" s="10" t="s">
        <v>1022</v>
      </c>
      <c r="H1044" s="11" t="s">
        <v>2034</v>
      </c>
      <c r="I1044" s="11" t="s">
        <v>2031</v>
      </c>
      <c r="J1044" s="12">
        <v>4.78</v>
      </c>
    </row>
    <row r="1045" spans="7:10" x14ac:dyDescent="0.3">
      <c r="G1045" s="7" t="s">
        <v>1023</v>
      </c>
      <c r="H1045" s="8" t="s">
        <v>2065</v>
      </c>
      <c r="I1045" s="8" t="s">
        <v>1979</v>
      </c>
      <c r="J1045" s="9">
        <v>2.12</v>
      </c>
    </row>
    <row r="1046" spans="7:10" x14ac:dyDescent="0.3">
      <c r="G1046" s="10" t="s">
        <v>1024</v>
      </c>
      <c r="H1046" s="11" t="s">
        <v>2051</v>
      </c>
      <c r="I1046" s="11" t="s">
        <v>1987</v>
      </c>
      <c r="J1046" s="12">
        <v>4.7300000000000004</v>
      </c>
    </row>
    <row r="1047" spans="7:10" x14ac:dyDescent="0.3">
      <c r="G1047" s="7" t="s">
        <v>1025</v>
      </c>
      <c r="H1047" s="8" t="s">
        <v>2038</v>
      </c>
      <c r="I1047" s="8" t="s">
        <v>1979</v>
      </c>
      <c r="J1047" s="9">
        <v>1.37</v>
      </c>
    </row>
    <row r="1048" spans="7:10" x14ac:dyDescent="0.3">
      <c r="G1048" s="10" t="s">
        <v>1026</v>
      </c>
      <c r="H1048" s="11" t="s">
        <v>2034</v>
      </c>
      <c r="I1048" s="11" t="s">
        <v>2001</v>
      </c>
      <c r="J1048" s="12">
        <v>4.59</v>
      </c>
    </row>
    <row r="1049" spans="7:10" x14ac:dyDescent="0.3">
      <c r="G1049" s="7" t="s">
        <v>1027</v>
      </c>
      <c r="H1049" s="8" t="s">
        <v>2065</v>
      </c>
      <c r="I1049" s="8" t="s">
        <v>1998</v>
      </c>
      <c r="J1049" s="9">
        <v>1.93</v>
      </c>
    </row>
    <row r="1050" spans="7:10" x14ac:dyDescent="0.3">
      <c r="G1050" s="10" t="s">
        <v>1028</v>
      </c>
      <c r="H1050" s="11" t="s">
        <v>2041</v>
      </c>
      <c r="I1050" s="11" t="s">
        <v>1979</v>
      </c>
      <c r="J1050" s="12">
        <v>5.73</v>
      </c>
    </row>
    <row r="1051" spans="7:10" x14ac:dyDescent="0.3">
      <c r="G1051" s="7" t="s">
        <v>1029</v>
      </c>
      <c r="H1051" s="8" t="s">
        <v>2038</v>
      </c>
      <c r="I1051" s="8" t="s">
        <v>1987</v>
      </c>
      <c r="J1051" s="9">
        <v>11.58</v>
      </c>
    </row>
    <row r="1052" spans="7:10" x14ac:dyDescent="0.3">
      <c r="G1052" s="10" t="s">
        <v>1030</v>
      </c>
      <c r="H1052" s="11" t="s">
        <v>2034</v>
      </c>
      <c r="I1052" s="11" t="s">
        <v>1999</v>
      </c>
      <c r="J1052" s="12">
        <v>2.86</v>
      </c>
    </row>
    <row r="1053" spans="7:10" x14ac:dyDescent="0.3">
      <c r="G1053" s="7" t="s">
        <v>1031</v>
      </c>
      <c r="H1053" s="8" t="s">
        <v>2038</v>
      </c>
      <c r="I1053" s="8" t="s">
        <v>2004</v>
      </c>
      <c r="J1053" s="9">
        <v>9.9600000000000009</v>
      </c>
    </row>
    <row r="1054" spans="7:10" x14ac:dyDescent="0.3">
      <c r="G1054" s="10" t="s">
        <v>1032</v>
      </c>
      <c r="H1054" s="11" t="s">
        <v>2064</v>
      </c>
      <c r="I1054" s="11" t="s">
        <v>2022</v>
      </c>
      <c r="J1054" s="12">
        <v>8.5</v>
      </c>
    </row>
    <row r="1055" spans="7:10" x14ac:dyDescent="0.3">
      <c r="G1055" s="7" t="s">
        <v>1033</v>
      </c>
      <c r="H1055" s="8" t="s">
        <v>2035</v>
      </c>
      <c r="I1055" s="8" t="s">
        <v>1993</v>
      </c>
      <c r="J1055" s="9">
        <v>3.93</v>
      </c>
    </row>
    <row r="1056" spans="7:10" x14ac:dyDescent="0.3">
      <c r="G1056" s="10" t="s">
        <v>1034</v>
      </c>
      <c r="H1056" s="11" t="s">
        <v>2034</v>
      </c>
      <c r="I1056" s="11" t="s">
        <v>2017</v>
      </c>
      <c r="J1056" s="12">
        <v>8.43</v>
      </c>
    </row>
    <row r="1057" spans="7:10" x14ac:dyDescent="0.3">
      <c r="G1057" s="7" t="s">
        <v>1035</v>
      </c>
      <c r="H1057" s="8" t="s">
        <v>1977</v>
      </c>
      <c r="I1057" s="8" t="s">
        <v>2005</v>
      </c>
      <c r="J1057" s="9">
        <v>5.63</v>
      </c>
    </row>
    <row r="1058" spans="7:10" x14ac:dyDescent="0.3">
      <c r="G1058" s="10" t="s">
        <v>1036</v>
      </c>
      <c r="H1058" s="11" t="s">
        <v>2042</v>
      </c>
      <c r="I1058" s="11" t="s">
        <v>1979</v>
      </c>
      <c r="J1058" s="12">
        <v>3.25</v>
      </c>
    </row>
    <row r="1059" spans="7:10" x14ac:dyDescent="0.3">
      <c r="G1059" s="7" t="s">
        <v>1037</v>
      </c>
      <c r="H1059" s="8" t="s">
        <v>2034</v>
      </c>
      <c r="I1059" s="8" t="s">
        <v>1998</v>
      </c>
      <c r="J1059" s="9">
        <v>1.44</v>
      </c>
    </row>
    <row r="1060" spans="7:10" x14ac:dyDescent="0.3">
      <c r="G1060" s="10" t="s">
        <v>1038</v>
      </c>
      <c r="H1060" s="11" t="s">
        <v>2037</v>
      </c>
      <c r="I1060" s="11" t="s">
        <v>2004</v>
      </c>
      <c r="J1060" s="12">
        <v>3.49</v>
      </c>
    </row>
    <row r="1061" spans="7:10" x14ac:dyDescent="0.3">
      <c r="G1061" s="7" t="s">
        <v>1039</v>
      </c>
      <c r="H1061" s="8" t="s">
        <v>2034</v>
      </c>
      <c r="I1061" s="8" t="s">
        <v>1998</v>
      </c>
      <c r="J1061" s="9">
        <v>3</v>
      </c>
    </row>
    <row r="1062" spans="7:10" x14ac:dyDescent="0.3">
      <c r="G1062" s="10" t="s">
        <v>1040</v>
      </c>
      <c r="H1062" s="11" t="s">
        <v>2060</v>
      </c>
      <c r="I1062" s="11" t="s">
        <v>2001</v>
      </c>
      <c r="J1062" s="12">
        <v>4.18</v>
      </c>
    </row>
    <row r="1063" spans="7:10" x14ac:dyDescent="0.3">
      <c r="G1063" s="7" t="s">
        <v>1041</v>
      </c>
      <c r="H1063" s="8" t="s">
        <v>2038</v>
      </c>
      <c r="I1063" s="8" t="s">
        <v>2017</v>
      </c>
      <c r="J1063" s="9">
        <v>2.97</v>
      </c>
    </row>
    <row r="1064" spans="7:10" x14ac:dyDescent="0.3">
      <c r="G1064" s="10" t="s">
        <v>1042</v>
      </c>
      <c r="H1064" s="11" t="s">
        <v>2041</v>
      </c>
      <c r="I1064" s="11" t="s">
        <v>1998</v>
      </c>
      <c r="J1064" s="12">
        <v>8.31</v>
      </c>
    </row>
    <row r="1065" spans="7:10" x14ac:dyDescent="0.3">
      <c r="G1065" s="7" t="s">
        <v>1043</v>
      </c>
      <c r="H1065" s="8" t="s">
        <v>2034</v>
      </c>
      <c r="I1065" s="8" t="s">
        <v>1997</v>
      </c>
      <c r="J1065" s="9">
        <v>27.2</v>
      </c>
    </row>
    <row r="1066" spans="7:10" x14ac:dyDescent="0.3">
      <c r="G1066" s="10" t="s">
        <v>1044</v>
      </c>
      <c r="H1066" s="11" t="s">
        <v>2038</v>
      </c>
      <c r="I1066" s="11" t="s">
        <v>1987</v>
      </c>
      <c r="J1066" s="12">
        <v>4.53</v>
      </c>
    </row>
    <row r="1067" spans="7:10" x14ac:dyDescent="0.3">
      <c r="G1067" s="7" t="s">
        <v>1045</v>
      </c>
      <c r="H1067" s="8" t="s">
        <v>2079</v>
      </c>
      <c r="I1067" s="8" t="s">
        <v>1979</v>
      </c>
      <c r="J1067" s="9">
        <v>2.33</v>
      </c>
    </row>
    <row r="1068" spans="7:10" x14ac:dyDescent="0.3">
      <c r="G1068" s="10" t="s">
        <v>1046</v>
      </c>
      <c r="H1068" s="11" t="s">
        <v>2034</v>
      </c>
      <c r="I1068" s="11" t="s">
        <v>1997</v>
      </c>
      <c r="J1068" s="12">
        <v>11.6</v>
      </c>
    </row>
    <row r="1069" spans="7:10" x14ac:dyDescent="0.3">
      <c r="G1069" s="7" t="s">
        <v>1047</v>
      </c>
      <c r="H1069" s="8" t="s">
        <v>2038</v>
      </c>
      <c r="I1069" s="8" t="s">
        <v>2015</v>
      </c>
      <c r="J1069" s="9">
        <v>4.5199999999999996</v>
      </c>
    </row>
    <row r="1070" spans="7:10" x14ac:dyDescent="0.3">
      <c r="G1070" s="10" t="s">
        <v>1048</v>
      </c>
      <c r="H1070" s="11" t="s">
        <v>2034</v>
      </c>
      <c r="I1070" s="11" t="s">
        <v>2002</v>
      </c>
      <c r="J1070" s="12">
        <v>2.92</v>
      </c>
    </row>
    <row r="1071" spans="7:10" x14ac:dyDescent="0.3">
      <c r="G1071" s="7" t="s">
        <v>1049</v>
      </c>
      <c r="H1071" s="8" t="s">
        <v>2044</v>
      </c>
      <c r="I1071" s="8" t="s">
        <v>1978</v>
      </c>
      <c r="J1071" s="9">
        <v>3.85</v>
      </c>
    </row>
    <row r="1072" spans="7:10" x14ac:dyDescent="0.3">
      <c r="G1072" s="10" t="s">
        <v>1050</v>
      </c>
      <c r="H1072" s="11" t="s">
        <v>2034</v>
      </c>
      <c r="I1072" s="11" t="s">
        <v>2004</v>
      </c>
      <c r="J1072" s="12">
        <v>4.51</v>
      </c>
    </row>
    <row r="1073" spans="7:10" x14ac:dyDescent="0.3">
      <c r="G1073" s="7" t="s">
        <v>1051</v>
      </c>
      <c r="H1073" s="8" t="s">
        <v>2034</v>
      </c>
      <c r="I1073" s="8" t="s">
        <v>2027</v>
      </c>
      <c r="J1073" s="9">
        <v>8.1</v>
      </c>
    </row>
    <row r="1074" spans="7:10" x14ac:dyDescent="0.3">
      <c r="G1074" s="10" t="s">
        <v>1052</v>
      </c>
      <c r="H1074" s="11" t="s">
        <v>2082</v>
      </c>
      <c r="I1074" s="11" t="s">
        <v>2028</v>
      </c>
      <c r="J1074" s="12">
        <v>3.35</v>
      </c>
    </row>
    <row r="1075" spans="7:10" x14ac:dyDescent="0.3">
      <c r="G1075" s="7" t="s">
        <v>1053</v>
      </c>
      <c r="H1075" s="8" t="s">
        <v>2043</v>
      </c>
      <c r="I1075" s="8" t="s">
        <v>2031</v>
      </c>
      <c r="J1075" s="9">
        <v>8.92</v>
      </c>
    </row>
    <row r="1076" spans="7:10" x14ac:dyDescent="0.3">
      <c r="G1076" s="10" t="s">
        <v>1054</v>
      </c>
      <c r="H1076" s="11" t="s">
        <v>2060</v>
      </c>
      <c r="I1076" s="11" t="s">
        <v>1992</v>
      </c>
      <c r="J1076" s="12">
        <v>6.53</v>
      </c>
    </row>
    <row r="1077" spans="7:10" x14ac:dyDescent="0.3">
      <c r="G1077" s="7" t="s">
        <v>1055</v>
      </c>
      <c r="H1077" s="8" t="s">
        <v>2042</v>
      </c>
      <c r="I1077" s="8" t="s">
        <v>1979</v>
      </c>
      <c r="J1077" s="9">
        <v>2.71</v>
      </c>
    </row>
    <row r="1078" spans="7:10" x14ac:dyDescent="0.3">
      <c r="G1078" s="10" t="s">
        <v>1056</v>
      </c>
      <c r="H1078" s="11" t="s">
        <v>2056</v>
      </c>
      <c r="I1078" s="11" t="s">
        <v>2017</v>
      </c>
      <c r="J1078" s="12">
        <v>1.46</v>
      </c>
    </row>
    <row r="1079" spans="7:10" x14ac:dyDescent="0.3">
      <c r="G1079" s="7" t="s">
        <v>1057</v>
      </c>
      <c r="H1079" s="8" t="s">
        <v>2039</v>
      </c>
      <c r="I1079" s="8" t="s">
        <v>1997</v>
      </c>
      <c r="J1079" s="9">
        <v>10.85</v>
      </c>
    </row>
    <row r="1080" spans="7:10" x14ac:dyDescent="0.3">
      <c r="G1080" s="10" t="s">
        <v>1058</v>
      </c>
      <c r="H1080" s="11" t="s">
        <v>2034</v>
      </c>
      <c r="I1080" s="11" t="s">
        <v>1993</v>
      </c>
      <c r="J1080" s="12">
        <v>11.94</v>
      </c>
    </row>
    <row r="1081" spans="7:10" x14ac:dyDescent="0.3">
      <c r="G1081" s="7" t="s">
        <v>1059</v>
      </c>
      <c r="H1081" s="8" t="s">
        <v>2034</v>
      </c>
      <c r="I1081" s="8" t="s">
        <v>2026</v>
      </c>
      <c r="J1081" s="9">
        <v>1.97</v>
      </c>
    </row>
    <row r="1082" spans="7:10" x14ac:dyDescent="0.3">
      <c r="G1082" s="10" t="s">
        <v>1060</v>
      </c>
      <c r="H1082" s="11" t="s">
        <v>2034</v>
      </c>
      <c r="I1082" s="11" t="s">
        <v>2027</v>
      </c>
      <c r="J1082" s="12">
        <v>11.16</v>
      </c>
    </row>
    <row r="1083" spans="7:10" x14ac:dyDescent="0.3">
      <c r="G1083" s="7" t="s">
        <v>1061</v>
      </c>
      <c r="H1083" s="8" t="s">
        <v>2066</v>
      </c>
      <c r="I1083" s="8" t="s">
        <v>1998</v>
      </c>
      <c r="J1083" s="9">
        <v>2.31</v>
      </c>
    </row>
    <row r="1084" spans="7:10" x14ac:dyDescent="0.3">
      <c r="G1084" s="10" t="s">
        <v>1062</v>
      </c>
      <c r="H1084" s="11" t="s">
        <v>2034</v>
      </c>
      <c r="I1084" s="11" t="s">
        <v>2015</v>
      </c>
      <c r="J1084" s="12">
        <v>3.81</v>
      </c>
    </row>
    <row r="1085" spans="7:10" x14ac:dyDescent="0.3">
      <c r="G1085" s="7" t="s">
        <v>1063</v>
      </c>
      <c r="H1085" s="8" t="s">
        <v>2043</v>
      </c>
      <c r="I1085" s="8" t="s">
        <v>2029</v>
      </c>
      <c r="J1085" s="9">
        <v>15.4</v>
      </c>
    </row>
    <row r="1086" spans="7:10" x14ac:dyDescent="0.3">
      <c r="G1086" s="10" t="s">
        <v>1064</v>
      </c>
      <c r="H1086" s="11" t="s">
        <v>2034</v>
      </c>
      <c r="I1086" s="11" t="s">
        <v>2027</v>
      </c>
      <c r="J1086" s="12">
        <v>28.81</v>
      </c>
    </row>
    <row r="1087" spans="7:10" x14ac:dyDescent="0.3">
      <c r="G1087" s="7" t="s">
        <v>1065</v>
      </c>
      <c r="H1087" s="8" t="s">
        <v>2047</v>
      </c>
      <c r="I1087" s="8" t="s">
        <v>2023</v>
      </c>
      <c r="J1087" s="9">
        <v>6.15</v>
      </c>
    </row>
    <row r="1088" spans="7:10" x14ac:dyDescent="0.3">
      <c r="G1088" s="10" t="s">
        <v>1066</v>
      </c>
      <c r="H1088" s="11" t="s">
        <v>2034</v>
      </c>
      <c r="I1088" s="11" t="s">
        <v>2004</v>
      </c>
      <c r="J1088" s="12">
        <v>6.36</v>
      </c>
    </row>
    <row r="1089" spans="7:10" x14ac:dyDescent="0.3">
      <c r="G1089" s="7" t="s">
        <v>1067</v>
      </c>
      <c r="H1089" s="8" t="s">
        <v>2066</v>
      </c>
      <c r="I1089" s="8" t="s">
        <v>1992</v>
      </c>
      <c r="J1089" s="9">
        <v>3.42</v>
      </c>
    </row>
    <row r="1090" spans="7:10" x14ac:dyDescent="0.3">
      <c r="G1090" s="10" t="s">
        <v>1068</v>
      </c>
      <c r="H1090" s="11" t="s">
        <v>2039</v>
      </c>
      <c r="I1090" s="11" t="s">
        <v>2026</v>
      </c>
      <c r="J1090" s="12">
        <v>8.2200000000000006</v>
      </c>
    </row>
    <row r="1091" spans="7:10" x14ac:dyDescent="0.3">
      <c r="G1091" s="7" t="s">
        <v>1069</v>
      </c>
      <c r="H1091" s="8" t="s">
        <v>2061</v>
      </c>
      <c r="I1091" s="8" t="s">
        <v>2022</v>
      </c>
      <c r="J1091" s="9">
        <v>14.75</v>
      </c>
    </row>
    <row r="1092" spans="7:10" x14ac:dyDescent="0.3">
      <c r="G1092" s="10" t="s">
        <v>1070</v>
      </c>
      <c r="H1092" s="11" t="s">
        <v>2052</v>
      </c>
      <c r="I1092" s="11" t="s">
        <v>1992</v>
      </c>
      <c r="J1092" s="12">
        <v>2.95</v>
      </c>
    </row>
    <row r="1093" spans="7:10" x14ac:dyDescent="0.3">
      <c r="G1093" s="7" t="s">
        <v>1071</v>
      </c>
      <c r="H1093" s="8" t="s">
        <v>2034</v>
      </c>
      <c r="I1093" s="8" t="s">
        <v>2031</v>
      </c>
      <c r="J1093" s="9">
        <v>3.82</v>
      </c>
    </row>
    <row r="1094" spans="7:10" x14ac:dyDescent="0.3">
      <c r="G1094" s="10" t="s">
        <v>1072</v>
      </c>
      <c r="H1094" s="11" t="s">
        <v>2034</v>
      </c>
      <c r="I1094" s="11" t="s">
        <v>2002</v>
      </c>
      <c r="J1094" s="12">
        <v>5.29</v>
      </c>
    </row>
    <row r="1095" spans="7:10" x14ac:dyDescent="0.3">
      <c r="G1095" s="7" t="s">
        <v>1073</v>
      </c>
      <c r="H1095" s="8" t="s">
        <v>2034</v>
      </c>
      <c r="I1095" s="8" t="s">
        <v>2030</v>
      </c>
      <c r="J1095" s="9">
        <v>15.69</v>
      </c>
    </row>
    <row r="1096" spans="7:10" x14ac:dyDescent="0.3">
      <c r="G1096" s="10" t="s">
        <v>1074</v>
      </c>
      <c r="H1096" s="11" t="s">
        <v>2041</v>
      </c>
      <c r="I1096" s="11" t="s">
        <v>2015</v>
      </c>
      <c r="J1096" s="12">
        <v>8.06</v>
      </c>
    </row>
    <row r="1097" spans="7:10" x14ac:dyDescent="0.3">
      <c r="G1097" s="7" t="s">
        <v>1075</v>
      </c>
      <c r="H1097" s="8" t="s">
        <v>2034</v>
      </c>
      <c r="I1097" s="8" t="s">
        <v>2023</v>
      </c>
      <c r="J1097" s="9">
        <v>8.3000000000000007</v>
      </c>
    </row>
    <row r="1098" spans="7:10" x14ac:dyDescent="0.3">
      <c r="G1098" s="10" t="s">
        <v>1985</v>
      </c>
      <c r="H1098" s="11" t="s">
        <v>2045</v>
      </c>
      <c r="I1098" s="11" t="s">
        <v>1979</v>
      </c>
      <c r="J1098" s="12">
        <v>2.17</v>
      </c>
    </row>
    <row r="1099" spans="7:10" x14ac:dyDescent="0.3">
      <c r="G1099" s="7" t="s">
        <v>1076</v>
      </c>
      <c r="H1099" s="8" t="s">
        <v>2038</v>
      </c>
      <c r="I1099" s="8" t="s">
        <v>2002</v>
      </c>
      <c r="J1099" s="9">
        <v>7.59</v>
      </c>
    </row>
    <row r="1100" spans="7:10" x14ac:dyDescent="0.3">
      <c r="G1100" s="10" t="s">
        <v>1077</v>
      </c>
      <c r="H1100" s="11" t="s">
        <v>2073</v>
      </c>
      <c r="I1100" s="11" t="s">
        <v>2022</v>
      </c>
      <c r="J1100" s="12">
        <v>2.2599999999999998</v>
      </c>
    </row>
    <row r="1101" spans="7:10" x14ac:dyDescent="0.3">
      <c r="G1101" s="7" t="s">
        <v>1078</v>
      </c>
      <c r="H1101" s="8" t="s">
        <v>1975</v>
      </c>
      <c r="I1101" s="8" t="s">
        <v>2015</v>
      </c>
      <c r="J1101" s="9">
        <v>6.04</v>
      </c>
    </row>
    <row r="1102" spans="7:10" x14ac:dyDescent="0.3">
      <c r="G1102" s="10" t="s">
        <v>1079</v>
      </c>
      <c r="H1102" s="11" t="s">
        <v>2034</v>
      </c>
      <c r="I1102" s="11" t="s">
        <v>2004</v>
      </c>
      <c r="J1102" s="12">
        <v>5.18</v>
      </c>
    </row>
    <row r="1103" spans="7:10" x14ac:dyDescent="0.3">
      <c r="G1103" s="7" t="s">
        <v>1080</v>
      </c>
      <c r="H1103" s="8" t="s">
        <v>2040</v>
      </c>
      <c r="I1103" s="8" t="s">
        <v>1979</v>
      </c>
      <c r="J1103" s="9">
        <v>1.7</v>
      </c>
    </row>
    <row r="1104" spans="7:10" x14ac:dyDescent="0.3">
      <c r="G1104" s="10" t="s">
        <v>1081</v>
      </c>
      <c r="H1104" s="11" t="s">
        <v>2034</v>
      </c>
      <c r="I1104" s="11" t="s">
        <v>1993</v>
      </c>
      <c r="J1104" s="12">
        <v>5.28</v>
      </c>
    </row>
    <row r="1105" spans="7:10" x14ac:dyDescent="0.3">
      <c r="G1105" s="7" t="s">
        <v>1082</v>
      </c>
      <c r="H1105" s="8" t="s">
        <v>2069</v>
      </c>
      <c r="I1105" s="8" t="s">
        <v>1992</v>
      </c>
      <c r="J1105" s="9">
        <v>9</v>
      </c>
    </row>
    <row r="1106" spans="7:10" x14ac:dyDescent="0.3">
      <c r="G1106" s="10" t="s">
        <v>1083</v>
      </c>
      <c r="H1106" s="11" t="s">
        <v>2034</v>
      </c>
      <c r="I1106" s="11" t="s">
        <v>2022</v>
      </c>
      <c r="J1106" s="12">
        <v>3.46</v>
      </c>
    </row>
    <row r="1107" spans="7:10" x14ac:dyDescent="0.3">
      <c r="G1107" s="7" t="s">
        <v>1084</v>
      </c>
      <c r="H1107" s="8" t="s">
        <v>2036</v>
      </c>
      <c r="I1107" s="8" t="s">
        <v>1986</v>
      </c>
      <c r="J1107" s="9">
        <v>7.85</v>
      </c>
    </row>
    <row r="1108" spans="7:10" x14ac:dyDescent="0.3">
      <c r="G1108" s="10" t="s">
        <v>1085</v>
      </c>
      <c r="H1108" s="11" t="s">
        <v>2038</v>
      </c>
      <c r="I1108" s="11" t="s">
        <v>1986</v>
      </c>
      <c r="J1108" s="12">
        <v>5.68</v>
      </c>
    </row>
    <row r="1109" spans="7:10" x14ac:dyDescent="0.3">
      <c r="G1109" s="7" t="s">
        <v>1086</v>
      </c>
      <c r="H1109" s="8" t="s">
        <v>2034</v>
      </c>
      <c r="I1109" s="8" t="s">
        <v>2027</v>
      </c>
      <c r="J1109" s="9">
        <v>2.06</v>
      </c>
    </row>
    <row r="1110" spans="7:10" x14ac:dyDescent="0.3">
      <c r="G1110" s="10" t="s">
        <v>1087</v>
      </c>
      <c r="H1110" s="11" t="s">
        <v>2034</v>
      </c>
      <c r="I1110" s="11" t="s">
        <v>1986</v>
      </c>
      <c r="J1110" s="12">
        <v>1.73</v>
      </c>
    </row>
    <row r="1111" spans="7:10" x14ac:dyDescent="0.3">
      <c r="G1111" s="7" t="s">
        <v>1088</v>
      </c>
      <c r="H1111" s="8" t="s">
        <v>2042</v>
      </c>
      <c r="I1111" s="8" t="s">
        <v>1979</v>
      </c>
      <c r="J1111" s="9">
        <v>3.18</v>
      </c>
    </row>
    <row r="1112" spans="7:10" x14ac:dyDescent="0.3">
      <c r="G1112" s="10" t="s">
        <v>1089</v>
      </c>
      <c r="H1112" s="11" t="s">
        <v>2034</v>
      </c>
      <c r="I1112" s="11" t="s">
        <v>2025</v>
      </c>
      <c r="J1112" s="12">
        <v>2.67</v>
      </c>
    </row>
    <row r="1113" spans="7:10" x14ac:dyDescent="0.3">
      <c r="G1113" s="7" t="s">
        <v>1090</v>
      </c>
      <c r="H1113" s="8" t="s">
        <v>2034</v>
      </c>
      <c r="I1113" s="8" t="s">
        <v>1998</v>
      </c>
      <c r="J1113" s="9">
        <v>1.04</v>
      </c>
    </row>
    <row r="1114" spans="7:10" x14ac:dyDescent="0.3">
      <c r="G1114" s="10" t="s">
        <v>1091</v>
      </c>
      <c r="H1114" s="11" t="s">
        <v>2042</v>
      </c>
      <c r="I1114" s="11" t="s">
        <v>2005</v>
      </c>
      <c r="J1114" s="12">
        <v>3.41</v>
      </c>
    </row>
    <row r="1115" spans="7:10" x14ac:dyDescent="0.3">
      <c r="G1115" s="7" t="s">
        <v>1092</v>
      </c>
      <c r="H1115" s="8" t="s">
        <v>2038</v>
      </c>
      <c r="I1115" s="8" t="s">
        <v>2025</v>
      </c>
      <c r="J1115" s="9">
        <v>5.96</v>
      </c>
    </row>
    <row r="1116" spans="7:10" x14ac:dyDescent="0.3">
      <c r="G1116" s="10" t="s">
        <v>1093</v>
      </c>
      <c r="H1116" s="11" t="s">
        <v>2034</v>
      </c>
      <c r="I1116" s="11" t="s">
        <v>1992</v>
      </c>
      <c r="J1116" s="12">
        <v>4.29</v>
      </c>
    </row>
    <row r="1117" spans="7:10" x14ac:dyDescent="0.3">
      <c r="G1117" s="7" t="s">
        <v>1094</v>
      </c>
      <c r="H1117" s="8" t="s">
        <v>2034</v>
      </c>
      <c r="I1117" s="8" t="s">
        <v>1988</v>
      </c>
      <c r="J1117" s="9">
        <v>12.94</v>
      </c>
    </row>
    <row r="1118" spans="7:10" x14ac:dyDescent="0.3">
      <c r="G1118" s="10" t="s">
        <v>1095</v>
      </c>
      <c r="H1118" s="11" t="s">
        <v>2069</v>
      </c>
      <c r="I1118" s="11" t="s">
        <v>1998</v>
      </c>
      <c r="J1118" s="12">
        <v>2.4</v>
      </c>
    </row>
    <row r="1119" spans="7:10" x14ac:dyDescent="0.3">
      <c r="G1119" s="7" t="s">
        <v>1096</v>
      </c>
      <c r="H1119" s="8" t="s">
        <v>2063</v>
      </c>
      <c r="I1119" s="8" t="s">
        <v>1992</v>
      </c>
      <c r="J1119" s="9">
        <v>9.4499999999999993</v>
      </c>
    </row>
    <row r="1120" spans="7:10" x14ac:dyDescent="0.3">
      <c r="G1120" s="10" t="s">
        <v>1097</v>
      </c>
      <c r="H1120" s="11" t="s">
        <v>2038</v>
      </c>
      <c r="I1120" s="11" t="s">
        <v>1987</v>
      </c>
      <c r="J1120" s="12">
        <v>10.16</v>
      </c>
    </row>
    <row r="1121" spans="7:10" x14ac:dyDescent="0.3">
      <c r="G1121" s="7" t="s">
        <v>1098</v>
      </c>
      <c r="H1121" s="8" t="s">
        <v>2034</v>
      </c>
      <c r="I1121" s="8" t="s">
        <v>2031</v>
      </c>
      <c r="J1121" s="9">
        <v>5.3</v>
      </c>
    </row>
    <row r="1122" spans="7:10" x14ac:dyDescent="0.3">
      <c r="G1122" s="10" t="s">
        <v>1099</v>
      </c>
      <c r="H1122" s="11" t="s">
        <v>2038</v>
      </c>
      <c r="I1122" s="11" t="s">
        <v>1988</v>
      </c>
      <c r="J1122" s="12">
        <v>8.48</v>
      </c>
    </row>
    <row r="1123" spans="7:10" x14ac:dyDescent="0.3">
      <c r="G1123" s="7" t="s">
        <v>1100</v>
      </c>
      <c r="H1123" s="8" t="s">
        <v>2034</v>
      </c>
      <c r="I1123" s="8" t="s">
        <v>2022</v>
      </c>
      <c r="J1123" s="9">
        <v>5.58</v>
      </c>
    </row>
    <row r="1124" spans="7:10" x14ac:dyDescent="0.3">
      <c r="G1124" s="10" t="s">
        <v>1101</v>
      </c>
      <c r="H1124" s="11" t="s">
        <v>2041</v>
      </c>
      <c r="I1124" s="11" t="s">
        <v>1999</v>
      </c>
      <c r="J1124" s="12">
        <v>4.0199999999999996</v>
      </c>
    </row>
    <row r="1125" spans="7:10" x14ac:dyDescent="0.3">
      <c r="G1125" s="7" t="s">
        <v>1102</v>
      </c>
      <c r="H1125" s="8" t="s">
        <v>2043</v>
      </c>
      <c r="I1125" s="8" t="s">
        <v>1998</v>
      </c>
      <c r="J1125" s="9">
        <v>9.48</v>
      </c>
    </row>
    <row r="1126" spans="7:10" x14ac:dyDescent="0.3">
      <c r="G1126" s="10" t="s">
        <v>1103</v>
      </c>
      <c r="H1126" s="11" t="s">
        <v>2042</v>
      </c>
      <c r="I1126" s="11" t="s">
        <v>2005</v>
      </c>
      <c r="J1126" s="12">
        <v>6.42</v>
      </c>
    </row>
    <row r="1127" spans="7:10" x14ac:dyDescent="0.3">
      <c r="G1127" s="7" t="s">
        <v>1104</v>
      </c>
      <c r="H1127" s="8" t="s">
        <v>2083</v>
      </c>
      <c r="I1127" s="8" t="s">
        <v>1998</v>
      </c>
      <c r="J1127" s="9">
        <v>2.4700000000000002</v>
      </c>
    </row>
    <row r="1128" spans="7:10" x14ac:dyDescent="0.3">
      <c r="G1128" s="10" t="s">
        <v>1105</v>
      </c>
      <c r="H1128" s="11" t="s">
        <v>2044</v>
      </c>
      <c r="I1128" s="11" t="s">
        <v>2031</v>
      </c>
      <c r="J1128" s="12">
        <v>2.69</v>
      </c>
    </row>
    <row r="1129" spans="7:10" x14ac:dyDescent="0.3">
      <c r="G1129" s="7" t="s">
        <v>1106</v>
      </c>
      <c r="H1129" s="8" t="s">
        <v>1977</v>
      </c>
      <c r="I1129" s="8" t="s">
        <v>2005</v>
      </c>
      <c r="J1129" s="9">
        <v>5.75</v>
      </c>
    </row>
    <row r="1130" spans="7:10" x14ac:dyDescent="0.3">
      <c r="G1130" s="10" t="s">
        <v>1107</v>
      </c>
      <c r="H1130" s="11" t="s">
        <v>2034</v>
      </c>
      <c r="I1130" s="11" t="s">
        <v>2031</v>
      </c>
      <c r="J1130" s="12">
        <v>9.23</v>
      </c>
    </row>
    <row r="1131" spans="7:10" x14ac:dyDescent="0.3">
      <c r="G1131" s="7" t="s">
        <v>1108</v>
      </c>
      <c r="H1131" s="8" t="s">
        <v>2035</v>
      </c>
      <c r="I1131" s="8" t="s">
        <v>2003</v>
      </c>
      <c r="J1131" s="9">
        <v>3.68</v>
      </c>
    </row>
    <row r="1132" spans="7:10" x14ac:dyDescent="0.3">
      <c r="G1132" s="10" t="s">
        <v>1109</v>
      </c>
      <c r="H1132" s="11" t="s">
        <v>2034</v>
      </c>
      <c r="I1132" s="11" t="s">
        <v>1979</v>
      </c>
      <c r="J1132" s="12">
        <v>1.28</v>
      </c>
    </row>
    <row r="1133" spans="7:10" x14ac:dyDescent="0.3">
      <c r="G1133" s="7" t="s">
        <v>1110</v>
      </c>
      <c r="H1133" s="8" t="s">
        <v>2034</v>
      </c>
      <c r="I1133" s="8" t="s">
        <v>1978</v>
      </c>
      <c r="J1133" s="9">
        <v>5.4</v>
      </c>
    </row>
    <row r="1134" spans="7:10" x14ac:dyDescent="0.3">
      <c r="G1134" s="10" t="s">
        <v>1111</v>
      </c>
      <c r="H1134" s="11" t="s">
        <v>2034</v>
      </c>
      <c r="I1134" s="11" t="s">
        <v>2002</v>
      </c>
      <c r="J1134" s="12">
        <v>11.94</v>
      </c>
    </row>
    <row r="1135" spans="7:10" x14ac:dyDescent="0.3">
      <c r="G1135" s="7" t="s">
        <v>1112</v>
      </c>
      <c r="H1135" s="8" t="s">
        <v>2034</v>
      </c>
      <c r="I1135" s="8" t="s">
        <v>1997</v>
      </c>
      <c r="J1135" s="9">
        <v>12.64</v>
      </c>
    </row>
    <row r="1136" spans="7:10" x14ac:dyDescent="0.3">
      <c r="G1136" s="10" t="s">
        <v>1113</v>
      </c>
      <c r="H1136" s="11" t="s">
        <v>2034</v>
      </c>
      <c r="I1136" s="11" t="s">
        <v>1987</v>
      </c>
      <c r="J1136" s="12">
        <v>5.53</v>
      </c>
    </row>
    <row r="1137" spans="7:10" x14ac:dyDescent="0.3">
      <c r="G1137" s="7" t="s">
        <v>1114</v>
      </c>
      <c r="H1137" s="8" t="s">
        <v>2034</v>
      </c>
      <c r="I1137" s="8" t="s">
        <v>1979</v>
      </c>
      <c r="J1137" s="9">
        <v>1.39</v>
      </c>
    </row>
    <row r="1138" spans="7:10" x14ac:dyDescent="0.3">
      <c r="G1138" s="10" t="s">
        <v>1115</v>
      </c>
      <c r="H1138" s="11" t="s">
        <v>2037</v>
      </c>
      <c r="I1138" s="11" t="s">
        <v>1987</v>
      </c>
      <c r="J1138" s="12">
        <v>7.21</v>
      </c>
    </row>
    <row r="1139" spans="7:10" x14ac:dyDescent="0.3">
      <c r="G1139" s="7" t="s">
        <v>1116</v>
      </c>
      <c r="H1139" s="8" t="s">
        <v>2038</v>
      </c>
      <c r="I1139" s="8" t="s">
        <v>1987</v>
      </c>
      <c r="J1139" s="9">
        <v>7.24</v>
      </c>
    </row>
    <row r="1140" spans="7:10" x14ac:dyDescent="0.3">
      <c r="G1140" s="10" t="s">
        <v>1117</v>
      </c>
      <c r="H1140" s="11" t="s">
        <v>2079</v>
      </c>
      <c r="I1140" s="11" t="s">
        <v>1979</v>
      </c>
      <c r="J1140" s="12">
        <v>1.43</v>
      </c>
    </row>
    <row r="1141" spans="7:10" x14ac:dyDescent="0.3">
      <c r="G1141" s="7" t="s">
        <v>1118</v>
      </c>
      <c r="H1141" s="8" t="s">
        <v>2051</v>
      </c>
      <c r="I1141" s="8" t="s">
        <v>2005</v>
      </c>
      <c r="J1141" s="9">
        <v>4.5599999999999996</v>
      </c>
    </row>
    <row r="1142" spans="7:10" x14ac:dyDescent="0.3">
      <c r="G1142" s="10" t="s">
        <v>1119</v>
      </c>
      <c r="H1142" s="11" t="s">
        <v>2034</v>
      </c>
      <c r="I1142" s="11" t="s">
        <v>1986</v>
      </c>
      <c r="J1142" s="12">
        <v>5.73</v>
      </c>
    </row>
    <row r="1143" spans="7:10" x14ac:dyDescent="0.3">
      <c r="G1143" s="7" t="s">
        <v>1120</v>
      </c>
      <c r="H1143" s="8" t="s">
        <v>2034</v>
      </c>
      <c r="I1143" s="8" t="s">
        <v>2017</v>
      </c>
      <c r="J1143" s="9">
        <v>5.18</v>
      </c>
    </row>
    <row r="1144" spans="7:10" x14ac:dyDescent="0.3">
      <c r="G1144" s="10" t="s">
        <v>1121</v>
      </c>
      <c r="H1144" s="11" t="s">
        <v>2034</v>
      </c>
      <c r="I1144" s="11" t="s">
        <v>1988</v>
      </c>
      <c r="J1144" s="12">
        <v>4.53</v>
      </c>
    </row>
    <row r="1145" spans="7:10" x14ac:dyDescent="0.3">
      <c r="G1145" s="7" t="s">
        <v>1122</v>
      </c>
      <c r="H1145" s="8" t="s">
        <v>2043</v>
      </c>
      <c r="I1145" s="8" t="s">
        <v>2030</v>
      </c>
      <c r="J1145" s="9">
        <v>6.93</v>
      </c>
    </row>
    <row r="1146" spans="7:10" x14ac:dyDescent="0.3">
      <c r="G1146" s="10" t="s">
        <v>1123</v>
      </c>
      <c r="H1146" s="11" t="s">
        <v>2061</v>
      </c>
      <c r="I1146" s="11" t="s">
        <v>2015</v>
      </c>
      <c r="J1146" s="12">
        <v>3.66</v>
      </c>
    </row>
    <row r="1147" spans="7:10" x14ac:dyDescent="0.3">
      <c r="G1147" s="7" t="s">
        <v>1124</v>
      </c>
      <c r="H1147" s="8" t="s">
        <v>2038</v>
      </c>
      <c r="I1147" s="8" t="s">
        <v>1993</v>
      </c>
      <c r="J1147" s="9">
        <v>8</v>
      </c>
    </row>
    <row r="1148" spans="7:10" x14ac:dyDescent="0.3">
      <c r="G1148" s="10" t="s">
        <v>1125</v>
      </c>
      <c r="H1148" s="11" t="s">
        <v>2047</v>
      </c>
      <c r="I1148" s="11" t="s">
        <v>2023</v>
      </c>
      <c r="J1148" s="12">
        <v>6.68</v>
      </c>
    </row>
    <row r="1149" spans="7:10" x14ac:dyDescent="0.3">
      <c r="G1149" s="7" t="s">
        <v>1126</v>
      </c>
      <c r="H1149" s="8" t="s">
        <v>2063</v>
      </c>
      <c r="I1149" s="8" t="s">
        <v>2015</v>
      </c>
      <c r="J1149" s="9">
        <v>1.89</v>
      </c>
    </row>
    <row r="1150" spans="7:10" x14ac:dyDescent="0.3">
      <c r="G1150" s="10" t="s">
        <v>1127</v>
      </c>
      <c r="H1150" s="11" t="s">
        <v>2038</v>
      </c>
      <c r="I1150" s="11" t="s">
        <v>1979</v>
      </c>
      <c r="J1150" s="12">
        <v>1.56</v>
      </c>
    </row>
    <row r="1151" spans="7:10" x14ac:dyDescent="0.3">
      <c r="G1151" s="7" t="s">
        <v>1128</v>
      </c>
      <c r="H1151" s="8" t="s">
        <v>2066</v>
      </c>
      <c r="I1151" s="8" t="s">
        <v>2030</v>
      </c>
      <c r="J1151" s="9">
        <v>6.76</v>
      </c>
    </row>
    <row r="1152" spans="7:10" x14ac:dyDescent="0.3">
      <c r="G1152" s="10" t="s">
        <v>1129</v>
      </c>
      <c r="H1152" s="11" t="s">
        <v>2034</v>
      </c>
      <c r="I1152" s="11" t="s">
        <v>2025</v>
      </c>
      <c r="J1152" s="12">
        <v>4.9800000000000004</v>
      </c>
    </row>
    <row r="1153" spans="7:10" x14ac:dyDescent="0.3">
      <c r="G1153" s="7" t="s">
        <v>1130</v>
      </c>
      <c r="H1153" s="8" t="s">
        <v>2039</v>
      </c>
      <c r="I1153" s="8" t="s">
        <v>2022</v>
      </c>
      <c r="J1153" s="9">
        <v>6.35</v>
      </c>
    </row>
    <row r="1154" spans="7:10" x14ac:dyDescent="0.3">
      <c r="G1154" s="10" t="s">
        <v>1131</v>
      </c>
      <c r="H1154" s="11" t="s">
        <v>2035</v>
      </c>
      <c r="I1154" s="11" t="s">
        <v>2003</v>
      </c>
      <c r="J1154" s="12">
        <v>15.91</v>
      </c>
    </row>
    <row r="1155" spans="7:10" x14ac:dyDescent="0.3">
      <c r="G1155" s="7" t="s">
        <v>1132</v>
      </c>
      <c r="H1155" s="8" t="s">
        <v>2035</v>
      </c>
      <c r="I1155" s="8" t="s">
        <v>1993</v>
      </c>
      <c r="J1155" s="9">
        <v>4.5</v>
      </c>
    </row>
    <row r="1156" spans="7:10" x14ac:dyDescent="0.3">
      <c r="G1156" s="10" t="s">
        <v>1133</v>
      </c>
      <c r="H1156" s="11" t="s">
        <v>2034</v>
      </c>
      <c r="I1156" s="11" t="s">
        <v>2001</v>
      </c>
      <c r="J1156" s="12">
        <v>5.51</v>
      </c>
    </row>
    <row r="1157" spans="7:10" x14ac:dyDescent="0.3">
      <c r="G1157" s="7" t="s">
        <v>1134</v>
      </c>
      <c r="H1157" s="8" t="s">
        <v>2067</v>
      </c>
      <c r="I1157" s="8" t="s">
        <v>1979</v>
      </c>
      <c r="J1157" s="9">
        <v>1.19</v>
      </c>
    </row>
    <row r="1158" spans="7:10" x14ac:dyDescent="0.3">
      <c r="G1158" s="10" t="s">
        <v>1135</v>
      </c>
      <c r="H1158" s="11" t="s">
        <v>1975</v>
      </c>
      <c r="I1158" s="11" t="s">
        <v>2031</v>
      </c>
      <c r="J1158" s="12">
        <v>3.09</v>
      </c>
    </row>
    <row r="1159" spans="7:10" x14ac:dyDescent="0.3">
      <c r="G1159" s="7" t="s">
        <v>1136</v>
      </c>
      <c r="H1159" s="8" t="s">
        <v>2063</v>
      </c>
      <c r="I1159" s="8" t="s">
        <v>2030</v>
      </c>
      <c r="J1159" s="9">
        <v>6.4</v>
      </c>
    </row>
    <row r="1160" spans="7:10" x14ac:dyDescent="0.3">
      <c r="G1160" s="10" t="s">
        <v>1137</v>
      </c>
      <c r="H1160" s="11" t="s">
        <v>2038</v>
      </c>
      <c r="I1160" s="11" t="s">
        <v>1987</v>
      </c>
      <c r="J1160" s="12">
        <v>2.61</v>
      </c>
    </row>
    <row r="1161" spans="7:10" x14ac:dyDescent="0.3">
      <c r="G1161" s="7" t="s">
        <v>1138</v>
      </c>
      <c r="H1161" s="8" t="s">
        <v>2034</v>
      </c>
      <c r="I1161" s="8" t="s">
        <v>1978</v>
      </c>
      <c r="J1161" s="9">
        <v>3.56</v>
      </c>
    </row>
    <row r="1162" spans="7:10" x14ac:dyDescent="0.3">
      <c r="G1162" s="10" t="s">
        <v>1139</v>
      </c>
      <c r="H1162" s="11" t="s">
        <v>2035</v>
      </c>
      <c r="I1162" s="11" t="s">
        <v>1998</v>
      </c>
      <c r="J1162" s="12">
        <v>1.1499999999999999</v>
      </c>
    </row>
    <row r="1163" spans="7:10" x14ac:dyDescent="0.3">
      <c r="G1163" s="7" t="s">
        <v>1140</v>
      </c>
      <c r="H1163" s="8" t="s">
        <v>2034</v>
      </c>
      <c r="I1163" s="8" t="s">
        <v>2023</v>
      </c>
      <c r="J1163" s="9">
        <v>16.84</v>
      </c>
    </row>
    <row r="1164" spans="7:10" x14ac:dyDescent="0.3">
      <c r="G1164" s="10" t="s">
        <v>1141</v>
      </c>
      <c r="H1164" s="11" t="s">
        <v>2034</v>
      </c>
      <c r="I1164" s="11" t="s">
        <v>2003</v>
      </c>
      <c r="J1164" s="12">
        <v>5.5</v>
      </c>
    </row>
    <row r="1165" spans="7:10" x14ac:dyDescent="0.3">
      <c r="G1165" s="7" t="s">
        <v>1142</v>
      </c>
      <c r="H1165" s="8" t="s">
        <v>2038</v>
      </c>
      <c r="I1165" s="8" t="s">
        <v>2030</v>
      </c>
      <c r="J1165" s="9">
        <v>5.95</v>
      </c>
    </row>
    <row r="1166" spans="7:10" x14ac:dyDescent="0.3">
      <c r="G1166" s="10" t="s">
        <v>1143</v>
      </c>
      <c r="H1166" s="11" t="s">
        <v>2079</v>
      </c>
      <c r="I1166" s="11" t="s">
        <v>1997</v>
      </c>
      <c r="J1166" s="12">
        <v>4.79</v>
      </c>
    </row>
    <row r="1167" spans="7:10" x14ac:dyDescent="0.3">
      <c r="G1167" s="7" t="s">
        <v>1144</v>
      </c>
      <c r="H1167" s="8" t="s">
        <v>2061</v>
      </c>
      <c r="I1167" s="8" t="s">
        <v>1986</v>
      </c>
      <c r="J1167" s="9">
        <v>2.23</v>
      </c>
    </row>
    <row r="1168" spans="7:10" x14ac:dyDescent="0.3">
      <c r="G1168" s="10" t="s">
        <v>1145</v>
      </c>
      <c r="H1168" s="11" t="s">
        <v>2034</v>
      </c>
      <c r="I1168" s="11" t="s">
        <v>1998</v>
      </c>
      <c r="J1168" s="12">
        <v>1.06</v>
      </c>
    </row>
    <row r="1169" spans="7:10" x14ac:dyDescent="0.3">
      <c r="G1169" s="7" t="s">
        <v>1146</v>
      </c>
      <c r="H1169" s="8" t="s">
        <v>2038</v>
      </c>
      <c r="I1169" s="8" t="s">
        <v>1993</v>
      </c>
      <c r="J1169" s="9">
        <v>8.14</v>
      </c>
    </row>
    <row r="1170" spans="7:10" x14ac:dyDescent="0.3">
      <c r="G1170" s="10" t="s">
        <v>1147</v>
      </c>
      <c r="H1170" s="11" t="s">
        <v>2041</v>
      </c>
      <c r="I1170" s="11" t="s">
        <v>1993</v>
      </c>
      <c r="J1170" s="12">
        <v>16.21</v>
      </c>
    </row>
    <row r="1171" spans="7:10" x14ac:dyDescent="0.3">
      <c r="G1171" s="7" t="s">
        <v>1148</v>
      </c>
      <c r="H1171" s="8" t="s">
        <v>2035</v>
      </c>
      <c r="I1171" s="8" t="s">
        <v>1993</v>
      </c>
      <c r="J1171" s="9">
        <v>5.16</v>
      </c>
    </row>
    <row r="1172" spans="7:10" x14ac:dyDescent="0.3">
      <c r="G1172" s="10" t="s">
        <v>1149</v>
      </c>
      <c r="H1172" s="11" t="s">
        <v>2034</v>
      </c>
      <c r="I1172" s="11" t="s">
        <v>1997</v>
      </c>
      <c r="J1172" s="12">
        <v>6.2</v>
      </c>
    </row>
    <row r="1173" spans="7:10" x14ac:dyDescent="0.3">
      <c r="G1173" s="7" t="s">
        <v>1150</v>
      </c>
      <c r="H1173" s="8" t="s">
        <v>2047</v>
      </c>
      <c r="I1173" s="8" t="s">
        <v>2030</v>
      </c>
      <c r="J1173" s="9">
        <v>8.23</v>
      </c>
    </row>
    <row r="1174" spans="7:10" x14ac:dyDescent="0.3">
      <c r="G1174" s="10" t="s">
        <v>1151</v>
      </c>
      <c r="H1174" s="11" t="s">
        <v>1975</v>
      </c>
      <c r="I1174" s="11" t="s">
        <v>2017</v>
      </c>
      <c r="J1174" s="12">
        <v>2.5299999999999998</v>
      </c>
    </row>
    <row r="1175" spans="7:10" x14ac:dyDescent="0.3">
      <c r="G1175" s="7" t="s">
        <v>1152</v>
      </c>
      <c r="H1175" s="8" t="s">
        <v>2061</v>
      </c>
      <c r="I1175" s="8" t="s">
        <v>2001</v>
      </c>
      <c r="J1175" s="9">
        <v>1.84</v>
      </c>
    </row>
    <row r="1176" spans="7:10" x14ac:dyDescent="0.3">
      <c r="G1176" s="10" t="s">
        <v>1153</v>
      </c>
      <c r="H1176" s="11" t="s">
        <v>2034</v>
      </c>
      <c r="I1176" s="11" t="s">
        <v>2001</v>
      </c>
      <c r="J1176" s="12">
        <v>11.84</v>
      </c>
    </row>
    <row r="1177" spans="7:10" x14ac:dyDescent="0.3">
      <c r="G1177" s="7" t="s">
        <v>1154</v>
      </c>
      <c r="H1177" s="8" t="s">
        <v>2034</v>
      </c>
      <c r="I1177" s="8" t="s">
        <v>2005</v>
      </c>
      <c r="J1177" s="9">
        <v>1.53</v>
      </c>
    </row>
    <row r="1178" spans="7:10" x14ac:dyDescent="0.3">
      <c r="G1178" s="10" t="s">
        <v>1155</v>
      </c>
      <c r="H1178" s="11" t="s">
        <v>2046</v>
      </c>
      <c r="I1178" s="11" t="s">
        <v>2015</v>
      </c>
      <c r="J1178" s="12">
        <v>3.64</v>
      </c>
    </row>
    <row r="1179" spans="7:10" x14ac:dyDescent="0.3">
      <c r="G1179" s="7" t="s">
        <v>1156</v>
      </c>
      <c r="H1179" s="8" t="s">
        <v>2038</v>
      </c>
      <c r="I1179" s="8" t="s">
        <v>2002</v>
      </c>
      <c r="J1179" s="9">
        <v>15.54</v>
      </c>
    </row>
    <row r="1180" spans="7:10" x14ac:dyDescent="0.3">
      <c r="G1180" s="10" t="s">
        <v>1157</v>
      </c>
      <c r="H1180" s="11" t="s">
        <v>2034</v>
      </c>
      <c r="I1180" s="11" t="s">
        <v>2005</v>
      </c>
      <c r="J1180" s="12">
        <v>4.04</v>
      </c>
    </row>
    <row r="1181" spans="7:10" x14ac:dyDescent="0.3">
      <c r="G1181" s="7" t="s">
        <v>1158</v>
      </c>
      <c r="H1181" s="8" t="s">
        <v>2061</v>
      </c>
      <c r="I1181" s="8" t="s">
        <v>1986</v>
      </c>
      <c r="J1181" s="9">
        <v>1.63</v>
      </c>
    </row>
    <row r="1182" spans="7:10" x14ac:dyDescent="0.3">
      <c r="G1182" s="10" t="s">
        <v>1159</v>
      </c>
      <c r="H1182" s="11" t="s">
        <v>2034</v>
      </c>
      <c r="I1182" s="11" t="s">
        <v>2031</v>
      </c>
      <c r="J1182" s="12">
        <v>3.7</v>
      </c>
    </row>
    <row r="1183" spans="7:10" x14ac:dyDescent="0.3">
      <c r="G1183" s="7" t="s">
        <v>1160</v>
      </c>
      <c r="H1183" s="8" t="s">
        <v>2038</v>
      </c>
      <c r="I1183" s="8" t="s">
        <v>2023</v>
      </c>
      <c r="J1183" s="9">
        <v>5.19</v>
      </c>
    </row>
    <row r="1184" spans="7:10" x14ac:dyDescent="0.3">
      <c r="G1184" s="10" t="s">
        <v>1161</v>
      </c>
      <c r="H1184" s="11" t="s">
        <v>2054</v>
      </c>
      <c r="I1184" s="11" t="s">
        <v>2001</v>
      </c>
      <c r="J1184" s="12">
        <v>6.56</v>
      </c>
    </row>
    <row r="1185" spans="7:10" x14ac:dyDescent="0.3">
      <c r="G1185" s="7" t="s">
        <v>1162</v>
      </c>
      <c r="H1185" s="8" t="s">
        <v>2034</v>
      </c>
      <c r="I1185" s="8" t="s">
        <v>1986</v>
      </c>
      <c r="J1185" s="9">
        <v>5.22</v>
      </c>
    </row>
    <row r="1186" spans="7:10" x14ac:dyDescent="0.3">
      <c r="G1186" s="10" t="s">
        <v>1163</v>
      </c>
      <c r="H1186" s="11" t="s">
        <v>2034</v>
      </c>
      <c r="I1186" s="11" t="s">
        <v>2030</v>
      </c>
      <c r="J1186" s="12">
        <v>12.12</v>
      </c>
    </row>
    <row r="1187" spans="7:10" x14ac:dyDescent="0.3">
      <c r="G1187" s="7" t="s">
        <v>1164</v>
      </c>
      <c r="H1187" s="8" t="s">
        <v>2070</v>
      </c>
      <c r="I1187" s="8" t="s">
        <v>1979</v>
      </c>
      <c r="J1187" s="9">
        <v>1.4</v>
      </c>
    </row>
    <row r="1188" spans="7:10" x14ac:dyDescent="0.3">
      <c r="G1188" s="10" t="s">
        <v>1165</v>
      </c>
      <c r="H1188" s="11" t="s">
        <v>2037</v>
      </c>
      <c r="I1188" s="11" t="s">
        <v>2030</v>
      </c>
      <c r="J1188" s="12">
        <v>8</v>
      </c>
    </row>
    <row r="1189" spans="7:10" x14ac:dyDescent="0.3">
      <c r="G1189" s="7" t="s">
        <v>1166</v>
      </c>
      <c r="H1189" s="8" t="s">
        <v>2034</v>
      </c>
      <c r="I1189" s="8" t="s">
        <v>2025</v>
      </c>
      <c r="J1189" s="9">
        <v>2.4300000000000002</v>
      </c>
    </row>
    <row r="1190" spans="7:10" x14ac:dyDescent="0.3">
      <c r="G1190" s="10" t="s">
        <v>1167</v>
      </c>
      <c r="H1190" s="11" t="s">
        <v>2034</v>
      </c>
      <c r="I1190" s="11" t="s">
        <v>1988</v>
      </c>
      <c r="J1190" s="12">
        <v>6.07</v>
      </c>
    </row>
    <row r="1191" spans="7:10" x14ac:dyDescent="0.3">
      <c r="G1191" s="7" t="s">
        <v>1168</v>
      </c>
      <c r="H1191" s="8" t="s">
        <v>2070</v>
      </c>
      <c r="I1191" s="8" t="s">
        <v>2001</v>
      </c>
      <c r="J1191" s="9">
        <v>5.76</v>
      </c>
    </row>
    <row r="1192" spans="7:10" x14ac:dyDescent="0.3">
      <c r="G1192" s="10" t="s">
        <v>1169</v>
      </c>
      <c r="H1192" s="11" t="s">
        <v>2034</v>
      </c>
      <c r="I1192" s="11" t="s">
        <v>2017</v>
      </c>
      <c r="J1192" s="12">
        <v>6.35</v>
      </c>
    </row>
    <row r="1193" spans="7:10" x14ac:dyDescent="0.3">
      <c r="G1193" s="7" t="s">
        <v>1170</v>
      </c>
      <c r="H1193" s="8" t="s">
        <v>2061</v>
      </c>
      <c r="I1193" s="8" t="s">
        <v>2022</v>
      </c>
      <c r="J1193" s="9">
        <v>14.29</v>
      </c>
    </row>
    <row r="1194" spans="7:10" x14ac:dyDescent="0.3">
      <c r="G1194" s="10" t="s">
        <v>1171</v>
      </c>
      <c r="H1194" s="11" t="s">
        <v>2034</v>
      </c>
      <c r="I1194" s="11" t="s">
        <v>2022</v>
      </c>
      <c r="J1194" s="12">
        <v>2.37</v>
      </c>
    </row>
    <row r="1195" spans="7:10" x14ac:dyDescent="0.3">
      <c r="G1195" s="7" t="s">
        <v>1172</v>
      </c>
      <c r="H1195" s="8" t="s">
        <v>2038</v>
      </c>
      <c r="I1195" s="8" t="s">
        <v>1979</v>
      </c>
      <c r="J1195" s="9">
        <v>0.94</v>
      </c>
    </row>
    <row r="1196" spans="7:10" x14ac:dyDescent="0.3">
      <c r="G1196" s="10" t="s">
        <v>1173</v>
      </c>
      <c r="H1196" s="11" t="s">
        <v>2038</v>
      </c>
      <c r="I1196" s="11" t="s">
        <v>1979</v>
      </c>
      <c r="J1196" s="12">
        <v>1.79</v>
      </c>
    </row>
    <row r="1197" spans="7:10" x14ac:dyDescent="0.3">
      <c r="G1197" s="7" t="s">
        <v>1174</v>
      </c>
      <c r="H1197" s="8" t="s">
        <v>2034</v>
      </c>
      <c r="I1197" s="8" t="s">
        <v>2004</v>
      </c>
      <c r="J1197" s="9">
        <v>6.48</v>
      </c>
    </row>
    <row r="1198" spans="7:10" x14ac:dyDescent="0.3">
      <c r="G1198" s="10" t="s">
        <v>1175</v>
      </c>
      <c r="H1198" s="11" t="s">
        <v>2043</v>
      </c>
      <c r="I1198" s="11" t="s">
        <v>2001</v>
      </c>
      <c r="J1198" s="12">
        <v>2.93</v>
      </c>
    </row>
    <row r="1199" spans="7:10" x14ac:dyDescent="0.3">
      <c r="G1199" s="7" t="s">
        <v>1176</v>
      </c>
      <c r="H1199" s="8" t="s">
        <v>2035</v>
      </c>
      <c r="I1199" s="8" t="s">
        <v>2001</v>
      </c>
      <c r="J1199" s="9">
        <v>5.67</v>
      </c>
    </row>
    <row r="1200" spans="7:10" x14ac:dyDescent="0.3">
      <c r="G1200" s="10" t="s">
        <v>1177</v>
      </c>
      <c r="H1200" s="11" t="s">
        <v>2035</v>
      </c>
      <c r="I1200" s="11" t="s">
        <v>2005</v>
      </c>
      <c r="J1200" s="12">
        <v>2.27</v>
      </c>
    </row>
    <row r="1201" spans="7:10" x14ac:dyDescent="0.3">
      <c r="G1201" s="7" t="s">
        <v>1178</v>
      </c>
      <c r="H1201" s="8" t="s">
        <v>2038</v>
      </c>
      <c r="I1201" s="8" t="s">
        <v>2023</v>
      </c>
      <c r="J1201" s="9">
        <v>9.82</v>
      </c>
    </row>
    <row r="1202" spans="7:10" x14ac:dyDescent="0.3">
      <c r="G1202" s="10" t="s">
        <v>1179</v>
      </c>
      <c r="H1202" s="11" t="s">
        <v>2042</v>
      </c>
      <c r="I1202" s="11" t="s">
        <v>1993</v>
      </c>
      <c r="J1202" s="12">
        <v>6.35</v>
      </c>
    </row>
    <row r="1203" spans="7:10" x14ac:dyDescent="0.3">
      <c r="G1203" s="7" t="s">
        <v>1180</v>
      </c>
      <c r="H1203" s="8" t="s">
        <v>2034</v>
      </c>
      <c r="I1203" s="8" t="s">
        <v>1979</v>
      </c>
      <c r="J1203" s="9">
        <v>1.06</v>
      </c>
    </row>
    <row r="1204" spans="7:10" x14ac:dyDescent="0.3">
      <c r="G1204" s="10" t="s">
        <v>1181</v>
      </c>
      <c r="H1204" s="11" t="s">
        <v>2035</v>
      </c>
      <c r="I1204" s="11" t="s">
        <v>1986</v>
      </c>
      <c r="J1204" s="12">
        <v>3.95</v>
      </c>
    </row>
    <row r="1205" spans="7:10" x14ac:dyDescent="0.3">
      <c r="G1205" s="7" t="s">
        <v>1182</v>
      </c>
      <c r="H1205" s="8" t="s">
        <v>2035</v>
      </c>
      <c r="I1205" s="8" t="s">
        <v>1998</v>
      </c>
      <c r="J1205" s="9">
        <v>4.79</v>
      </c>
    </row>
    <row r="1206" spans="7:10" x14ac:dyDescent="0.3">
      <c r="G1206" s="10" t="s">
        <v>1183</v>
      </c>
      <c r="H1206" s="11" t="s">
        <v>1975</v>
      </c>
      <c r="I1206" s="11" t="s">
        <v>2015</v>
      </c>
      <c r="J1206" s="12">
        <v>8.4499999999999993</v>
      </c>
    </row>
    <row r="1207" spans="7:10" x14ac:dyDescent="0.3">
      <c r="G1207" s="7" t="s">
        <v>1184</v>
      </c>
      <c r="H1207" s="8" t="s">
        <v>2034</v>
      </c>
      <c r="I1207" s="8" t="s">
        <v>1986</v>
      </c>
      <c r="J1207" s="9">
        <v>1.56</v>
      </c>
    </row>
    <row r="1208" spans="7:10" x14ac:dyDescent="0.3">
      <c r="G1208" s="10" t="s">
        <v>1185</v>
      </c>
      <c r="H1208" s="11" t="s">
        <v>2037</v>
      </c>
      <c r="I1208" s="11" t="s">
        <v>1998</v>
      </c>
      <c r="J1208" s="12">
        <v>1.42</v>
      </c>
    </row>
    <row r="1209" spans="7:10" x14ac:dyDescent="0.3">
      <c r="G1209" s="7" t="s">
        <v>1186</v>
      </c>
      <c r="H1209" s="8" t="s">
        <v>2034</v>
      </c>
      <c r="I1209" s="8" t="s">
        <v>1998</v>
      </c>
      <c r="J1209" s="9">
        <v>2.44</v>
      </c>
    </row>
    <row r="1210" spans="7:10" x14ac:dyDescent="0.3">
      <c r="G1210" s="10" t="s">
        <v>1187</v>
      </c>
      <c r="H1210" s="11" t="s">
        <v>2061</v>
      </c>
      <c r="I1210" s="11" t="s">
        <v>1998</v>
      </c>
      <c r="J1210" s="12">
        <v>0.85</v>
      </c>
    </row>
    <row r="1211" spans="7:10" x14ac:dyDescent="0.3">
      <c r="G1211" s="7" t="s">
        <v>1188</v>
      </c>
      <c r="H1211" s="8" t="s">
        <v>2038</v>
      </c>
      <c r="I1211" s="8" t="s">
        <v>1988</v>
      </c>
      <c r="J1211" s="9">
        <v>6.88</v>
      </c>
    </row>
    <row r="1212" spans="7:10" x14ac:dyDescent="0.3">
      <c r="G1212" s="10" t="s">
        <v>1189</v>
      </c>
      <c r="H1212" s="11" t="s">
        <v>2047</v>
      </c>
      <c r="I1212" s="11" t="s">
        <v>2005</v>
      </c>
      <c r="J1212" s="12">
        <v>6.1</v>
      </c>
    </row>
    <row r="1213" spans="7:10" x14ac:dyDescent="0.3">
      <c r="G1213" s="7" t="s">
        <v>1190</v>
      </c>
      <c r="H1213" s="8" t="s">
        <v>2038</v>
      </c>
      <c r="I1213" s="8" t="s">
        <v>1986</v>
      </c>
      <c r="J1213" s="9">
        <v>1.1000000000000001</v>
      </c>
    </row>
    <row r="1214" spans="7:10" x14ac:dyDescent="0.3">
      <c r="G1214" s="10" t="s">
        <v>1191</v>
      </c>
      <c r="H1214" s="11" t="s">
        <v>2039</v>
      </c>
      <c r="I1214" s="11" t="s">
        <v>1997</v>
      </c>
      <c r="J1214" s="12">
        <v>11.74</v>
      </c>
    </row>
    <row r="1215" spans="7:10" x14ac:dyDescent="0.3">
      <c r="G1215" s="7" t="s">
        <v>1192</v>
      </c>
      <c r="H1215" s="8" t="s">
        <v>2067</v>
      </c>
      <c r="I1215" s="8" t="s">
        <v>1979</v>
      </c>
      <c r="J1215" s="9">
        <v>1.24</v>
      </c>
    </row>
    <row r="1216" spans="7:10" x14ac:dyDescent="0.3">
      <c r="G1216" s="10" t="s">
        <v>1193</v>
      </c>
      <c r="H1216" s="11" t="s">
        <v>2034</v>
      </c>
      <c r="I1216" s="11" t="s">
        <v>2015</v>
      </c>
      <c r="J1216" s="12">
        <v>6.17</v>
      </c>
    </row>
    <row r="1217" spans="7:10" x14ac:dyDescent="0.3">
      <c r="G1217" s="7" t="s">
        <v>1194</v>
      </c>
      <c r="H1217" s="8" t="s">
        <v>2038</v>
      </c>
      <c r="I1217" s="8" t="s">
        <v>2030</v>
      </c>
      <c r="J1217" s="9">
        <v>5.86</v>
      </c>
    </row>
    <row r="1218" spans="7:10" x14ac:dyDescent="0.3">
      <c r="G1218" s="10" t="s">
        <v>1195</v>
      </c>
      <c r="H1218" s="11" t="s">
        <v>2034</v>
      </c>
      <c r="I1218" s="11" t="s">
        <v>2002</v>
      </c>
      <c r="J1218" s="12">
        <v>9.7200000000000006</v>
      </c>
    </row>
    <row r="1219" spans="7:10" x14ac:dyDescent="0.3">
      <c r="G1219" s="7" t="s">
        <v>1196</v>
      </c>
      <c r="H1219" s="8" t="s">
        <v>2036</v>
      </c>
      <c r="I1219" s="8" t="s">
        <v>2026</v>
      </c>
      <c r="J1219" s="9">
        <v>2.99</v>
      </c>
    </row>
    <row r="1220" spans="7:10" x14ac:dyDescent="0.3">
      <c r="G1220" s="10" t="s">
        <v>1197</v>
      </c>
      <c r="H1220" s="11" t="s">
        <v>2034</v>
      </c>
      <c r="I1220" s="11" t="s">
        <v>1997</v>
      </c>
      <c r="J1220" s="12">
        <v>5.92</v>
      </c>
    </row>
    <row r="1221" spans="7:10" x14ac:dyDescent="0.3">
      <c r="G1221" s="7" t="s">
        <v>1198</v>
      </c>
      <c r="H1221" s="8" t="s">
        <v>2067</v>
      </c>
      <c r="I1221" s="8" t="s">
        <v>1979</v>
      </c>
      <c r="J1221" s="9">
        <v>1.39</v>
      </c>
    </row>
    <row r="1222" spans="7:10" x14ac:dyDescent="0.3">
      <c r="G1222" s="10" t="s">
        <v>1199</v>
      </c>
      <c r="H1222" s="11" t="s">
        <v>2038</v>
      </c>
      <c r="I1222" s="11" t="s">
        <v>1979</v>
      </c>
      <c r="J1222" s="12">
        <v>1.54</v>
      </c>
    </row>
    <row r="1223" spans="7:10" x14ac:dyDescent="0.3">
      <c r="G1223" s="7" t="s">
        <v>1200</v>
      </c>
      <c r="H1223" s="8" t="s">
        <v>2061</v>
      </c>
      <c r="I1223" s="8" t="s">
        <v>1987</v>
      </c>
      <c r="J1223" s="9">
        <v>4.41</v>
      </c>
    </row>
    <row r="1224" spans="7:10" x14ac:dyDescent="0.3">
      <c r="G1224" s="10" t="s">
        <v>1201</v>
      </c>
      <c r="H1224" s="11" t="s">
        <v>2053</v>
      </c>
      <c r="I1224" s="11" t="s">
        <v>1979</v>
      </c>
      <c r="J1224" s="12">
        <v>1.18</v>
      </c>
    </row>
    <row r="1225" spans="7:10" x14ac:dyDescent="0.3">
      <c r="G1225" s="7" t="s">
        <v>1202</v>
      </c>
      <c r="H1225" s="8" t="s">
        <v>2053</v>
      </c>
      <c r="I1225" s="8" t="s">
        <v>2015</v>
      </c>
      <c r="J1225" s="9">
        <v>4.32</v>
      </c>
    </row>
    <row r="1226" spans="7:10" x14ac:dyDescent="0.3">
      <c r="G1226" s="10" t="s">
        <v>1203</v>
      </c>
      <c r="H1226" s="11" t="s">
        <v>2034</v>
      </c>
      <c r="I1226" s="11" t="s">
        <v>2004</v>
      </c>
      <c r="J1226" s="12">
        <v>1.93</v>
      </c>
    </row>
    <row r="1227" spans="7:10" x14ac:dyDescent="0.3">
      <c r="G1227" s="7" t="s">
        <v>1204</v>
      </c>
      <c r="H1227" s="8" t="s">
        <v>2042</v>
      </c>
      <c r="I1227" s="8" t="s">
        <v>1993</v>
      </c>
      <c r="J1227" s="9">
        <v>3.76</v>
      </c>
    </row>
    <row r="1228" spans="7:10" x14ac:dyDescent="0.3">
      <c r="G1228" s="10" t="s">
        <v>1205</v>
      </c>
      <c r="H1228" s="11" t="s">
        <v>2035</v>
      </c>
      <c r="I1228" s="11" t="s">
        <v>2003</v>
      </c>
      <c r="J1228" s="12">
        <v>1.62</v>
      </c>
    </row>
    <row r="1229" spans="7:10" x14ac:dyDescent="0.3">
      <c r="G1229" s="7" t="s">
        <v>1206</v>
      </c>
      <c r="H1229" s="8" t="s">
        <v>2061</v>
      </c>
      <c r="I1229" s="8" t="s">
        <v>1986</v>
      </c>
      <c r="J1229" s="9">
        <v>1.87</v>
      </c>
    </row>
    <row r="1230" spans="7:10" x14ac:dyDescent="0.3">
      <c r="G1230" s="10" t="s">
        <v>1207</v>
      </c>
      <c r="H1230" s="11" t="s">
        <v>2039</v>
      </c>
      <c r="I1230" s="11" t="s">
        <v>1998</v>
      </c>
      <c r="J1230" s="12">
        <v>1.18</v>
      </c>
    </row>
    <row r="1231" spans="7:10" x14ac:dyDescent="0.3">
      <c r="G1231" s="7" t="s">
        <v>1208</v>
      </c>
      <c r="H1231" s="8" t="s">
        <v>1975</v>
      </c>
      <c r="I1231" s="8" t="s">
        <v>1998</v>
      </c>
      <c r="J1231" s="9">
        <v>3</v>
      </c>
    </row>
    <row r="1232" spans="7:10" x14ac:dyDescent="0.3">
      <c r="G1232" s="10" t="s">
        <v>1209</v>
      </c>
      <c r="H1232" s="11" t="s">
        <v>2034</v>
      </c>
      <c r="I1232" s="11" t="s">
        <v>2017</v>
      </c>
      <c r="J1232" s="12">
        <v>1.9</v>
      </c>
    </row>
    <row r="1233" spans="7:10" x14ac:dyDescent="0.3">
      <c r="G1233" s="7" t="s">
        <v>1210</v>
      </c>
      <c r="H1233" s="8" t="s">
        <v>2050</v>
      </c>
      <c r="I1233" s="8" t="s">
        <v>2000</v>
      </c>
      <c r="J1233" s="9">
        <v>5.75</v>
      </c>
    </row>
    <row r="1234" spans="7:10" x14ac:dyDescent="0.3">
      <c r="G1234" s="10" t="s">
        <v>1211</v>
      </c>
      <c r="H1234" s="11" t="s">
        <v>2043</v>
      </c>
      <c r="I1234" s="11" t="s">
        <v>2015</v>
      </c>
      <c r="J1234" s="12">
        <v>5.52</v>
      </c>
    </row>
    <row r="1235" spans="7:10" x14ac:dyDescent="0.3">
      <c r="G1235" s="7" t="s">
        <v>1212</v>
      </c>
      <c r="H1235" s="8" t="s">
        <v>2084</v>
      </c>
      <c r="I1235" s="8" t="s">
        <v>2022</v>
      </c>
      <c r="J1235" s="9">
        <v>1.1200000000000001</v>
      </c>
    </row>
    <row r="1236" spans="7:10" x14ac:dyDescent="0.3">
      <c r="G1236" s="10" t="s">
        <v>1213</v>
      </c>
      <c r="H1236" s="11" t="s">
        <v>2039</v>
      </c>
      <c r="I1236" s="11" t="s">
        <v>1998</v>
      </c>
      <c r="J1236" s="12">
        <v>0.79</v>
      </c>
    </row>
    <row r="1237" spans="7:10" x14ac:dyDescent="0.3">
      <c r="G1237" s="7" t="s">
        <v>1214</v>
      </c>
      <c r="H1237" s="8" t="s">
        <v>2034</v>
      </c>
      <c r="I1237" s="8" t="s">
        <v>2031</v>
      </c>
      <c r="J1237" s="9">
        <v>9.73</v>
      </c>
    </row>
    <row r="1238" spans="7:10" x14ac:dyDescent="0.3">
      <c r="G1238" s="10" t="s">
        <v>1215</v>
      </c>
      <c r="H1238" s="11" t="s">
        <v>2038</v>
      </c>
      <c r="I1238" s="11" t="s">
        <v>2004</v>
      </c>
      <c r="J1238" s="12">
        <v>5.97</v>
      </c>
    </row>
    <row r="1239" spans="7:10" x14ac:dyDescent="0.3">
      <c r="G1239" s="7" t="s">
        <v>1216</v>
      </c>
      <c r="H1239" s="8" t="s">
        <v>2034</v>
      </c>
      <c r="I1239" s="8" t="s">
        <v>1998</v>
      </c>
      <c r="J1239" s="9">
        <v>3.88</v>
      </c>
    </row>
    <row r="1240" spans="7:10" x14ac:dyDescent="0.3">
      <c r="G1240" s="10" t="s">
        <v>1217</v>
      </c>
      <c r="H1240" s="11" t="s">
        <v>2034</v>
      </c>
      <c r="I1240" s="11" t="s">
        <v>2025</v>
      </c>
      <c r="J1240" s="12">
        <v>1.67</v>
      </c>
    </row>
    <row r="1241" spans="7:10" x14ac:dyDescent="0.3">
      <c r="G1241" s="7" t="s">
        <v>1218</v>
      </c>
      <c r="H1241" s="8" t="s">
        <v>2034</v>
      </c>
      <c r="I1241" s="8" t="s">
        <v>2026</v>
      </c>
      <c r="J1241" s="9">
        <v>2.86</v>
      </c>
    </row>
    <row r="1242" spans="7:10" x14ac:dyDescent="0.3">
      <c r="G1242" s="10" t="s">
        <v>1219</v>
      </c>
      <c r="H1242" s="11" t="s">
        <v>2034</v>
      </c>
      <c r="I1242" s="11" t="s">
        <v>2030</v>
      </c>
      <c r="J1242" s="12">
        <v>8.74</v>
      </c>
    </row>
    <row r="1243" spans="7:10" x14ac:dyDescent="0.3">
      <c r="G1243" s="7" t="s">
        <v>1220</v>
      </c>
      <c r="H1243" s="8" t="s">
        <v>2051</v>
      </c>
      <c r="I1243" s="8" t="s">
        <v>2005</v>
      </c>
      <c r="J1243" s="9">
        <v>3.17</v>
      </c>
    </row>
    <row r="1244" spans="7:10" x14ac:dyDescent="0.3">
      <c r="G1244" s="10" t="s">
        <v>1221</v>
      </c>
      <c r="H1244" s="11" t="s">
        <v>2079</v>
      </c>
      <c r="I1244" s="11" t="s">
        <v>1979</v>
      </c>
      <c r="J1244" s="12">
        <v>1.83</v>
      </c>
    </row>
    <row r="1245" spans="7:10" x14ac:dyDescent="0.3">
      <c r="G1245" s="7" t="s">
        <v>1222</v>
      </c>
      <c r="H1245" s="8" t="s">
        <v>2034</v>
      </c>
      <c r="I1245" s="8" t="s">
        <v>2017</v>
      </c>
      <c r="J1245" s="9">
        <v>3.51</v>
      </c>
    </row>
    <row r="1246" spans="7:10" x14ac:dyDescent="0.3">
      <c r="G1246" s="10" t="s">
        <v>1223</v>
      </c>
      <c r="H1246" s="11" t="s">
        <v>2034</v>
      </c>
      <c r="I1246" s="11" t="s">
        <v>2002</v>
      </c>
      <c r="J1246" s="12">
        <v>3.33</v>
      </c>
    </row>
    <row r="1247" spans="7:10" x14ac:dyDescent="0.3">
      <c r="G1247" s="7" t="s">
        <v>1224</v>
      </c>
      <c r="H1247" s="8" t="s">
        <v>2038</v>
      </c>
      <c r="I1247" s="8" t="s">
        <v>2017</v>
      </c>
      <c r="J1247" s="9">
        <v>4.45</v>
      </c>
    </row>
    <row r="1248" spans="7:10" x14ac:dyDescent="0.3">
      <c r="G1248" s="10" t="s">
        <v>1225</v>
      </c>
      <c r="H1248" s="11" t="s">
        <v>2061</v>
      </c>
      <c r="I1248" s="11" t="s">
        <v>1979</v>
      </c>
      <c r="J1248" s="12">
        <v>2.38</v>
      </c>
    </row>
    <row r="1249" spans="7:10" x14ac:dyDescent="0.3">
      <c r="G1249" s="7" t="s">
        <v>1226</v>
      </c>
      <c r="H1249" s="8" t="s">
        <v>2051</v>
      </c>
      <c r="I1249" s="8" t="s">
        <v>2025</v>
      </c>
      <c r="J1249" s="9">
        <v>1.67</v>
      </c>
    </row>
    <row r="1250" spans="7:10" x14ac:dyDescent="0.3">
      <c r="G1250" s="10" t="s">
        <v>1227</v>
      </c>
      <c r="H1250" s="11" t="s">
        <v>2035</v>
      </c>
      <c r="I1250" s="11" t="s">
        <v>1992</v>
      </c>
      <c r="J1250" s="12">
        <v>5.47</v>
      </c>
    </row>
    <row r="1251" spans="7:10" x14ac:dyDescent="0.3">
      <c r="G1251" s="7" t="s">
        <v>1228</v>
      </c>
      <c r="H1251" s="8" t="s">
        <v>2065</v>
      </c>
      <c r="I1251" s="8" t="s">
        <v>1998</v>
      </c>
      <c r="J1251" s="9">
        <v>1.82</v>
      </c>
    </row>
    <row r="1252" spans="7:10" x14ac:dyDescent="0.3">
      <c r="G1252" s="10" t="s">
        <v>1229</v>
      </c>
      <c r="H1252" s="11" t="s">
        <v>2038</v>
      </c>
      <c r="I1252" s="11" t="s">
        <v>2027</v>
      </c>
      <c r="J1252" s="12">
        <v>1.33</v>
      </c>
    </row>
    <row r="1253" spans="7:10" x14ac:dyDescent="0.3">
      <c r="G1253" s="7" t="s">
        <v>1230</v>
      </c>
      <c r="H1253" s="8" t="s">
        <v>2074</v>
      </c>
      <c r="I1253" s="8" t="s">
        <v>1979</v>
      </c>
      <c r="J1253" s="9">
        <v>1.76</v>
      </c>
    </row>
    <row r="1254" spans="7:10" x14ac:dyDescent="0.3">
      <c r="G1254" s="10" t="s">
        <v>1231</v>
      </c>
      <c r="H1254" s="11" t="s">
        <v>2034</v>
      </c>
      <c r="I1254" s="11" t="s">
        <v>2027</v>
      </c>
      <c r="J1254" s="12">
        <v>12.61</v>
      </c>
    </row>
    <row r="1255" spans="7:10" x14ac:dyDescent="0.3">
      <c r="G1255" s="7" t="s">
        <v>1232</v>
      </c>
      <c r="H1255" s="8" t="s">
        <v>2034</v>
      </c>
      <c r="I1255" s="8" t="s">
        <v>1999</v>
      </c>
      <c r="J1255" s="9">
        <v>2.3199999999999998</v>
      </c>
    </row>
    <row r="1256" spans="7:10" x14ac:dyDescent="0.3">
      <c r="G1256" s="10" t="s">
        <v>2024</v>
      </c>
      <c r="H1256" s="11" t="s">
        <v>2038</v>
      </c>
      <c r="I1256" s="11" t="s">
        <v>2023</v>
      </c>
      <c r="J1256" s="12">
        <v>3.47</v>
      </c>
    </row>
    <row r="1257" spans="7:10" x14ac:dyDescent="0.3">
      <c r="G1257" s="7" t="s">
        <v>1233</v>
      </c>
      <c r="H1257" s="8" t="s">
        <v>2034</v>
      </c>
      <c r="I1257" s="8" t="s">
        <v>2005</v>
      </c>
      <c r="J1257" s="9">
        <v>1.3</v>
      </c>
    </row>
    <row r="1258" spans="7:10" x14ac:dyDescent="0.3">
      <c r="G1258" s="10" t="s">
        <v>1234</v>
      </c>
      <c r="H1258" s="11" t="s">
        <v>2036</v>
      </c>
      <c r="I1258" s="11" t="s">
        <v>2017</v>
      </c>
      <c r="J1258" s="12">
        <v>4.42</v>
      </c>
    </row>
    <row r="1259" spans="7:10" x14ac:dyDescent="0.3">
      <c r="G1259" s="7" t="s">
        <v>1235</v>
      </c>
      <c r="H1259" s="8" t="s">
        <v>2034</v>
      </c>
      <c r="I1259" s="8" t="s">
        <v>2030</v>
      </c>
      <c r="J1259" s="9">
        <v>5.69</v>
      </c>
    </row>
    <row r="1260" spans="7:10" x14ac:dyDescent="0.3">
      <c r="G1260" s="10" t="s">
        <v>1236</v>
      </c>
      <c r="H1260" s="11" t="s">
        <v>2034</v>
      </c>
      <c r="I1260" s="11" t="s">
        <v>1987</v>
      </c>
      <c r="J1260" s="12">
        <v>6.12</v>
      </c>
    </row>
    <row r="1261" spans="7:10" x14ac:dyDescent="0.3">
      <c r="G1261" s="7" t="s">
        <v>1237</v>
      </c>
      <c r="H1261" s="8" t="s">
        <v>2043</v>
      </c>
      <c r="I1261" s="8" t="s">
        <v>1987</v>
      </c>
      <c r="J1261" s="9">
        <v>4.78</v>
      </c>
    </row>
    <row r="1262" spans="7:10" x14ac:dyDescent="0.3">
      <c r="G1262" s="10" t="s">
        <v>1238</v>
      </c>
      <c r="H1262" s="11" t="s">
        <v>2064</v>
      </c>
      <c r="I1262" s="11" t="s">
        <v>1987</v>
      </c>
      <c r="J1262" s="12">
        <v>5.7</v>
      </c>
    </row>
    <row r="1263" spans="7:10" x14ac:dyDescent="0.3">
      <c r="G1263" s="7" t="s">
        <v>1239</v>
      </c>
      <c r="H1263" s="8" t="s">
        <v>2034</v>
      </c>
      <c r="I1263" s="8" t="s">
        <v>1999</v>
      </c>
      <c r="J1263" s="9">
        <v>2.42</v>
      </c>
    </row>
    <row r="1264" spans="7:10" x14ac:dyDescent="0.3">
      <c r="G1264" s="10" t="s">
        <v>1240</v>
      </c>
      <c r="H1264" s="11" t="s">
        <v>2034</v>
      </c>
      <c r="I1264" s="11" t="s">
        <v>2000</v>
      </c>
      <c r="J1264" s="12">
        <v>9.69</v>
      </c>
    </row>
    <row r="1265" spans="7:10" x14ac:dyDescent="0.3">
      <c r="G1265" s="7" t="s">
        <v>1241</v>
      </c>
      <c r="H1265" s="8" t="s">
        <v>2053</v>
      </c>
      <c r="I1265" s="8" t="s">
        <v>1987</v>
      </c>
      <c r="J1265" s="9">
        <v>4.99</v>
      </c>
    </row>
    <row r="1266" spans="7:10" x14ac:dyDescent="0.3">
      <c r="G1266" s="10" t="s">
        <v>1242</v>
      </c>
      <c r="H1266" s="11" t="s">
        <v>2052</v>
      </c>
      <c r="I1266" s="11" t="s">
        <v>2031</v>
      </c>
      <c r="J1266" s="12">
        <v>1.05</v>
      </c>
    </row>
    <row r="1267" spans="7:10" x14ac:dyDescent="0.3">
      <c r="G1267" s="7" t="s">
        <v>1243</v>
      </c>
      <c r="H1267" s="8" t="s">
        <v>2034</v>
      </c>
      <c r="I1267" s="8" t="s">
        <v>2003</v>
      </c>
      <c r="J1267" s="9">
        <v>2.35</v>
      </c>
    </row>
    <row r="1268" spans="7:10" x14ac:dyDescent="0.3">
      <c r="G1268" s="10" t="s">
        <v>1244</v>
      </c>
      <c r="H1268" s="11" t="s">
        <v>2039</v>
      </c>
      <c r="I1268" s="11" t="s">
        <v>2027</v>
      </c>
      <c r="J1268" s="12">
        <v>4.84</v>
      </c>
    </row>
    <row r="1269" spans="7:10" x14ac:dyDescent="0.3">
      <c r="G1269" s="7" t="s">
        <v>1245</v>
      </c>
      <c r="H1269" s="8" t="s">
        <v>2034</v>
      </c>
      <c r="I1269" s="8" t="s">
        <v>1998</v>
      </c>
      <c r="J1269" s="9">
        <v>1.51</v>
      </c>
    </row>
    <row r="1270" spans="7:10" x14ac:dyDescent="0.3">
      <c r="G1270" s="10" t="s">
        <v>1246</v>
      </c>
      <c r="H1270" s="11" t="s">
        <v>2052</v>
      </c>
      <c r="I1270" s="11" t="s">
        <v>1992</v>
      </c>
      <c r="J1270" s="12">
        <v>6.06</v>
      </c>
    </row>
    <row r="1271" spans="7:10" x14ac:dyDescent="0.3">
      <c r="G1271" s="7" t="s">
        <v>1247</v>
      </c>
      <c r="H1271" s="8" t="s">
        <v>2040</v>
      </c>
      <c r="I1271" s="8" t="s">
        <v>2030</v>
      </c>
      <c r="J1271" s="9">
        <v>6.24</v>
      </c>
    </row>
    <row r="1272" spans="7:10" x14ac:dyDescent="0.3">
      <c r="G1272" s="10" t="s">
        <v>1248</v>
      </c>
      <c r="H1272" s="11" t="s">
        <v>2034</v>
      </c>
      <c r="I1272" s="11" t="s">
        <v>1997</v>
      </c>
      <c r="J1272" s="12">
        <v>17.100000000000001</v>
      </c>
    </row>
    <row r="1273" spans="7:10" x14ac:dyDescent="0.3">
      <c r="G1273" s="7" t="s">
        <v>1249</v>
      </c>
      <c r="H1273" s="8" t="s">
        <v>2038</v>
      </c>
      <c r="I1273" s="8" t="s">
        <v>1998</v>
      </c>
      <c r="J1273" s="9">
        <v>4.4400000000000004</v>
      </c>
    </row>
    <row r="1274" spans="7:10" x14ac:dyDescent="0.3">
      <c r="G1274" s="10" t="s">
        <v>1250</v>
      </c>
      <c r="H1274" s="11" t="s">
        <v>2061</v>
      </c>
      <c r="I1274" s="11" t="s">
        <v>2031</v>
      </c>
      <c r="J1274" s="12">
        <v>3.18</v>
      </c>
    </row>
    <row r="1275" spans="7:10" x14ac:dyDescent="0.3">
      <c r="G1275" s="7" t="s">
        <v>1251</v>
      </c>
      <c r="H1275" s="8" t="s">
        <v>2034</v>
      </c>
      <c r="I1275" s="8" t="s">
        <v>1998</v>
      </c>
      <c r="J1275" s="9">
        <v>0.52</v>
      </c>
    </row>
    <row r="1276" spans="7:10" x14ac:dyDescent="0.3">
      <c r="G1276" s="10" t="s">
        <v>1252</v>
      </c>
      <c r="H1276" s="11" t="s">
        <v>2034</v>
      </c>
      <c r="I1276" s="11" t="s">
        <v>1986</v>
      </c>
      <c r="J1276" s="12">
        <v>5.47</v>
      </c>
    </row>
    <row r="1277" spans="7:10" x14ac:dyDescent="0.3">
      <c r="G1277" s="7" t="s">
        <v>1253</v>
      </c>
      <c r="H1277" s="8" t="s">
        <v>2035</v>
      </c>
      <c r="I1277" s="8" t="s">
        <v>2031</v>
      </c>
      <c r="J1277" s="9">
        <v>1.44</v>
      </c>
    </row>
    <row r="1278" spans="7:10" x14ac:dyDescent="0.3">
      <c r="G1278" s="10" t="s">
        <v>1254</v>
      </c>
      <c r="H1278" s="11" t="s">
        <v>2052</v>
      </c>
      <c r="I1278" s="11" t="s">
        <v>2023</v>
      </c>
      <c r="J1278" s="12">
        <v>2.66</v>
      </c>
    </row>
    <row r="1279" spans="7:10" x14ac:dyDescent="0.3">
      <c r="G1279" s="7" t="s">
        <v>1255</v>
      </c>
      <c r="H1279" s="8" t="s">
        <v>2038</v>
      </c>
      <c r="I1279" s="8" t="s">
        <v>1987</v>
      </c>
      <c r="J1279" s="9">
        <v>4.8600000000000003</v>
      </c>
    </row>
    <row r="1280" spans="7:10" x14ac:dyDescent="0.3">
      <c r="G1280" s="10" t="s">
        <v>1256</v>
      </c>
      <c r="H1280" s="11" t="s">
        <v>2034</v>
      </c>
      <c r="I1280" s="11" t="s">
        <v>2023</v>
      </c>
      <c r="J1280" s="12">
        <v>6.29</v>
      </c>
    </row>
    <row r="1281" spans="7:10" x14ac:dyDescent="0.3">
      <c r="G1281" s="7" t="s">
        <v>1257</v>
      </c>
      <c r="H1281" s="8" t="s">
        <v>2034</v>
      </c>
      <c r="I1281" s="8" t="s">
        <v>2031</v>
      </c>
      <c r="J1281" s="9">
        <v>6.41</v>
      </c>
    </row>
    <row r="1282" spans="7:10" x14ac:dyDescent="0.3">
      <c r="G1282" s="10" t="s">
        <v>1258</v>
      </c>
      <c r="H1282" s="11" t="s">
        <v>2038</v>
      </c>
      <c r="I1282" s="11" t="s">
        <v>1998</v>
      </c>
      <c r="J1282" s="12">
        <v>5.01</v>
      </c>
    </row>
    <row r="1283" spans="7:10" x14ac:dyDescent="0.3">
      <c r="G1283" s="7" t="s">
        <v>1259</v>
      </c>
      <c r="H1283" s="8" t="s">
        <v>1975</v>
      </c>
      <c r="I1283" s="8" t="s">
        <v>1998</v>
      </c>
      <c r="J1283" s="9">
        <v>0.53</v>
      </c>
    </row>
    <row r="1284" spans="7:10" x14ac:dyDescent="0.3">
      <c r="G1284" s="10" t="s">
        <v>1260</v>
      </c>
      <c r="H1284" s="11" t="s">
        <v>2063</v>
      </c>
      <c r="I1284" s="11" t="s">
        <v>1992</v>
      </c>
      <c r="J1284" s="12">
        <v>6.19</v>
      </c>
    </row>
    <row r="1285" spans="7:10" x14ac:dyDescent="0.3">
      <c r="G1285" s="7" t="s">
        <v>1261</v>
      </c>
      <c r="H1285" s="8" t="s">
        <v>2034</v>
      </c>
      <c r="I1285" s="8" t="s">
        <v>2025</v>
      </c>
      <c r="J1285" s="9">
        <v>1.07</v>
      </c>
    </row>
    <row r="1286" spans="7:10" x14ac:dyDescent="0.3">
      <c r="G1286" s="10" t="s">
        <v>1262</v>
      </c>
      <c r="H1286" s="11" t="s">
        <v>2034</v>
      </c>
      <c r="I1286" s="11" t="s">
        <v>2030</v>
      </c>
      <c r="J1286" s="12">
        <v>11.21</v>
      </c>
    </row>
    <row r="1287" spans="7:10" x14ac:dyDescent="0.3">
      <c r="G1287" s="7" t="s">
        <v>1263</v>
      </c>
      <c r="H1287" s="8" t="s">
        <v>2070</v>
      </c>
      <c r="I1287" s="8" t="s">
        <v>1979</v>
      </c>
      <c r="J1287" s="9">
        <v>1.29</v>
      </c>
    </row>
    <row r="1288" spans="7:10" x14ac:dyDescent="0.3">
      <c r="G1288" s="10" t="s">
        <v>1994</v>
      </c>
      <c r="H1288" s="11" t="s">
        <v>2038</v>
      </c>
      <c r="I1288" s="11" t="s">
        <v>1993</v>
      </c>
      <c r="J1288" s="12">
        <v>4.59</v>
      </c>
    </row>
    <row r="1289" spans="7:10" x14ac:dyDescent="0.3">
      <c r="G1289" s="7" t="s">
        <v>1264</v>
      </c>
      <c r="H1289" s="8" t="s">
        <v>2037</v>
      </c>
      <c r="I1289" s="8" t="s">
        <v>2005</v>
      </c>
      <c r="J1289" s="9">
        <v>5.16</v>
      </c>
    </row>
    <row r="1290" spans="7:10" x14ac:dyDescent="0.3">
      <c r="G1290" s="10" t="s">
        <v>1265</v>
      </c>
      <c r="H1290" s="11" t="s">
        <v>2034</v>
      </c>
      <c r="I1290" s="11" t="s">
        <v>2003</v>
      </c>
      <c r="J1290" s="12">
        <v>1.74</v>
      </c>
    </row>
    <row r="1291" spans="7:10" x14ac:dyDescent="0.3">
      <c r="G1291" s="7" t="s">
        <v>1266</v>
      </c>
      <c r="H1291" s="8" t="s">
        <v>2050</v>
      </c>
      <c r="I1291" s="8" t="s">
        <v>1979</v>
      </c>
      <c r="J1291" s="9">
        <v>1.25</v>
      </c>
    </row>
    <row r="1292" spans="7:10" x14ac:dyDescent="0.3">
      <c r="G1292" s="10" t="s">
        <v>1267</v>
      </c>
      <c r="H1292" s="11" t="s">
        <v>2065</v>
      </c>
      <c r="I1292" s="11" t="s">
        <v>2027</v>
      </c>
      <c r="J1292" s="12">
        <v>7.08</v>
      </c>
    </row>
    <row r="1293" spans="7:10" x14ac:dyDescent="0.3">
      <c r="G1293" s="7" t="s">
        <v>1268</v>
      </c>
      <c r="H1293" s="8" t="s">
        <v>2039</v>
      </c>
      <c r="I1293" s="8" t="s">
        <v>1986</v>
      </c>
      <c r="J1293" s="9">
        <v>7.19</v>
      </c>
    </row>
    <row r="1294" spans="7:10" x14ac:dyDescent="0.3">
      <c r="G1294" s="10" t="s">
        <v>1269</v>
      </c>
      <c r="H1294" s="11" t="s">
        <v>2035</v>
      </c>
      <c r="I1294" s="11" t="s">
        <v>2031</v>
      </c>
      <c r="J1294" s="12">
        <v>3.14</v>
      </c>
    </row>
    <row r="1295" spans="7:10" x14ac:dyDescent="0.3">
      <c r="G1295" s="7" t="s">
        <v>1270</v>
      </c>
      <c r="H1295" s="8" t="s">
        <v>2034</v>
      </c>
      <c r="I1295" s="8" t="s">
        <v>2028</v>
      </c>
      <c r="J1295" s="9">
        <v>1.8</v>
      </c>
    </row>
    <row r="1296" spans="7:10" x14ac:dyDescent="0.3">
      <c r="G1296" s="10" t="s">
        <v>1271</v>
      </c>
      <c r="H1296" s="11" t="s">
        <v>2045</v>
      </c>
      <c r="I1296" s="11" t="s">
        <v>2005</v>
      </c>
      <c r="J1296" s="12">
        <v>6.21</v>
      </c>
    </row>
    <row r="1297" spans="7:10" x14ac:dyDescent="0.3">
      <c r="G1297" s="7" t="s">
        <v>1272</v>
      </c>
      <c r="H1297" s="8" t="s">
        <v>2057</v>
      </c>
      <c r="I1297" s="8" t="s">
        <v>1987</v>
      </c>
      <c r="J1297" s="9">
        <v>3.49</v>
      </c>
    </row>
    <row r="1298" spans="7:10" x14ac:dyDescent="0.3">
      <c r="G1298" s="10" t="s">
        <v>1273</v>
      </c>
      <c r="H1298" s="11" t="s">
        <v>2034</v>
      </c>
      <c r="I1298" s="11" t="s">
        <v>1993</v>
      </c>
      <c r="J1298" s="12">
        <v>2.9</v>
      </c>
    </row>
    <row r="1299" spans="7:10" x14ac:dyDescent="0.3">
      <c r="G1299" s="7" t="s">
        <v>1274</v>
      </c>
      <c r="H1299" s="8" t="s">
        <v>2034</v>
      </c>
      <c r="I1299" s="8" t="s">
        <v>2015</v>
      </c>
      <c r="J1299" s="9">
        <v>5.75</v>
      </c>
    </row>
    <row r="1300" spans="7:10" x14ac:dyDescent="0.3">
      <c r="G1300" s="10" t="s">
        <v>1275</v>
      </c>
      <c r="H1300" s="11" t="s">
        <v>2035</v>
      </c>
      <c r="I1300" s="11" t="s">
        <v>2031</v>
      </c>
      <c r="J1300" s="12">
        <v>1.47</v>
      </c>
    </row>
    <row r="1301" spans="7:10" x14ac:dyDescent="0.3">
      <c r="G1301" s="7" t="s">
        <v>1276</v>
      </c>
      <c r="H1301" s="8" t="s">
        <v>2034</v>
      </c>
      <c r="I1301" s="8" t="s">
        <v>2005</v>
      </c>
      <c r="J1301" s="9">
        <v>2.0699999999999998</v>
      </c>
    </row>
    <row r="1302" spans="7:10" x14ac:dyDescent="0.3">
      <c r="G1302" s="10" t="s">
        <v>1277</v>
      </c>
      <c r="H1302" s="11" t="s">
        <v>2034</v>
      </c>
      <c r="I1302" s="11" t="s">
        <v>1979</v>
      </c>
      <c r="J1302" s="12">
        <v>0.89</v>
      </c>
    </row>
    <row r="1303" spans="7:10" x14ac:dyDescent="0.3">
      <c r="G1303" s="7" t="s">
        <v>1278</v>
      </c>
      <c r="H1303" s="8" t="s">
        <v>2061</v>
      </c>
      <c r="I1303" s="8" t="s">
        <v>1979</v>
      </c>
      <c r="J1303" s="9">
        <v>2.16</v>
      </c>
    </row>
    <row r="1304" spans="7:10" x14ac:dyDescent="0.3">
      <c r="G1304" s="10" t="s">
        <v>1279</v>
      </c>
      <c r="H1304" s="11" t="s">
        <v>2037</v>
      </c>
      <c r="I1304" s="11" t="s">
        <v>2002</v>
      </c>
      <c r="J1304" s="12">
        <v>1.93</v>
      </c>
    </row>
    <row r="1305" spans="7:10" x14ac:dyDescent="0.3">
      <c r="G1305" s="7" t="s">
        <v>1280</v>
      </c>
      <c r="H1305" s="8" t="s">
        <v>2085</v>
      </c>
      <c r="I1305" s="8" t="s">
        <v>2028</v>
      </c>
      <c r="J1305" s="9">
        <v>2.06</v>
      </c>
    </row>
    <row r="1306" spans="7:10" x14ac:dyDescent="0.3">
      <c r="G1306" s="10" t="s">
        <v>1281</v>
      </c>
      <c r="H1306" s="11" t="s">
        <v>2038</v>
      </c>
      <c r="I1306" s="11" t="s">
        <v>1999</v>
      </c>
      <c r="J1306" s="12">
        <v>2.61</v>
      </c>
    </row>
    <row r="1307" spans="7:10" x14ac:dyDescent="0.3">
      <c r="G1307" s="7" t="s">
        <v>1282</v>
      </c>
      <c r="H1307" s="8" t="s">
        <v>2047</v>
      </c>
      <c r="I1307" s="8" t="s">
        <v>2015</v>
      </c>
      <c r="J1307" s="9">
        <v>3.15</v>
      </c>
    </row>
    <row r="1308" spans="7:10" x14ac:dyDescent="0.3">
      <c r="G1308" s="10" t="s">
        <v>1283</v>
      </c>
      <c r="H1308" s="11" t="s">
        <v>2064</v>
      </c>
      <c r="I1308" s="11" t="s">
        <v>1979</v>
      </c>
      <c r="J1308" s="12">
        <v>3.31</v>
      </c>
    </row>
    <row r="1309" spans="7:10" x14ac:dyDescent="0.3">
      <c r="G1309" s="7" t="s">
        <v>1284</v>
      </c>
      <c r="H1309" s="8" t="s">
        <v>2037</v>
      </c>
      <c r="I1309" s="8" t="s">
        <v>1979</v>
      </c>
      <c r="J1309" s="9">
        <v>1.26</v>
      </c>
    </row>
    <row r="1310" spans="7:10" x14ac:dyDescent="0.3">
      <c r="G1310" s="10" t="s">
        <v>1285</v>
      </c>
      <c r="H1310" s="11" t="s">
        <v>2047</v>
      </c>
      <c r="I1310" s="11" t="s">
        <v>2017</v>
      </c>
      <c r="J1310" s="12">
        <v>8.7799999999999994</v>
      </c>
    </row>
    <row r="1311" spans="7:10" x14ac:dyDescent="0.3">
      <c r="G1311" s="7" t="s">
        <v>1286</v>
      </c>
      <c r="H1311" s="8" t="s">
        <v>2034</v>
      </c>
      <c r="I1311" s="8" t="s">
        <v>1978</v>
      </c>
      <c r="J1311" s="9">
        <v>3.4</v>
      </c>
    </row>
    <row r="1312" spans="7:10" x14ac:dyDescent="0.3">
      <c r="G1312" s="10" t="s">
        <v>1287</v>
      </c>
      <c r="H1312" s="11" t="s">
        <v>2034</v>
      </c>
      <c r="I1312" s="11" t="s">
        <v>1998</v>
      </c>
      <c r="J1312" s="12">
        <v>1.52</v>
      </c>
    </row>
    <row r="1313" spans="7:10" x14ac:dyDescent="0.3">
      <c r="G1313" s="7" t="s">
        <v>1288</v>
      </c>
      <c r="H1313" s="8" t="s">
        <v>2039</v>
      </c>
      <c r="I1313" s="8" t="s">
        <v>1993</v>
      </c>
      <c r="J1313" s="9">
        <v>3.9</v>
      </c>
    </row>
    <row r="1314" spans="7:10" x14ac:dyDescent="0.3">
      <c r="G1314" s="10" t="s">
        <v>1289</v>
      </c>
      <c r="H1314" s="11" t="s">
        <v>2045</v>
      </c>
      <c r="I1314" s="11" t="s">
        <v>1988</v>
      </c>
      <c r="J1314" s="12">
        <v>3.79</v>
      </c>
    </row>
    <row r="1315" spans="7:10" x14ac:dyDescent="0.3">
      <c r="G1315" s="7" t="s">
        <v>1290</v>
      </c>
      <c r="H1315" s="8" t="s">
        <v>2038</v>
      </c>
      <c r="I1315" s="8" t="s">
        <v>1987</v>
      </c>
      <c r="J1315" s="9">
        <v>5.42</v>
      </c>
    </row>
    <row r="1316" spans="7:10" x14ac:dyDescent="0.3">
      <c r="G1316" s="10" t="s">
        <v>1291</v>
      </c>
      <c r="H1316" s="11" t="s">
        <v>2046</v>
      </c>
      <c r="I1316" s="11" t="s">
        <v>2028</v>
      </c>
      <c r="J1316" s="12">
        <v>2.2200000000000002</v>
      </c>
    </row>
    <row r="1317" spans="7:10" x14ac:dyDescent="0.3">
      <c r="G1317" s="7" t="s">
        <v>1292</v>
      </c>
      <c r="H1317" s="8" t="s">
        <v>2034</v>
      </c>
      <c r="I1317" s="8" t="s">
        <v>1998</v>
      </c>
      <c r="J1317" s="9">
        <v>0.98</v>
      </c>
    </row>
    <row r="1318" spans="7:10" x14ac:dyDescent="0.3">
      <c r="G1318" s="10" t="s">
        <v>1293</v>
      </c>
      <c r="H1318" s="11" t="s">
        <v>2052</v>
      </c>
      <c r="I1318" s="11" t="s">
        <v>2029</v>
      </c>
      <c r="J1318" s="12">
        <v>6.07</v>
      </c>
    </row>
    <row r="1319" spans="7:10" x14ac:dyDescent="0.3">
      <c r="G1319" s="7" t="s">
        <v>1294</v>
      </c>
      <c r="H1319" s="8" t="s">
        <v>2035</v>
      </c>
      <c r="I1319" s="8" t="s">
        <v>2015</v>
      </c>
      <c r="J1319" s="9">
        <v>8.77</v>
      </c>
    </row>
    <row r="1320" spans="7:10" x14ac:dyDescent="0.3">
      <c r="G1320" s="10" t="s">
        <v>1295</v>
      </c>
      <c r="H1320" s="11" t="s">
        <v>2039</v>
      </c>
      <c r="I1320" s="11" t="s">
        <v>2002</v>
      </c>
      <c r="J1320" s="12">
        <v>3.07</v>
      </c>
    </row>
    <row r="1321" spans="7:10" x14ac:dyDescent="0.3">
      <c r="G1321" s="7" t="s">
        <v>1296</v>
      </c>
      <c r="H1321" s="8" t="s">
        <v>2034</v>
      </c>
      <c r="I1321" s="8" t="s">
        <v>2027</v>
      </c>
      <c r="J1321" s="9">
        <v>2.31</v>
      </c>
    </row>
    <row r="1322" spans="7:10" x14ac:dyDescent="0.3">
      <c r="G1322" s="10" t="s">
        <v>1297</v>
      </c>
      <c r="H1322" s="11" t="s">
        <v>2038</v>
      </c>
      <c r="I1322" s="11" t="s">
        <v>1988</v>
      </c>
      <c r="J1322" s="12">
        <v>9.36</v>
      </c>
    </row>
    <row r="1323" spans="7:10" x14ac:dyDescent="0.3">
      <c r="G1323" s="7" t="s">
        <v>1298</v>
      </c>
      <c r="H1323" s="8" t="s">
        <v>2054</v>
      </c>
      <c r="I1323" s="8" t="s">
        <v>1979</v>
      </c>
      <c r="J1323" s="9">
        <v>1.1399999999999999</v>
      </c>
    </row>
    <row r="1324" spans="7:10" x14ac:dyDescent="0.3">
      <c r="G1324" s="10" t="s">
        <v>1299</v>
      </c>
      <c r="H1324" s="11" t="s">
        <v>2038</v>
      </c>
      <c r="I1324" s="11" t="s">
        <v>2023</v>
      </c>
      <c r="J1324" s="12">
        <v>11.4</v>
      </c>
    </row>
    <row r="1325" spans="7:10" x14ac:dyDescent="0.3">
      <c r="G1325" s="7" t="s">
        <v>1300</v>
      </c>
      <c r="H1325" s="8" t="s">
        <v>2035</v>
      </c>
      <c r="I1325" s="8" t="s">
        <v>2015</v>
      </c>
      <c r="J1325" s="9">
        <v>1.99</v>
      </c>
    </row>
    <row r="1326" spans="7:10" x14ac:dyDescent="0.3">
      <c r="G1326" s="10" t="s">
        <v>1301</v>
      </c>
      <c r="H1326" s="11" t="s">
        <v>2034</v>
      </c>
      <c r="I1326" s="11" t="s">
        <v>2025</v>
      </c>
      <c r="J1326" s="12">
        <v>2.0099999999999998</v>
      </c>
    </row>
    <row r="1327" spans="7:10" x14ac:dyDescent="0.3">
      <c r="G1327" s="7" t="s">
        <v>1302</v>
      </c>
      <c r="H1327" s="8" t="s">
        <v>2034</v>
      </c>
      <c r="I1327" s="8" t="s">
        <v>2015</v>
      </c>
      <c r="J1327" s="9">
        <v>8.4</v>
      </c>
    </row>
    <row r="1328" spans="7:10" x14ac:dyDescent="0.3">
      <c r="G1328" s="10" t="s">
        <v>1303</v>
      </c>
      <c r="H1328" s="11" t="s">
        <v>2034</v>
      </c>
      <c r="I1328" s="11" t="s">
        <v>2005</v>
      </c>
      <c r="J1328" s="12">
        <v>2.85</v>
      </c>
    </row>
    <row r="1329" spans="7:10" x14ac:dyDescent="0.3">
      <c r="G1329" s="7" t="s">
        <v>1304</v>
      </c>
      <c r="H1329" s="8" t="s">
        <v>2034</v>
      </c>
      <c r="I1329" s="8" t="s">
        <v>2002</v>
      </c>
      <c r="J1329" s="9">
        <v>3.71</v>
      </c>
    </row>
    <row r="1330" spans="7:10" x14ac:dyDescent="0.3">
      <c r="G1330" s="10" t="s">
        <v>1305</v>
      </c>
      <c r="H1330" s="11" t="s">
        <v>2034</v>
      </c>
      <c r="I1330" s="11" t="s">
        <v>2028</v>
      </c>
      <c r="J1330" s="12">
        <v>2.48</v>
      </c>
    </row>
    <row r="1331" spans="7:10" x14ac:dyDescent="0.3">
      <c r="G1331" s="7" t="s">
        <v>1306</v>
      </c>
      <c r="H1331" s="8" t="s">
        <v>2035</v>
      </c>
      <c r="I1331" s="8" t="s">
        <v>1998</v>
      </c>
      <c r="J1331" s="9">
        <v>0.65</v>
      </c>
    </row>
    <row r="1332" spans="7:10" x14ac:dyDescent="0.3">
      <c r="G1332" s="10" t="s">
        <v>1307</v>
      </c>
      <c r="H1332" s="11" t="s">
        <v>1975</v>
      </c>
      <c r="I1332" s="11" t="s">
        <v>1998</v>
      </c>
      <c r="J1332" s="12">
        <v>0.72</v>
      </c>
    </row>
    <row r="1333" spans="7:10" x14ac:dyDescent="0.3">
      <c r="G1333" s="7" t="s">
        <v>2033</v>
      </c>
      <c r="H1333" s="8" t="s">
        <v>2034</v>
      </c>
      <c r="I1333" s="8" t="s">
        <v>2031</v>
      </c>
      <c r="J1333" s="9">
        <v>7.4</v>
      </c>
    </row>
    <row r="1334" spans="7:10" x14ac:dyDescent="0.3">
      <c r="G1334" s="10" t="s">
        <v>1308</v>
      </c>
      <c r="H1334" s="11" t="s">
        <v>2067</v>
      </c>
      <c r="I1334" s="11" t="s">
        <v>2022</v>
      </c>
      <c r="J1334" s="12">
        <v>6.06</v>
      </c>
    </row>
    <row r="1335" spans="7:10" x14ac:dyDescent="0.3">
      <c r="G1335" s="7" t="s">
        <v>1309</v>
      </c>
      <c r="H1335" s="8" t="s">
        <v>2034</v>
      </c>
      <c r="I1335" s="8" t="s">
        <v>1993</v>
      </c>
      <c r="J1335" s="9">
        <v>5.35</v>
      </c>
    </row>
    <row r="1336" spans="7:10" x14ac:dyDescent="0.3">
      <c r="G1336" s="10" t="s">
        <v>1310</v>
      </c>
      <c r="H1336" s="11" t="s">
        <v>2056</v>
      </c>
      <c r="I1336" s="11" t="s">
        <v>1979</v>
      </c>
      <c r="J1336" s="12">
        <v>3.4</v>
      </c>
    </row>
    <row r="1337" spans="7:10" x14ac:dyDescent="0.3">
      <c r="G1337" s="7" t="s">
        <v>1311</v>
      </c>
      <c r="H1337" s="8" t="s">
        <v>2040</v>
      </c>
      <c r="I1337" s="8" t="s">
        <v>1998</v>
      </c>
      <c r="J1337" s="9">
        <v>1.1299999999999999</v>
      </c>
    </row>
    <row r="1338" spans="7:10" x14ac:dyDescent="0.3">
      <c r="G1338" s="10" t="s">
        <v>1312</v>
      </c>
      <c r="H1338" s="11" t="s">
        <v>2038</v>
      </c>
      <c r="I1338" s="11" t="s">
        <v>1988</v>
      </c>
      <c r="J1338" s="12">
        <v>3.8</v>
      </c>
    </row>
    <row r="1339" spans="7:10" x14ac:dyDescent="0.3">
      <c r="G1339" s="7" t="s">
        <v>1313</v>
      </c>
      <c r="H1339" s="8" t="s">
        <v>2034</v>
      </c>
      <c r="I1339" s="8" t="s">
        <v>1986</v>
      </c>
      <c r="J1339" s="9">
        <v>2.35</v>
      </c>
    </row>
    <row r="1340" spans="7:10" x14ac:dyDescent="0.3">
      <c r="G1340" s="10" t="s">
        <v>1314</v>
      </c>
      <c r="H1340" s="11" t="s">
        <v>2061</v>
      </c>
      <c r="I1340" s="11" t="s">
        <v>2028</v>
      </c>
      <c r="J1340" s="12">
        <v>1.86</v>
      </c>
    </row>
    <row r="1341" spans="7:10" x14ac:dyDescent="0.3">
      <c r="G1341" s="7" t="s">
        <v>1315</v>
      </c>
      <c r="H1341" s="8" t="s">
        <v>2045</v>
      </c>
      <c r="I1341" s="8" t="s">
        <v>2030</v>
      </c>
      <c r="J1341" s="9">
        <v>3.72</v>
      </c>
    </row>
    <row r="1342" spans="7:10" x14ac:dyDescent="0.3">
      <c r="G1342" s="10" t="s">
        <v>1316</v>
      </c>
      <c r="H1342" s="11" t="s">
        <v>2067</v>
      </c>
      <c r="I1342" s="11" t="s">
        <v>2028</v>
      </c>
      <c r="J1342" s="12">
        <v>2.48</v>
      </c>
    </row>
    <row r="1343" spans="7:10" x14ac:dyDescent="0.3">
      <c r="G1343" s="7" t="s">
        <v>1317</v>
      </c>
      <c r="H1343" s="8" t="s">
        <v>2034</v>
      </c>
      <c r="I1343" s="8" t="s">
        <v>2030</v>
      </c>
      <c r="J1343" s="9">
        <v>3.9</v>
      </c>
    </row>
    <row r="1344" spans="7:10" x14ac:dyDescent="0.3">
      <c r="G1344" s="10" t="s">
        <v>1318</v>
      </c>
      <c r="H1344" s="11" t="s">
        <v>2041</v>
      </c>
      <c r="I1344" s="11" t="s">
        <v>2005</v>
      </c>
      <c r="J1344" s="12">
        <v>4.6500000000000004</v>
      </c>
    </row>
    <row r="1345" spans="7:10" x14ac:dyDescent="0.3">
      <c r="G1345" s="7" t="s">
        <v>1319</v>
      </c>
      <c r="H1345" s="8" t="s">
        <v>2038</v>
      </c>
      <c r="I1345" s="8" t="s">
        <v>1998</v>
      </c>
      <c r="J1345" s="9">
        <v>5.04</v>
      </c>
    </row>
    <row r="1346" spans="7:10" x14ac:dyDescent="0.3">
      <c r="G1346" s="10" t="s">
        <v>1320</v>
      </c>
      <c r="H1346" s="11" t="s">
        <v>2034</v>
      </c>
      <c r="I1346" s="11" t="s">
        <v>1998</v>
      </c>
      <c r="J1346" s="12">
        <v>1.25</v>
      </c>
    </row>
    <row r="1347" spans="7:10" x14ac:dyDescent="0.3">
      <c r="G1347" s="7" t="s">
        <v>1321</v>
      </c>
      <c r="H1347" s="8" t="s">
        <v>2038</v>
      </c>
      <c r="I1347" s="8" t="s">
        <v>2026</v>
      </c>
      <c r="J1347" s="9">
        <v>2.23</v>
      </c>
    </row>
    <row r="1348" spans="7:10" x14ac:dyDescent="0.3">
      <c r="G1348" s="10" t="s">
        <v>1322</v>
      </c>
      <c r="H1348" s="11" t="s">
        <v>2043</v>
      </c>
      <c r="I1348" s="11" t="s">
        <v>2015</v>
      </c>
      <c r="J1348" s="12">
        <v>4.68</v>
      </c>
    </row>
    <row r="1349" spans="7:10" x14ac:dyDescent="0.3">
      <c r="G1349" s="7" t="s">
        <v>1323</v>
      </c>
      <c r="H1349" s="8" t="s">
        <v>2043</v>
      </c>
      <c r="I1349" s="8" t="s">
        <v>1993</v>
      </c>
      <c r="J1349" s="9">
        <v>4.6500000000000004</v>
      </c>
    </row>
    <row r="1350" spans="7:10" x14ac:dyDescent="0.3">
      <c r="G1350" s="10" t="s">
        <v>1324</v>
      </c>
      <c r="H1350" s="11" t="s">
        <v>2034</v>
      </c>
      <c r="I1350" s="11" t="s">
        <v>2001</v>
      </c>
      <c r="J1350" s="12">
        <v>5.41</v>
      </c>
    </row>
    <row r="1351" spans="7:10" x14ac:dyDescent="0.3">
      <c r="G1351" s="7" t="s">
        <v>1325</v>
      </c>
      <c r="H1351" s="8" t="s">
        <v>2034</v>
      </c>
      <c r="I1351" s="8" t="s">
        <v>1997</v>
      </c>
      <c r="J1351" s="9">
        <v>16.98</v>
      </c>
    </row>
    <row r="1352" spans="7:10" x14ac:dyDescent="0.3">
      <c r="G1352" s="10" t="s">
        <v>1326</v>
      </c>
      <c r="H1352" s="11" t="s">
        <v>2035</v>
      </c>
      <c r="I1352" s="11" t="s">
        <v>1993</v>
      </c>
      <c r="J1352" s="12">
        <v>6.72</v>
      </c>
    </row>
    <row r="1353" spans="7:10" x14ac:dyDescent="0.3">
      <c r="G1353" s="7" t="s">
        <v>1327</v>
      </c>
      <c r="H1353" s="8" t="s">
        <v>2034</v>
      </c>
      <c r="I1353" s="8" t="s">
        <v>1998</v>
      </c>
      <c r="J1353" s="9">
        <v>0.66</v>
      </c>
    </row>
    <row r="1354" spans="7:10" x14ac:dyDescent="0.3">
      <c r="G1354" s="10" t="s">
        <v>1328</v>
      </c>
      <c r="H1354" s="11" t="s">
        <v>2034</v>
      </c>
      <c r="I1354" s="11" t="s">
        <v>2025</v>
      </c>
      <c r="J1354" s="12">
        <v>1.95</v>
      </c>
    </row>
    <row r="1355" spans="7:10" x14ac:dyDescent="0.3">
      <c r="G1355" s="7" t="s">
        <v>1329</v>
      </c>
      <c r="H1355" s="8" t="s">
        <v>2043</v>
      </c>
      <c r="I1355" s="8" t="s">
        <v>1988</v>
      </c>
      <c r="J1355" s="9">
        <v>7.71</v>
      </c>
    </row>
    <row r="1356" spans="7:10" x14ac:dyDescent="0.3">
      <c r="G1356" s="10" t="s">
        <v>1330</v>
      </c>
      <c r="H1356" s="11" t="s">
        <v>2045</v>
      </c>
      <c r="I1356" s="11" t="s">
        <v>2030</v>
      </c>
      <c r="J1356" s="12">
        <v>3.89</v>
      </c>
    </row>
    <row r="1357" spans="7:10" x14ac:dyDescent="0.3">
      <c r="G1357" s="7" t="s">
        <v>1331</v>
      </c>
      <c r="H1357" s="8" t="s">
        <v>2034</v>
      </c>
      <c r="I1357" s="8" t="s">
        <v>1986</v>
      </c>
      <c r="J1357" s="9">
        <v>3.22</v>
      </c>
    </row>
    <row r="1358" spans="7:10" x14ac:dyDescent="0.3">
      <c r="G1358" s="10" t="s">
        <v>1332</v>
      </c>
      <c r="H1358" s="11" t="s">
        <v>2034</v>
      </c>
      <c r="I1358" s="11" t="s">
        <v>2028</v>
      </c>
      <c r="J1358" s="12">
        <v>0.94</v>
      </c>
    </row>
    <row r="1359" spans="7:10" x14ac:dyDescent="0.3">
      <c r="G1359" s="7" t="s">
        <v>1333</v>
      </c>
      <c r="H1359" s="8" t="s">
        <v>2034</v>
      </c>
      <c r="I1359" s="8" t="s">
        <v>1979</v>
      </c>
      <c r="J1359" s="9">
        <v>1.78</v>
      </c>
    </row>
    <row r="1360" spans="7:10" x14ac:dyDescent="0.3">
      <c r="G1360" s="10" t="s">
        <v>1334</v>
      </c>
      <c r="H1360" s="11" t="s">
        <v>2043</v>
      </c>
      <c r="I1360" s="11" t="s">
        <v>1998</v>
      </c>
      <c r="J1360" s="12">
        <v>0.49</v>
      </c>
    </row>
    <row r="1361" spans="7:10" x14ac:dyDescent="0.3">
      <c r="G1361" s="7" t="s">
        <v>1335</v>
      </c>
      <c r="H1361" s="8" t="s">
        <v>2086</v>
      </c>
      <c r="I1361" s="8" t="s">
        <v>2028</v>
      </c>
      <c r="J1361" s="9">
        <v>2.25</v>
      </c>
    </row>
    <row r="1362" spans="7:10" x14ac:dyDescent="0.3">
      <c r="G1362" s="10" t="s">
        <v>1336</v>
      </c>
      <c r="H1362" s="11" t="s">
        <v>2034</v>
      </c>
      <c r="I1362" s="11" t="s">
        <v>2002</v>
      </c>
      <c r="J1362" s="12">
        <v>2.97</v>
      </c>
    </row>
    <row r="1363" spans="7:10" x14ac:dyDescent="0.3">
      <c r="G1363" s="7" t="s">
        <v>1337</v>
      </c>
      <c r="H1363" s="8" t="s">
        <v>2038</v>
      </c>
      <c r="I1363" s="8" t="s">
        <v>1987</v>
      </c>
      <c r="J1363" s="9">
        <v>7.88</v>
      </c>
    </row>
    <row r="1364" spans="7:10" x14ac:dyDescent="0.3">
      <c r="G1364" s="10" t="s">
        <v>1338</v>
      </c>
      <c r="H1364" s="11" t="s">
        <v>2034</v>
      </c>
      <c r="I1364" s="11" t="s">
        <v>2002</v>
      </c>
      <c r="J1364" s="12">
        <v>1.96</v>
      </c>
    </row>
    <row r="1365" spans="7:10" x14ac:dyDescent="0.3">
      <c r="G1365" s="7" t="s">
        <v>1339</v>
      </c>
      <c r="H1365" s="8" t="s">
        <v>2034</v>
      </c>
      <c r="I1365" s="8" t="s">
        <v>2015</v>
      </c>
      <c r="J1365" s="9">
        <v>4.09</v>
      </c>
    </row>
    <row r="1366" spans="7:10" x14ac:dyDescent="0.3">
      <c r="G1366" s="10" t="s">
        <v>1340</v>
      </c>
      <c r="H1366" s="11" t="s">
        <v>2038</v>
      </c>
      <c r="I1366" s="11" t="s">
        <v>2030</v>
      </c>
      <c r="J1366" s="12">
        <v>7.38</v>
      </c>
    </row>
    <row r="1367" spans="7:10" x14ac:dyDescent="0.3">
      <c r="G1367" s="7" t="s">
        <v>1341</v>
      </c>
      <c r="H1367" s="8" t="s">
        <v>2038</v>
      </c>
      <c r="I1367" s="8" t="s">
        <v>2015</v>
      </c>
      <c r="J1367" s="9">
        <v>6.53</v>
      </c>
    </row>
    <row r="1368" spans="7:10" x14ac:dyDescent="0.3">
      <c r="G1368" s="10" t="s">
        <v>1342</v>
      </c>
      <c r="H1368" s="11" t="s">
        <v>2042</v>
      </c>
      <c r="I1368" s="11" t="s">
        <v>1979</v>
      </c>
      <c r="J1368" s="12">
        <v>1.58</v>
      </c>
    </row>
    <row r="1369" spans="7:10" x14ac:dyDescent="0.3">
      <c r="G1369" s="7" t="s">
        <v>1343</v>
      </c>
      <c r="H1369" s="8" t="s">
        <v>2034</v>
      </c>
      <c r="I1369" s="8" t="s">
        <v>2017</v>
      </c>
      <c r="J1369" s="9">
        <v>5.19</v>
      </c>
    </row>
    <row r="1370" spans="7:10" x14ac:dyDescent="0.3">
      <c r="G1370" s="10" t="s">
        <v>1344</v>
      </c>
      <c r="H1370" s="11" t="s">
        <v>2034</v>
      </c>
      <c r="I1370" s="11" t="s">
        <v>2026</v>
      </c>
      <c r="J1370" s="12">
        <v>2.1800000000000002</v>
      </c>
    </row>
    <row r="1371" spans="7:10" x14ac:dyDescent="0.3">
      <c r="G1371" s="7" t="s">
        <v>1345</v>
      </c>
      <c r="H1371" s="8" t="s">
        <v>2034</v>
      </c>
      <c r="I1371" s="8" t="s">
        <v>2015</v>
      </c>
      <c r="J1371" s="9">
        <v>3.54</v>
      </c>
    </row>
    <row r="1372" spans="7:10" x14ac:dyDescent="0.3">
      <c r="G1372" s="10" t="s">
        <v>1346</v>
      </c>
      <c r="H1372" s="11" t="s">
        <v>2064</v>
      </c>
      <c r="I1372" s="11" t="s">
        <v>1979</v>
      </c>
      <c r="J1372" s="12">
        <v>1.36</v>
      </c>
    </row>
    <row r="1373" spans="7:10" x14ac:dyDescent="0.3">
      <c r="G1373" s="7" t="s">
        <v>1347</v>
      </c>
      <c r="H1373" s="8" t="s">
        <v>2038</v>
      </c>
      <c r="I1373" s="8" t="s">
        <v>2029</v>
      </c>
      <c r="J1373" s="9">
        <v>14.72</v>
      </c>
    </row>
    <row r="1374" spans="7:10" x14ac:dyDescent="0.3">
      <c r="G1374" s="10" t="s">
        <v>1348</v>
      </c>
      <c r="H1374" s="11" t="s">
        <v>2042</v>
      </c>
      <c r="I1374" s="11" t="s">
        <v>2031</v>
      </c>
      <c r="J1374" s="12">
        <v>1.34</v>
      </c>
    </row>
    <row r="1375" spans="7:10" x14ac:dyDescent="0.3">
      <c r="G1375" s="7" t="s">
        <v>1990</v>
      </c>
      <c r="H1375" s="8" t="s">
        <v>2037</v>
      </c>
      <c r="I1375" s="8" t="s">
        <v>1988</v>
      </c>
      <c r="J1375" s="9">
        <v>5.63</v>
      </c>
    </row>
    <row r="1376" spans="7:10" x14ac:dyDescent="0.3">
      <c r="G1376" s="10" t="s">
        <v>1349</v>
      </c>
      <c r="H1376" s="11" t="s">
        <v>2034</v>
      </c>
      <c r="I1376" s="11" t="s">
        <v>1998</v>
      </c>
      <c r="J1376" s="12">
        <v>1.63</v>
      </c>
    </row>
    <row r="1377" spans="7:10" x14ac:dyDescent="0.3">
      <c r="G1377" s="7" t="s">
        <v>1350</v>
      </c>
      <c r="H1377" s="8" t="s">
        <v>2034</v>
      </c>
      <c r="I1377" s="8" t="s">
        <v>2023</v>
      </c>
      <c r="J1377" s="9">
        <v>11.16</v>
      </c>
    </row>
    <row r="1378" spans="7:10" x14ac:dyDescent="0.3">
      <c r="G1378" s="10" t="s">
        <v>1351</v>
      </c>
      <c r="H1378" s="11" t="s">
        <v>2038</v>
      </c>
      <c r="I1378" s="11" t="s">
        <v>1979</v>
      </c>
      <c r="J1378" s="12">
        <v>1.1100000000000001</v>
      </c>
    </row>
    <row r="1379" spans="7:10" x14ac:dyDescent="0.3">
      <c r="G1379" s="7" t="s">
        <v>1352</v>
      </c>
      <c r="H1379" s="8" t="s">
        <v>2034</v>
      </c>
      <c r="I1379" s="8" t="s">
        <v>1998</v>
      </c>
      <c r="J1379" s="9">
        <v>0.79</v>
      </c>
    </row>
    <row r="1380" spans="7:10" x14ac:dyDescent="0.3">
      <c r="G1380" s="10" t="s">
        <v>1353</v>
      </c>
      <c r="H1380" s="11" t="s">
        <v>2062</v>
      </c>
      <c r="I1380" s="11" t="s">
        <v>2030</v>
      </c>
      <c r="J1380" s="12">
        <v>1.73</v>
      </c>
    </row>
    <row r="1381" spans="7:10" x14ac:dyDescent="0.3">
      <c r="G1381" s="7" t="s">
        <v>1354</v>
      </c>
      <c r="H1381" s="8" t="s">
        <v>2034</v>
      </c>
      <c r="I1381" s="8" t="s">
        <v>2004</v>
      </c>
      <c r="J1381" s="9">
        <v>3.68</v>
      </c>
    </row>
    <row r="1382" spans="7:10" x14ac:dyDescent="0.3">
      <c r="G1382" s="10" t="s">
        <v>1355</v>
      </c>
      <c r="H1382" s="11" t="s">
        <v>2038</v>
      </c>
      <c r="I1382" s="11" t="s">
        <v>1988</v>
      </c>
      <c r="J1382" s="12">
        <v>5.49</v>
      </c>
    </row>
    <row r="1383" spans="7:10" x14ac:dyDescent="0.3">
      <c r="G1383" s="7" t="s">
        <v>1356</v>
      </c>
      <c r="H1383" s="8" t="s">
        <v>2052</v>
      </c>
      <c r="I1383" s="8" t="s">
        <v>1998</v>
      </c>
      <c r="J1383" s="9">
        <v>0.56999999999999995</v>
      </c>
    </row>
    <row r="1384" spans="7:10" x14ac:dyDescent="0.3">
      <c r="G1384" s="10" t="s">
        <v>1357</v>
      </c>
      <c r="H1384" s="11" t="s">
        <v>2035</v>
      </c>
      <c r="I1384" s="11" t="s">
        <v>1998</v>
      </c>
      <c r="J1384" s="12">
        <v>1.43</v>
      </c>
    </row>
    <row r="1385" spans="7:10" x14ac:dyDescent="0.3">
      <c r="G1385" s="7" t="s">
        <v>1358</v>
      </c>
      <c r="H1385" s="8" t="s">
        <v>2034</v>
      </c>
      <c r="I1385" s="8" t="s">
        <v>2001</v>
      </c>
      <c r="J1385" s="9">
        <v>1.85</v>
      </c>
    </row>
    <row r="1386" spans="7:10" x14ac:dyDescent="0.3">
      <c r="G1386" s="10" t="s">
        <v>1359</v>
      </c>
      <c r="H1386" s="11" t="s">
        <v>2038</v>
      </c>
      <c r="I1386" s="11" t="s">
        <v>2002</v>
      </c>
      <c r="J1386" s="12">
        <v>12.42</v>
      </c>
    </row>
    <row r="1387" spans="7:10" x14ac:dyDescent="0.3">
      <c r="G1387" s="7" t="s">
        <v>1360</v>
      </c>
      <c r="H1387" s="8" t="s">
        <v>2073</v>
      </c>
      <c r="I1387" s="8" t="s">
        <v>2022</v>
      </c>
      <c r="J1387" s="9">
        <v>1.38</v>
      </c>
    </row>
    <row r="1388" spans="7:10" x14ac:dyDescent="0.3">
      <c r="G1388" s="10" t="s">
        <v>1361</v>
      </c>
      <c r="H1388" s="11" t="s">
        <v>2034</v>
      </c>
      <c r="I1388" s="11" t="s">
        <v>2004</v>
      </c>
      <c r="J1388" s="12">
        <v>4.8499999999999996</v>
      </c>
    </row>
    <row r="1389" spans="7:10" x14ac:dyDescent="0.3">
      <c r="G1389" s="7" t="s">
        <v>1362</v>
      </c>
      <c r="H1389" s="8" t="s">
        <v>2035</v>
      </c>
      <c r="I1389" s="8" t="s">
        <v>2030</v>
      </c>
      <c r="J1389" s="9">
        <v>4.5999999999999996</v>
      </c>
    </row>
    <row r="1390" spans="7:10" x14ac:dyDescent="0.3">
      <c r="G1390" s="10" t="s">
        <v>1363</v>
      </c>
      <c r="H1390" s="11" t="s">
        <v>2039</v>
      </c>
      <c r="I1390" s="11" t="s">
        <v>2015</v>
      </c>
      <c r="J1390" s="12">
        <v>4.12</v>
      </c>
    </row>
    <row r="1391" spans="7:10" x14ac:dyDescent="0.3">
      <c r="G1391" s="7" t="s">
        <v>1364</v>
      </c>
      <c r="H1391" s="8" t="s">
        <v>2080</v>
      </c>
      <c r="I1391" s="8" t="s">
        <v>2023</v>
      </c>
      <c r="J1391" s="9">
        <v>4.88</v>
      </c>
    </row>
    <row r="1392" spans="7:10" x14ac:dyDescent="0.3">
      <c r="G1392" s="10" t="s">
        <v>1365</v>
      </c>
      <c r="H1392" s="11" t="s">
        <v>2034</v>
      </c>
      <c r="I1392" s="11" t="s">
        <v>1986</v>
      </c>
      <c r="J1392" s="12">
        <v>2.12</v>
      </c>
    </row>
    <row r="1393" spans="7:10" x14ac:dyDescent="0.3">
      <c r="G1393" s="7" t="s">
        <v>1366</v>
      </c>
      <c r="H1393" s="8" t="s">
        <v>2035</v>
      </c>
      <c r="I1393" s="8" t="s">
        <v>2003</v>
      </c>
      <c r="J1393" s="9">
        <v>0.63</v>
      </c>
    </row>
    <row r="1394" spans="7:10" x14ac:dyDescent="0.3">
      <c r="G1394" s="10" t="s">
        <v>1367</v>
      </c>
      <c r="H1394" s="11" t="s">
        <v>2038</v>
      </c>
      <c r="I1394" s="11" t="s">
        <v>1979</v>
      </c>
      <c r="J1394" s="12">
        <v>1.25</v>
      </c>
    </row>
    <row r="1395" spans="7:10" x14ac:dyDescent="0.3">
      <c r="G1395" s="7" t="s">
        <v>1368</v>
      </c>
      <c r="H1395" s="8" t="s">
        <v>2034</v>
      </c>
      <c r="I1395" s="8" t="s">
        <v>1998</v>
      </c>
      <c r="J1395" s="9">
        <v>1.58</v>
      </c>
    </row>
    <row r="1396" spans="7:10" x14ac:dyDescent="0.3">
      <c r="G1396" s="10" t="s">
        <v>1369</v>
      </c>
      <c r="H1396" s="11" t="s">
        <v>2060</v>
      </c>
      <c r="I1396" s="11" t="s">
        <v>2001</v>
      </c>
      <c r="J1396" s="12">
        <v>5.29</v>
      </c>
    </row>
    <row r="1397" spans="7:10" x14ac:dyDescent="0.3">
      <c r="G1397" s="7" t="s">
        <v>1370</v>
      </c>
      <c r="H1397" s="8" t="s">
        <v>2034</v>
      </c>
      <c r="I1397" s="8" t="s">
        <v>1997</v>
      </c>
      <c r="J1397" s="9">
        <v>5.3</v>
      </c>
    </row>
    <row r="1398" spans="7:10" x14ac:dyDescent="0.3">
      <c r="G1398" s="10" t="s">
        <v>1371</v>
      </c>
      <c r="H1398" s="11" t="s">
        <v>2034</v>
      </c>
      <c r="I1398" s="11" t="s">
        <v>2001</v>
      </c>
      <c r="J1398" s="12">
        <v>2.02</v>
      </c>
    </row>
    <row r="1399" spans="7:10" x14ac:dyDescent="0.3">
      <c r="G1399" s="7" t="s">
        <v>1372</v>
      </c>
      <c r="H1399" s="8" t="s">
        <v>2047</v>
      </c>
      <c r="I1399" s="8" t="s">
        <v>2022</v>
      </c>
      <c r="J1399" s="9">
        <v>1.0900000000000001</v>
      </c>
    </row>
    <row r="1400" spans="7:10" x14ac:dyDescent="0.3">
      <c r="G1400" s="10" t="s">
        <v>1373</v>
      </c>
      <c r="H1400" s="11" t="s">
        <v>2065</v>
      </c>
      <c r="I1400" s="11" t="s">
        <v>2005</v>
      </c>
      <c r="J1400" s="12">
        <v>2.64</v>
      </c>
    </row>
    <row r="1401" spans="7:10" x14ac:dyDescent="0.3">
      <c r="G1401" s="7" t="s">
        <v>1374</v>
      </c>
      <c r="H1401" s="8" t="s">
        <v>2034</v>
      </c>
      <c r="I1401" s="8" t="s">
        <v>1998</v>
      </c>
      <c r="J1401" s="9">
        <v>0.73</v>
      </c>
    </row>
    <row r="1402" spans="7:10" x14ac:dyDescent="0.3">
      <c r="G1402" s="10" t="s">
        <v>1375</v>
      </c>
      <c r="H1402" s="11" t="s">
        <v>2034</v>
      </c>
      <c r="I1402" s="11" t="s">
        <v>1979</v>
      </c>
      <c r="J1402" s="12">
        <v>0.93</v>
      </c>
    </row>
    <row r="1403" spans="7:10" x14ac:dyDescent="0.3">
      <c r="G1403" s="7" t="s">
        <v>1376</v>
      </c>
      <c r="H1403" s="8" t="s">
        <v>1975</v>
      </c>
      <c r="I1403" s="8" t="s">
        <v>2022</v>
      </c>
      <c r="J1403" s="9">
        <v>1.81</v>
      </c>
    </row>
    <row r="1404" spans="7:10" x14ac:dyDescent="0.3">
      <c r="G1404" s="10" t="s">
        <v>1377</v>
      </c>
      <c r="H1404" s="11" t="s">
        <v>2042</v>
      </c>
      <c r="I1404" s="11" t="s">
        <v>1979</v>
      </c>
      <c r="J1404" s="12">
        <v>1.71</v>
      </c>
    </row>
    <row r="1405" spans="7:10" x14ac:dyDescent="0.3">
      <c r="G1405" s="7" t="s">
        <v>1378</v>
      </c>
      <c r="H1405" s="8" t="s">
        <v>2043</v>
      </c>
      <c r="I1405" s="8" t="s">
        <v>2030</v>
      </c>
      <c r="J1405" s="9">
        <v>5.56</v>
      </c>
    </row>
    <row r="1406" spans="7:10" x14ac:dyDescent="0.3">
      <c r="G1406" s="10" t="s">
        <v>1379</v>
      </c>
      <c r="H1406" s="11" t="s">
        <v>2034</v>
      </c>
      <c r="I1406" s="11" t="s">
        <v>1993</v>
      </c>
      <c r="J1406" s="12">
        <v>4.82</v>
      </c>
    </row>
    <row r="1407" spans="7:10" x14ac:dyDescent="0.3">
      <c r="G1407" s="7" t="s">
        <v>1380</v>
      </c>
      <c r="H1407" s="8" t="s">
        <v>2035</v>
      </c>
      <c r="I1407" s="8" t="s">
        <v>1998</v>
      </c>
      <c r="J1407" s="9">
        <v>2.06</v>
      </c>
    </row>
    <row r="1408" spans="7:10" x14ac:dyDescent="0.3">
      <c r="G1408" s="10" t="s">
        <v>1381</v>
      </c>
      <c r="H1408" s="11" t="s">
        <v>2035</v>
      </c>
      <c r="I1408" s="11" t="s">
        <v>2015</v>
      </c>
      <c r="J1408" s="12">
        <v>1.31</v>
      </c>
    </row>
    <row r="1409" spans="7:10" x14ac:dyDescent="0.3">
      <c r="G1409" s="7" t="s">
        <v>1382</v>
      </c>
      <c r="H1409" s="8" t="s">
        <v>2052</v>
      </c>
      <c r="I1409" s="8" t="s">
        <v>2030</v>
      </c>
      <c r="J1409" s="9">
        <v>4.1500000000000004</v>
      </c>
    </row>
    <row r="1410" spans="7:10" x14ac:dyDescent="0.3">
      <c r="G1410" s="10" t="s">
        <v>1383</v>
      </c>
      <c r="H1410" s="11" t="s">
        <v>2034</v>
      </c>
      <c r="I1410" s="11" t="s">
        <v>1997</v>
      </c>
      <c r="J1410" s="12">
        <v>9.76</v>
      </c>
    </row>
    <row r="1411" spans="7:10" x14ac:dyDescent="0.3">
      <c r="G1411" s="7" t="s">
        <v>1384</v>
      </c>
      <c r="H1411" s="8" t="s">
        <v>2052</v>
      </c>
      <c r="I1411" s="8" t="s">
        <v>2030</v>
      </c>
      <c r="J1411" s="9">
        <v>8.64</v>
      </c>
    </row>
    <row r="1412" spans="7:10" x14ac:dyDescent="0.3">
      <c r="G1412" s="10" t="s">
        <v>1385</v>
      </c>
      <c r="H1412" s="11" t="s">
        <v>2034</v>
      </c>
      <c r="I1412" s="11" t="s">
        <v>2003</v>
      </c>
      <c r="J1412" s="12">
        <v>3.78</v>
      </c>
    </row>
    <row r="1413" spans="7:10" x14ac:dyDescent="0.3">
      <c r="G1413" s="7" t="s">
        <v>1386</v>
      </c>
      <c r="H1413" s="8" t="s">
        <v>2076</v>
      </c>
      <c r="I1413" s="8" t="s">
        <v>1988</v>
      </c>
      <c r="J1413" s="9">
        <v>5.44</v>
      </c>
    </row>
    <row r="1414" spans="7:10" x14ac:dyDescent="0.3">
      <c r="G1414" s="10" t="s">
        <v>1387</v>
      </c>
      <c r="H1414" s="11" t="s">
        <v>2034</v>
      </c>
      <c r="I1414" s="11" t="s">
        <v>2027</v>
      </c>
      <c r="J1414" s="12">
        <v>3.99</v>
      </c>
    </row>
    <row r="1415" spans="7:10" x14ac:dyDescent="0.3">
      <c r="G1415" s="7" t="s">
        <v>1388</v>
      </c>
      <c r="H1415" s="8" t="s">
        <v>2038</v>
      </c>
      <c r="I1415" s="8" t="s">
        <v>1979</v>
      </c>
      <c r="J1415" s="9">
        <v>1.24</v>
      </c>
    </row>
    <row r="1416" spans="7:10" x14ac:dyDescent="0.3">
      <c r="G1416" s="10" t="s">
        <v>1389</v>
      </c>
      <c r="H1416" s="11" t="s">
        <v>2034</v>
      </c>
      <c r="I1416" s="11" t="s">
        <v>2027</v>
      </c>
      <c r="J1416" s="12">
        <v>1.92</v>
      </c>
    </row>
    <row r="1417" spans="7:10" x14ac:dyDescent="0.3">
      <c r="G1417" s="7" t="s">
        <v>1390</v>
      </c>
      <c r="H1417" s="8" t="s">
        <v>2042</v>
      </c>
      <c r="I1417" s="8" t="s">
        <v>2005</v>
      </c>
      <c r="J1417" s="9">
        <v>3.87</v>
      </c>
    </row>
    <row r="1418" spans="7:10" x14ac:dyDescent="0.3">
      <c r="G1418" s="10" t="s">
        <v>1391</v>
      </c>
      <c r="H1418" s="11" t="s">
        <v>2057</v>
      </c>
      <c r="I1418" s="11" t="s">
        <v>2015</v>
      </c>
      <c r="J1418" s="12">
        <v>3.49</v>
      </c>
    </row>
    <row r="1419" spans="7:10" x14ac:dyDescent="0.3">
      <c r="G1419" s="7" t="s">
        <v>1392</v>
      </c>
      <c r="H1419" s="8" t="s">
        <v>2034</v>
      </c>
      <c r="I1419" s="8" t="s">
        <v>2000</v>
      </c>
      <c r="J1419" s="9">
        <v>5</v>
      </c>
    </row>
    <row r="1420" spans="7:10" x14ac:dyDescent="0.3">
      <c r="G1420" s="10" t="s">
        <v>1393</v>
      </c>
      <c r="H1420" s="11" t="s">
        <v>2060</v>
      </c>
      <c r="I1420" s="11" t="s">
        <v>1979</v>
      </c>
      <c r="J1420" s="12">
        <v>1.76</v>
      </c>
    </row>
    <row r="1421" spans="7:10" x14ac:dyDescent="0.3">
      <c r="G1421" s="7" t="s">
        <v>1394</v>
      </c>
      <c r="H1421" s="8" t="s">
        <v>2064</v>
      </c>
      <c r="I1421" s="8" t="s">
        <v>2015</v>
      </c>
      <c r="J1421" s="9">
        <v>3.25</v>
      </c>
    </row>
    <row r="1422" spans="7:10" x14ac:dyDescent="0.3">
      <c r="G1422" s="10" t="s">
        <v>1395</v>
      </c>
      <c r="H1422" s="11" t="s">
        <v>2044</v>
      </c>
      <c r="I1422" s="11" t="s">
        <v>1988</v>
      </c>
      <c r="J1422" s="12">
        <v>4.7699999999999996</v>
      </c>
    </row>
    <row r="1423" spans="7:10" x14ac:dyDescent="0.3">
      <c r="G1423" s="7" t="s">
        <v>1396</v>
      </c>
      <c r="H1423" s="8" t="s">
        <v>2067</v>
      </c>
      <c r="I1423" s="8" t="s">
        <v>1988</v>
      </c>
      <c r="J1423" s="9">
        <v>3.97</v>
      </c>
    </row>
    <row r="1424" spans="7:10" x14ac:dyDescent="0.3">
      <c r="G1424" s="10" t="s">
        <v>1397</v>
      </c>
      <c r="H1424" s="11" t="s">
        <v>2034</v>
      </c>
      <c r="I1424" s="11" t="s">
        <v>1993</v>
      </c>
      <c r="J1424" s="12">
        <v>4.88</v>
      </c>
    </row>
    <row r="1425" spans="7:10" x14ac:dyDescent="0.3">
      <c r="G1425" s="7" t="s">
        <v>1398</v>
      </c>
      <c r="H1425" s="8" t="s">
        <v>2034</v>
      </c>
      <c r="I1425" s="8" t="s">
        <v>2017</v>
      </c>
      <c r="J1425" s="9">
        <v>3</v>
      </c>
    </row>
    <row r="1426" spans="7:10" x14ac:dyDescent="0.3">
      <c r="G1426" s="10" t="s">
        <v>1399</v>
      </c>
      <c r="H1426" s="11" t="s">
        <v>2034</v>
      </c>
      <c r="I1426" s="11" t="s">
        <v>2031</v>
      </c>
      <c r="J1426" s="12">
        <v>2.99</v>
      </c>
    </row>
    <row r="1427" spans="7:10" x14ac:dyDescent="0.3">
      <c r="G1427" s="7" t="s">
        <v>1400</v>
      </c>
      <c r="H1427" s="8" t="s">
        <v>2034</v>
      </c>
      <c r="I1427" s="8" t="s">
        <v>2028</v>
      </c>
      <c r="J1427" s="9">
        <v>3.81</v>
      </c>
    </row>
    <row r="1428" spans="7:10" x14ac:dyDescent="0.3">
      <c r="G1428" s="10" t="s">
        <v>1401</v>
      </c>
      <c r="H1428" s="11" t="s">
        <v>2038</v>
      </c>
      <c r="I1428" s="11" t="s">
        <v>1979</v>
      </c>
      <c r="J1428" s="12">
        <v>1.26</v>
      </c>
    </row>
    <row r="1429" spans="7:10" x14ac:dyDescent="0.3">
      <c r="G1429" s="7" t="s">
        <v>1402</v>
      </c>
      <c r="H1429" s="8" t="s">
        <v>2047</v>
      </c>
      <c r="I1429" s="8" t="s">
        <v>2000</v>
      </c>
      <c r="J1429" s="9">
        <v>8.1199999999999992</v>
      </c>
    </row>
    <row r="1430" spans="7:10" x14ac:dyDescent="0.3">
      <c r="G1430" s="10" t="s">
        <v>1403</v>
      </c>
      <c r="H1430" s="11" t="s">
        <v>2034</v>
      </c>
      <c r="I1430" s="11" t="s">
        <v>2027</v>
      </c>
      <c r="J1430" s="12">
        <v>3.14</v>
      </c>
    </row>
    <row r="1431" spans="7:10" x14ac:dyDescent="0.3">
      <c r="G1431" s="7" t="s">
        <v>1404</v>
      </c>
      <c r="H1431" s="8" t="s">
        <v>2034</v>
      </c>
      <c r="I1431" s="8" t="s">
        <v>1988</v>
      </c>
      <c r="J1431" s="9">
        <v>4.5999999999999996</v>
      </c>
    </row>
    <row r="1432" spans="7:10" x14ac:dyDescent="0.3">
      <c r="G1432" s="10" t="s">
        <v>1405</v>
      </c>
      <c r="H1432" s="11" t="s">
        <v>2038</v>
      </c>
      <c r="I1432" s="11" t="s">
        <v>1987</v>
      </c>
      <c r="J1432" s="12">
        <v>5.32</v>
      </c>
    </row>
    <row r="1433" spans="7:10" x14ac:dyDescent="0.3">
      <c r="G1433" s="7" t="s">
        <v>1406</v>
      </c>
      <c r="H1433" s="8" t="s">
        <v>2034</v>
      </c>
      <c r="I1433" s="8" t="s">
        <v>2002</v>
      </c>
      <c r="J1433" s="9">
        <v>4.7</v>
      </c>
    </row>
    <row r="1434" spans="7:10" x14ac:dyDescent="0.3">
      <c r="G1434" s="10" t="s">
        <v>1407</v>
      </c>
      <c r="H1434" s="11" t="s">
        <v>2081</v>
      </c>
      <c r="I1434" s="11" t="s">
        <v>1979</v>
      </c>
      <c r="J1434" s="12">
        <v>0.89</v>
      </c>
    </row>
    <row r="1435" spans="7:10" x14ac:dyDescent="0.3">
      <c r="G1435" s="7" t="s">
        <v>1408</v>
      </c>
      <c r="H1435" s="8" t="s">
        <v>2070</v>
      </c>
      <c r="I1435" s="8" t="s">
        <v>1979</v>
      </c>
      <c r="J1435" s="9">
        <v>1.57</v>
      </c>
    </row>
    <row r="1436" spans="7:10" x14ac:dyDescent="0.3">
      <c r="G1436" s="10" t="s">
        <v>1409</v>
      </c>
      <c r="H1436" s="11" t="s">
        <v>2034</v>
      </c>
      <c r="I1436" s="11" t="s">
        <v>1979</v>
      </c>
      <c r="J1436" s="12">
        <v>1.19</v>
      </c>
    </row>
    <row r="1437" spans="7:10" x14ac:dyDescent="0.3">
      <c r="G1437" s="7" t="s">
        <v>1410</v>
      </c>
      <c r="H1437" s="8" t="s">
        <v>2034</v>
      </c>
      <c r="I1437" s="8" t="s">
        <v>1986</v>
      </c>
      <c r="J1437" s="9">
        <v>5.74</v>
      </c>
    </row>
    <row r="1438" spans="7:10" x14ac:dyDescent="0.3">
      <c r="G1438" s="10" t="s">
        <v>1411</v>
      </c>
      <c r="H1438" s="11" t="s">
        <v>2034</v>
      </c>
      <c r="I1438" s="11" t="s">
        <v>1998</v>
      </c>
      <c r="J1438" s="12">
        <v>1.1299999999999999</v>
      </c>
    </row>
    <row r="1439" spans="7:10" x14ac:dyDescent="0.3">
      <c r="G1439" s="7" t="s">
        <v>1412</v>
      </c>
      <c r="H1439" s="8" t="s">
        <v>2065</v>
      </c>
      <c r="I1439" s="8" t="s">
        <v>1987</v>
      </c>
      <c r="J1439" s="9">
        <v>3.82</v>
      </c>
    </row>
    <row r="1440" spans="7:10" x14ac:dyDescent="0.3">
      <c r="G1440" s="10" t="s">
        <v>1413</v>
      </c>
      <c r="H1440" s="11" t="s">
        <v>2034</v>
      </c>
      <c r="I1440" s="11" t="s">
        <v>2031</v>
      </c>
      <c r="J1440" s="12">
        <v>2.72</v>
      </c>
    </row>
    <row r="1441" spans="7:10" x14ac:dyDescent="0.3">
      <c r="G1441" s="7" t="s">
        <v>1414</v>
      </c>
      <c r="H1441" s="8" t="s">
        <v>1975</v>
      </c>
      <c r="I1441" s="8" t="s">
        <v>2003</v>
      </c>
      <c r="J1441" s="9">
        <v>2.86</v>
      </c>
    </row>
    <row r="1442" spans="7:10" x14ac:dyDescent="0.3">
      <c r="G1442" s="10" t="s">
        <v>1415</v>
      </c>
      <c r="H1442" s="11" t="s">
        <v>1975</v>
      </c>
      <c r="I1442" s="11" t="s">
        <v>1999</v>
      </c>
      <c r="J1442" s="12">
        <v>2.09</v>
      </c>
    </row>
    <row r="1443" spans="7:10" x14ac:dyDescent="0.3">
      <c r="G1443" s="7" t="s">
        <v>1416</v>
      </c>
      <c r="H1443" s="8" t="s">
        <v>2034</v>
      </c>
      <c r="I1443" s="8" t="s">
        <v>2015</v>
      </c>
      <c r="J1443" s="9">
        <v>7.19</v>
      </c>
    </row>
    <row r="1444" spans="7:10" x14ac:dyDescent="0.3">
      <c r="G1444" s="10" t="s">
        <v>1417</v>
      </c>
      <c r="H1444" s="11" t="s">
        <v>2061</v>
      </c>
      <c r="I1444" s="11" t="s">
        <v>1987</v>
      </c>
      <c r="J1444" s="12">
        <v>3.29</v>
      </c>
    </row>
    <row r="1445" spans="7:10" x14ac:dyDescent="0.3">
      <c r="G1445" s="7" t="s">
        <v>1418</v>
      </c>
      <c r="H1445" s="8" t="s">
        <v>2038</v>
      </c>
      <c r="I1445" s="8" t="s">
        <v>1998</v>
      </c>
      <c r="J1445" s="9">
        <v>1.05</v>
      </c>
    </row>
    <row r="1446" spans="7:10" x14ac:dyDescent="0.3">
      <c r="G1446" s="10" t="s">
        <v>1419</v>
      </c>
      <c r="H1446" s="11" t="s">
        <v>2034</v>
      </c>
      <c r="I1446" s="11" t="s">
        <v>2025</v>
      </c>
      <c r="J1446" s="12">
        <v>1.64</v>
      </c>
    </row>
    <row r="1447" spans="7:10" x14ac:dyDescent="0.3">
      <c r="G1447" s="7" t="s">
        <v>1420</v>
      </c>
      <c r="H1447" s="8" t="s">
        <v>2034</v>
      </c>
      <c r="I1447" s="8" t="s">
        <v>1979</v>
      </c>
      <c r="J1447" s="9">
        <v>0.96</v>
      </c>
    </row>
    <row r="1448" spans="7:10" x14ac:dyDescent="0.3">
      <c r="G1448" s="10" t="s">
        <v>1421</v>
      </c>
      <c r="H1448" s="11" t="s">
        <v>2038</v>
      </c>
      <c r="I1448" s="11" t="s">
        <v>2015</v>
      </c>
      <c r="J1448" s="12">
        <v>5</v>
      </c>
    </row>
    <row r="1449" spans="7:10" x14ac:dyDescent="0.3">
      <c r="G1449" s="7" t="s">
        <v>1422</v>
      </c>
      <c r="H1449" s="8" t="s">
        <v>2087</v>
      </c>
      <c r="I1449" s="8" t="s">
        <v>1979</v>
      </c>
      <c r="J1449" s="9">
        <v>0.99</v>
      </c>
    </row>
    <row r="1450" spans="7:10" x14ac:dyDescent="0.3">
      <c r="G1450" s="10" t="s">
        <v>1423</v>
      </c>
      <c r="H1450" s="11" t="s">
        <v>2038</v>
      </c>
      <c r="I1450" s="11" t="s">
        <v>1988</v>
      </c>
      <c r="J1450" s="12">
        <v>3.63</v>
      </c>
    </row>
    <row r="1451" spans="7:10" x14ac:dyDescent="0.3">
      <c r="G1451" s="7" t="s">
        <v>1424</v>
      </c>
      <c r="H1451" s="8" t="s">
        <v>2043</v>
      </c>
      <c r="I1451" s="8" t="s">
        <v>1998</v>
      </c>
      <c r="J1451" s="9">
        <v>3.22</v>
      </c>
    </row>
    <row r="1452" spans="7:10" x14ac:dyDescent="0.3">
      <c r="G1452" s="10" t="s">
        <v>1425</v>
      </c>
      <c r="H1452" s="11" t="s">
        <v>2038</v>
      </c>
      <c r="I1452" s="11" t="s">
        <v>1979</v>
      </c>
      <c r="J1452" s="12">
        <v>0.95</v>
      </c>
    </row>
    <row r="1453" spans="7:10" x14ac:dyDescent="0.3">
      <c r="G1453" s="7" t="s">
        <v>1426</v>
      </c>
      <c r="H1453" s="8" t="s">
        <v>2062</v>
      </c>
      <c r="I1453" s="8" t="s">
        <v>2001</v>
      </c>
      <c r="J1453" s="9">
        <v>5.6</v>
      </c>
    </row>
    <row r="1454" spans="7:10" x14ac:dyDescent="0.3">
      <c r="G1454" s="10" t="s">
        <v>1427</v>
      </c>
      <c r="H1454" s="11" t="s">
        <v>2038</v>
      </c>
      <c r="I1454" s="11" t="s">
        <v>2027</v>
      </c>
      <c r="J1454" s="12">
        <v>5.22</v>
      </c>
    </row>
    <row r="1455" spans="7:10" x14ac:dyDescent="0.3">
      <c r="G1455" s="7" t="s">
        <v>1428</v>
      </c>
      <c r="H1455" s="8" t="s">
        <v>2065</v>
      </c>
      <c r="I1455" s="8" t="s">
        <v>2027</v>
      </c>
      <c r="J1455" s="9">
        <v>6.75</v>
      </c>
    </row>
    <row r="1456" spans="7:10" x14ac:dyDescent="0.3">
      <c r="G1456" s="10" t="s">
        <v>1429</v>
      </c>
      <c r="H1456" s="11" t="s">
        <v>2051</v>
      </c>
      <c r="I1456" s="11" t="s">
        <v>2005</v>
      </c>
      <c r="J1456" s="12">
        <v>4.21</v>
      </c>
    </row>
    <row r="1457" spans="7:10" x14ac:dyDescent="0.3">
      <c r="G1457" s="7" t="s">
        <v>1430</v>
      </c>
      <c r="H1457" s="8" t="s">
        <v>2052</v>
      </c>
      <c r="I1457" s="8" t="s">
        <v>1998</v>
      </c>
      <c r="J1457" s="9">
        <v>0.96</v>
      </c>
    </row>
    <row r="1458" spans="7:10" x14ac:dyDescent="0.3">
      <c r="G1458" s="10" t="s">
        <v>1431</v>
      </c>
      <c r="H1458" s="11" t="s">
        <v>2034</v>
      </c>
      <c r="I1458" s="11" t="s">
        <v>1979</v>
      </c>
      <c r="J1458" s="12">
        <v>1.21</v>
      </c>
    </row>
    <row r="1459" spans="7:10" x14ac:dyDescent="0.3">
      <c r="G1459" s="7" t="s">
        <v>1432</v>
      </c>
      <c r="H1459" s="8" t="s">
        <v>2034</v>
      </c>
      <c r="I1459" s="8" t="s">
        <v>2005</v>
      </c>
      <c r="J1459" s="9">
        <v>3.05</v>
      </c>
    </row>
    <row r="1460" spans="7:10" x14ac:dyDescent="0.3">
      <c r="G1460" s="10" t="s">
        <v>1433</v>
      </c>
      <c r="H1460" s="11" t="s">
        <v>2035</v>
      </c>
      <c r="I1460" s="11" t="s">
        <v>2002</v>
      </c>
      <c r="J1460" s="12">
        <v>2.42</v>
      </c>
    </row>
    <row r="1461" spans="7:10" x14ac:dyDescent="0.3">
      <c r="G1461" s="7" t="s">
        <v>1434</v>
      </c>
      <c r="H1461" s="8" t="s">
        <v>2037</v>
      </c>
      <c r="I1461" s="8" t="s">
        <v>1988</v>
      </c>
      <c r="J1461" s="9">
        <v>7.48</v>
      </c>
    </row>
    <row r="1462" spans="7:10" x14ac:dyDescent="0.3">
      <c r="G1462" s="10" t="s">
        <v>1435</v>
      </c>
      <c r="H1462" s="11" t="s">
        <v>2065</v>
      </c>
      <c r="I1462" s="11" t="s">
        <v>2027</v>
      </c>
      <c r="J1462" s="12">
        <v>3.68</v>
      </c>
    </row>
    <row r="1463" spans="7:10" x14ac:dyDescent="0.3">
      <c r="G1463" s="7" t="s">
        <v>1436</v>
      </c>
      <c r="H1463" s="8" t="s">
        <v>2070</v>
      </c>
      <c r="I1463" s="8" t="s">
        <v>1979</v>
      </c>
      <c r="J1463" s="9">
        <v>0.81</v>
      </c>
    </row>
    <row r="1464" spans="7:10" x14ac:dyDescent="0.3">
      <c r="G1464" s="10" t="s">
        <v>1437</v>
      </c>
      <c r="H1464" s="11" t="s">
        <v>2053</v>
      </c>
      <c r="I1464" s="11" t="s">
        <v>2000</v>
      </c>
      <c r="J1464" s="12">
        <v>9.84</v>
      </c>
    </row>
    <row r="1465" spans="7:10" x14ac:dyDescent="0.3">
      <c r="G1465" s="7" t="s">
        <v>1438</v>
      </c>
      <c r="H1465" s="8" t="s">
        <v>2034</v>
      </c>
      <c r="I1465" s="8" t="s">
        <v>2027</v>
      </c>
      <c r="J1465" s="9">
        <v>11.34</v>
      </c>
    </row>
    <row r="1466" spans="7:10" x14ac:dyDescent="0.3">
      <c r="G1466" s="10" t="s">
        <v>1439</v>
      </c>
      <c r="H1466" s="11" t="s">
        <v>2034</v>
      </c>
      <c r="I1466" s="11" t="s">
        <v>2026</v>
      </c>
      <c r="J1466" s="12">
        <v>1.46</v>
      </c>
    </row>
    <row r="1467" spans="7:10" x14ac:dyDescent="0.3">
      <c r="G1467" s="7" t="s">
        <v>1440</v>
      </c>
      <c r="H1467" s="8" t="s">
        <v>2034</v>
      </c>
      <c r="I1467" s="8" t="s">
        <v>2023</v>
      </c>
      <c r="J1467" s="9">
        <v>5.96</v>
      </c>
    </row>
    <row r="1468" spans="7:10" x14ac:dyDescent="0.3">
      <c r="G1468" s="10" t="s">
        <v>1441</v>
      </c>
      <c r="H1468" s="11" t="s">
        <v>2034</v>
      </c>
      <c r="I1468" s="11" t="s">
        <v>2004</v>
      </c>
      <c r="J1468" s="12">
        <v>5.07</v>
      </c>
    </row>
    <row r="1469" spans="7:10" x14ac:dyDescent="0.3">
      <c r="G1469" s="7" t="s">
        <v>1442</v>
      </c>
      <c r="H1469" s="8" t="s">
        <v>2080</v>
      </c>
      <c r="I1469" s="8" t="s">
        <v>2015</v>
      </c>
      <c r="J1469" s="9">
        <v>1.94</v>
      </c>
    </row>
    <row r="1470" spans="7:10" x14ac:dyDescent="0.3">
      <c r="G1470" s="10" t="s">
        <v>1443</v>
      </c>
      <c r="H1470" s="11" t="s">
        <v>2034</v>
      </c>
      <c r="I1470" s="11" t="s">
        <v>2023</v>
      </c>
      <c r="J1470" s="12">
        <v>2.78</v>
      </c>
    </row>
    <row r="1471" spans="7:10" x14ac:dyDescent="0.3">
      <c r="G1471" s="7" t="s">
        <v>1444</v>
      </c>
      <c r="H1471" s="8" t="s">
        <v>2034</v>
      </c>
      <c r="I1471" s="8" t="s">
        <v>2023</v>
      </c>
      <c r="J1471" s="9">
        <v>5.62</v>
      </c>
    </row>
    <row r="1472" spans="7:10" x14ac:dyDescent="0.3">
      <c r="G1472" s="10" t="s">
        <v>1445</v>
      </c>
      <c r="H1472" s="11" t="s">
        <v>2034</v>
      </c>
      <c r="I1472" s="11" t="s">
        <v>2028</v>
      </c>
      <c r="J1472" s="12">
        <v>2.83</v>
      </c>
    </row>
    <row r="1473" spans="7:10" x14ac:dyDescent="0.3">
      <c r="G1473" s="7" t="s">
        <v>1446</v>
      </c>
      <c r="H1473" s="8" t="s">
        <v>2042</v>
      </c>
      <c r="I1473" s="8" t="s">
        <v>1979</v>
      </c>
      <c r="J1473" s="9">
        <v>2.09</v>
      </c>
    </row>
    <row r="1474" spans="7:10" x14ac:dyDescent="0.3">
      <c r="G1474" s="10" t="s">
        <v>1447</v>
      </c>
      <c r="H1474" s="11" t="s">
        <v>2057</v>
      </c>
      <c r="I1474" s="11" t="s">
        <v>2002</v>
      </c>
      <c r="J1474" s="12">
        <v>1.85</v>
      </c>
    </row>
    <row r="1475" spans="7:10" x14ac:dyDescent="0.3">
      <c r="G1475" s="7" t="s">
        <v>1448</v>
      </c>
      <c r="H1475" s="8" t="s">
        <v>2034</v>
      </c>
      <c r="I1475" s="8" t="s">
        <v>2031</v>
      </c>
      <c r="J1475" s="9">
        <v>3.04</v>
      </c>
    </row>
    <row r="1476" spans="7:10" x14ac:dyDescent="0.3">
      <c r="G1476" s="10" t="s">
        <v>1449</v>
      </c>
      <c r="H1476" s="11" t="s">
        <v>2045</v>
      </c>
      <c r="I1476" s="11" t="s">
        <v>2031</v>
      </c>
      <c r="J1476" s="12">
        <v>0.73</v>
      </c>
    </row>
    <row r="1477" spans="7:10" x14ac:dyDescent="0.3">
      <c r="G1477" s="7" t="s">
        <v>1450</v>
      </c>
      <c r="H1477" s="8" t="s">
        <v>2074</v>
      </c>
      <c r="I1477" s="8" t="s">
        <v>2028</v>
      </c>
      <c r="J1477" s="9">
        <v>1.68</v>
      </c>
    </row>
    <row r="1478" spans="7:10" x14ac:dyDescent="0.3">
      <c r="G1478" s="10" t="s">
        <v>1451</v>
      </c>
      <c r="H1478" s="11" t="s">
        <v>2039</v>
      </c>
      <c r="I1478" s="11" t="s">
        <v>1988</v>
      </c>
      <c r="J1478" s="12">
        <v>7.17</v>
      </c>
    </row>
    <row r="1479" spans="7:10" x14ac:dyDescent="0.3">
      <c r="G1479" s="7" t="s">
        <v>1452</v>
      </c>
      <c r="H1479" s="8" t="s">
        <v>2038</v>
      </c>
      <c r="I1479" s="8" t="s">
        <v>1997</v>
      </c>
      <c r="J1479" s="9">
        <v>2.1800000000000002</v>
      </c>
    </row>
    <row r="1480" spans="7:10" x14ac:dyDescent="0.3">
      <c r="G1480" s="10" t="s">
        <v>1453</v>
      </c>
      <c r="H1480" s="11" t="s">
        <v>2034</v>
      </c>
      <c r="I1480" s="11" t="s">
        <v>1979</v>
      </c>
      <c r="J1480" s="12">
        <v>1.04</v>
      </c>
    </row>
    <row r="1481" spans="7:10" x14ac:dyDescent="0.3">
      <c r="G1481" s="7" t="s">
        <v>1454</v>
      </c>
      <c r="H1481" s="8" t="s">
        <v>2050</v>
      </c>
      <c r="I1481" s="8" t="s">
        <v>2015</v>
      </c>
      <c r="J1481" s="9">
        <v>7.76</v>
      </c>
    </row>
    <row r="1482" spans="7:10" x14ac:dyDescent="0.3">
      <c r="G1482" s="10" t="s">
        <v>1455</v>
      </c>
      <c r="H1482" s="11" t="s">
        <v>2047</v>
      </c>
      <c r="I1482" s="11" t="s">
        <v>2027</v>
      </c>
      <c r="J1482" s="12">
        <v>1.4</v>
      </c>
    </row>
    <row r="1483" spans="7:10" x14ac:dyDescent="0.3">
      <c r="G1483" s="7" t="s">
        <v>1456</v>
      </c>
      <c r="H1483" s="8" t="s">
        <v>2038</v>
      </c>
      <c r="I1483" s="8" t="s">
        <v>1988</v>
      </c>
      <c r="J1483" s="9">
        <v>2.85</v>
      </c>
    </row>
    <row r="1484" spans="7:10" x14ac:dyDescent="0.3">
      <c r="G1484" s="10" t="s">
        <v>1457</v>
      </c>
      <c r="H1484" s="11" t="s">
        <v>2034</v>
      </c>
      <c r="I1484" s="11" t="s">
        <v>1986</v>
      </c>
      <c r="J1484" s="12">
        <v>3.34</v>
      </c>
    </row>
    <row r="1485" spans="7:10" x14ac:dyDescent="0.3">
      <c r="G1485" s="7" t="s">
        <v>1458</v>
      </c>
      <c r="H1485" s="8" t="s">
        <v>2034</v>
      </c>
      <c r="I1485" s="8" t="s">
        <v>2031</v>
      </c>
      <c r="J1485" s="9">
        <v>3.01</v>
      </c>
    </row>
    <row r="1486" spans="7:10" x14ac:dyDescent="0.3">
      <c r="G1486" s="10" t="s">
        <v>1459</v>
      </c>
      <c r="H1486" s="11" t="s">
        <v>2034</v>
      </c>
      <c r="I1486" s="11" t="s">
        <v>1998</v>
      </c>
      <c r="J1486" s="12">
        <v>1.27</v>
      </c>
    </row>
    <row r="1487" spans="7:10" x14ac:dyDescent="0.3">
      <c r="G1487" s="7" t="s">
        <v>1460</v>
      </c>
      <c r="H1487" s="8" t="s">
        <v>2039</v>
      </c>
      <c r="I1487" s="8" t="s">
        <v>2004</v>
      </c>
      <c r="J1487" s="9">
        <v>1.81</v>
      </c>
    </row>
    <row r="1488" spans="7:10" x14ac:dyDescent="0.3">
      <c r="G1488" s="10" t="s">
        <v>1461</v>
      </c>
      <c r="H1488" s="11" t="s">
        <v>2043</v>
      </c>
      <c r="I1488" s="11" t="s">
        <v>1993</v>
      </c>
      <c r="J1488" s="12">
        <v>5.09</v>
      </c>
    </row>
    <row r="1489" spans="7:10" x14ac:dyDescent="0.3">
      <c r="G1489" s="7" t="s">
        <v>1462</v>
      </c>
      <c r="H1489" s="8" t="s">
        <v>2035</v>
      </c>
      <c r="I1489" s="8" t="s">
        <v>2029</v>
      </c>
      <c r="J1489" s="9">
        <v>7.91</v>
      </c>
    </row>
    <row r="1490" spans="7:10" x14ac:dyDescent="0.3">
      <c r="G1490" s="10" t="s">
        <v>1463</v>
      </c>
      <c r="H1490" s="11" t="s">
        <v>2038</v>
      </c>
      <c r="I1490" s="11" t="s">
        <v>1998</v>
      </c>
      <c r="J1490" s="12">
        <v>2.9</v>
      </c>
    </row>
    <row r="1491" spans="7:10" x14ac:dyDescent="0.3">
      <c r="G1491" s="7" t="s">
        <v>1464</v>
      </c>
      <c r="H1491" s="8" t="s">
        <v>1975</v>
      </c>
      <c r="I1491" s="8" t="s">
        <v>2031</v>
      </c>
      <c r="J1491" s="9">
        <v>3.7</v>
      </c>
    </row>
    <row r="1492" spans="7:10" x14ac:dyDescent="0.3">
      <c r="G1492" s="10" t="s">
        <v>1465</v>
      </c>
      <c r="H1492" s="11" t="s">
        <v>2035</v>
      </c>
      <c r="I1492" s="11" t="s">
        <v>2005</v>
      </c>
      <c r="J1492" s="12">
        <v>1.88</v>
      </c>
    </row>
    <row r="1493" spans="7:10" x14ac:dyDescent="0.3">
      <c r="G1493" s="7" t="s">
        <v>1466</v>
      </c>
      <c r="H1493" s="8" t="s">
        <v>2034</v>
      </c>
      <c r="I1493" s="8" t="s">
        <v>1993</v>
      </c>
      <c r="J1493" s="9">
        <v>6.04</v>
      </c>
    </row>
    <row r="1494" spans="7:10" x14ac:dyDescent="0.3">
      <c r="G1494" s="10" t="s">
        <v>1467</v>
      </c>
      <c r="H1494" s="11" t="s">
        <v>2049</v>
      </c>
      <c r="I1494" s="11" t="s">
        <v>2022</v>
      </c>
      <c r="J1494" s="12">
        <v>8.52</v>
      </c>
    </row>
    <row r="1495" spans="7:10" x14ac:dyDescent="0.3">
      <c r="G1495" s="7" t="s">
        <v>1468</v>
      </c>
      <c r="H1495" s="8" t="s">
        <v>2041</v>
      </c>
      <c r="I1495" s="8" t="s">
        <v>1998</v>
      </c>
      <c r="J1495" s="9">
        <v>2.69</v>
      </c>
    </row>
    <row r="1496" spans="7:10" x14ac:dyDescent="0.3">
      <c r="G1496" s="10" t="s">
        <v>1469</v>
      </c>
      <c r="H1496" s="11" t="s">
        <v>2037</v>
      </c>
      <c r="I1496" s="11" t="s">
        <v>1979</v>
      </c>
      <c r="J1496" s="12">
        <v>0.82</v>
      </c>
    </row>
    <row r="1497" spans="7:10" x14ac:dyDescent="0.3">
      <c r="G1497" s="7" t="s">
        <v>1470</v>
      </c>
      <c r="H1497" s="8" t="s">
        <v>2034</v>
      </c>
      <c r="I1497" s="8" t="s">
        <v>2025</v>
      </c>
      <c r="J1497" s="9">
        <v>1.1200000000000001</v>
      </c>
    </row>
    <row r="1498" spans="7:10" x14ac:dyDescent="0.3">
      <c r="G1498" s="10" t="s">
        <v>1471</v>
      </c>
      <c r="H1498" s="11" t="s">
        <v>2034</v>
      </c>
      <c r="I1498" s="11" t="s">
        <v>2025</v>
      </c>
      <c r="J1498" s="12">
        <v>2.38</v>
      </c>
    </row>
    <row r="1499" spans="7:10" x14ac:dyDescent="0.3">
      <c r="G1499" s="7" t="s">
        <v>1472</v>
      </c>
      <c r="H1499" s="8" t="s">
        <v>2034</v>
      </c>
      <c r="I1499" s="8" t="s">
        <v>2015</v>
      </c>
      <c r="J1499" s="9">
        <v>6.71</v>
      </c>
    </row>
    <row r="1500" spans="7:10" x14ac:dyDescent="0.3">
      <c r="G1500" s="10" t="s">
        <v>1473</v>
      </c>
      <c r="H1500" s="11" t="s">
        <v>2043</v>
      </c>
      <c r="I1500" s="11" t="s">
        <v>2029</v>
      </c>
      <c r="J1500" s="12">
        <v>6.59</v>
      </c>
    </row>
    <row r="1501" spans="7:10" x14ac:dyDescent="0.3">
      <c r="G1501" s="7" t="s">
        <v>1474</v>
      </c>
      <c r="H1501" s="8" t="s">
        <v>2034</v>
      </c>
      <c r="I1501" s="8" t="s">
        <v>2023</v>
      </c>
      <c r="J1501" s="9">
        <v>4.26</v>
      </c>
    </row>
    <row r="1502" spans="7:10" x14ac:dyDescent="0.3">
      <c r="G1502" s="10" t="s">
        <v>1475</v>
      </c>
      <c r="H1502" s="11" t="s">
        <v>2043</v>
      </c>
      <c r="I1502" s="11" t="s">
        <v>1993</v>
      </c>
      <c r="J1502" s="12">
        <v>4.6900000000000004</v>
      </c>
    </row>
    <row r="1503" spans="7:10" x14ac:dyDescent="0.3">
      <c r="G1503" s="7" t="s">
        <v>1476</v>
      </c>
      <c r="H1503" s="8" t="s">
        <v>2034</v>
      </c>
      <c r="I1503" s="8" t="s">
        <v>2022</v>
      </c>
      <c r="J1503" s="9">
        <v>1.76</v>
      </c>
    </row>
    <row r="1504" spans="7:10" x14ac:dyDescent="0.3">
      <c r="G1504" s="10" t="s">
        <v>1477</v>
      </c>
      <c r="H1504" s="11" t="s">
        <v>2039</v>
      </c>
      <c r="I1504" s="11" t="s">
        <v>2005</v>
      </c>
      <c r="J1504" s="12">
        <v>3.77</v>
      </c>
    </row>
    <row r="1505" spans="7:10" x14ac:dyDescent="0.3">
      <c r="G1505" s="7" t="s">
        <v>1478</v>
      </c>
      <c r="H1505" s="8" t="s">
        <v>2038</v>
      </c>
      <c r="I1505" s="8" t="s">
        <v>2029</v>
      </c>
      <c r="J1505" s="9">
        <v>14.21</v>
      </c>
    </row>
    <row r="1506" spans="7:10" x14ac:dyDescent="0.3">
      <c r="G1506" s="10" t="s">
        <v>1479</v>
      </c>
      <c r="H1506" s="11" t="s">
        <v>2034</v>
      </c>
      <c r="I1506" s="11" t="s">
        <v>2027</v>
      </c>
      <c r="J1506" s="12">
        <v>10.210000000000001</v>
      </c>
    </row>
    <row r="1507" spans="7:10" x14ac:dyDescent="0.3">
      <c r="G1507" s="7" t="s">
        <v>1480</v>
      </c>
      <c r="H1507" s="8" t="s">
        <v>2057</v>
      </c>
      <c r="I1507" s="8" t="s">
        <v>2030</v>
      </c>
      <c r="J1507" s="9">
        <v>7.78</v>
      </c>
    </row>
    <row r="1508" spans="7:10" x14ac:dyDescent="0.3">
      <c r="G1508" s="10" t="s">
        <v>1481</v>
      </c>
      <c r="H1508" s="11" t="s">
        <v>2034</v>
      </c>
      <c r="I1508" s="11" t="s">
        <v>2026</v>
      </c>
      <c r="J1508" s="12">
        <v>1.61</v>
      </c>
    </row>
    <row r="1509" spans="7:10" x14ac:dyDescent="0.3">
      <c r="G1509" s="7" t="s">
        <v>1482</v>
      </c>
      <c r="H1509" s="8" t="s">
        <v>2034</v>
      </c>
      <c r="I1509" s="8" t="s">
        <v>2002</v>
      </c>
      <c r="J1509" s="9">
        <v>1.77</v>
      </c>
    </row>
    <row r="1510" spans="7:10" x14ac:dyDescent="0.3">
      <c r="G1510" s="10" t="s">
        <v>1483</v>
      </c>
      <c r="H1510" s="11" t="s">
        <v>2038</v>
      </c>
      <c r="I1510" s="11" t="s">
        <v>1998</v>
      </c>
      <c r="J1510" s="12">
        <v>4.7300000000000004</v>
      </c>
    </row>
    <row r="1511" spans="7:10" x14ac:dyDescent="0.3">
      <c r="G1511" s="7" t="s">
        <v>1484</v>
      </c>
      <c r="H1511" s="8" t="s">
        <v>1975</v>
      </c>
      <c r="I1511" s="8" t="s">
        <v>1998</v>
      </c>
      <c r="J1511" s="9">
        <v>6.5</v>
      </c>
    </row>
    <row r="1512" spans="7:10" x14ac:dyDescent="0.3">
      <c r="G1512" s="10" t="s">
        <v>1485</v>
      </c>
      <c r="H1512" s="11" t="s">
        <v>2063</v>
      </c>
      <c r="I1512" s="11" t="s">
        <v>2017</v>
      </c>
      <c r="J1512" s="12">
        <v>2.23</v>
      </c>
    </row>
    <row r="1513" spans="7:10" x14ac:dyDescent="0.3">
      <c r="G1513" s="7" t="s">
        <v>1486</v>
      </c>
      <c r="H1513" s="8" t="s">
        <v>2037</v>
      </c>
      <c r="I1513" s="8" t="s">
        <v>2005</v>
      </c>
      <c r="J1513" s="9">
        <v>4.41</v>
      </c>
    </row>
    <row r="1514" spans="7:10" x14ac:dyDescent="0.3">
      <c r="G1514" s="10" t="s">
        <v>1487</v>
      </c>
      <c r="H1514" s="11" t="s">
        <v>2042</v>
      </c>
      <c r="I1514" s="11" t="s">
        <v>2022</v>
      </c>
      <c r="J1514" s="12">
        <v>9.0299999999999994</v>
      </c>
    </row>
    <row r="1515" spans="7:10" x14ac:dyDescent="0.3">
      <c r="G1515" s="7" t="s">
        <v>1488</v>
      </c>
      <c r="H1515" s="8" t="s">
        <v>2073</v>
      </c>
      <c r="I1515" s="8" t="s">
        <v>2027</v>
      </c>
      <c r="J1515" s="9">
        <v>1.03</v>
      </c>
    </row>
    <row r="1516" spans="7:10" x14ac:dyDescent="0.3">
      <c r="G1516" s="10" t="s">
        <v>1489</v>
      </c>
      <c r="H1516" s="11" t="s">
        <v>2070</v>
      </c>
      <c r="I1516" s="11" t="s">
        <v>2022</v>
      </c>
      <c r="J1516" s="12">
        <v>7.27</v>
      </c>
    </row>
    <row r="1517" spans="7:10" x14ac:dyDescent="0.3">
      <c r="G1517" s="7" t="s">
        <v>1490</v>
      </c>
      <c r="H1517" s="8" t="s">
        <v>2038</v>
      </c>
      <c r="I1517" s="8" t="s">
        <v>1988</v>
      </c>
      <c r="J1517" s="9">
        <v>4.09</v>
      </c>
    </row>
    <row r="1518" spans="7:10" x14ac:dyDescent="0.3">
      <c r="G1518" s="10" t="s">
        <v>1491</v>
      </c>
      <c r="H1518" s="11" t="s">
        <v>2034</v>
      </c>
      <c r="I1518" s="11" t="s">
        <v>2005</v>
      </c>
      <c r="J1518" s="12">
        <v>1.62</v>
      </c>
    </row>
    <row r="1519" spans="7:10" x14ac:dyDescent="0.3">
      <c r="G1519" s="7" t="s">
        <v>1492</v>
      </c>
      <c r="H1519" s="8" t="s">
        <v>2051</v>
      </c>
      <c r="I1519" s="8" t="s">
        <v>1979</v>
      </c>
      <c r="J1519" s="9">
        <v>1.91</v>
      </c>
    </row>
    <row r="1520" spans="7:10" x14ac:dyDescent="0.3">
      <c r="G1520" s="10" t="s">
        <v>1493</v>
      </c>
      <c r="H1520" s="11" t="s">
        <v>2038</v>
      </c>
      <c r="I1520" s="11" t="s">
        <v>2002</v>
      </c>
      <c r="J1520" s="12">
        <v>11.15</v>
      </c>
    </row>
    <row r="1521" spans="7:10" x14ac:dyDescent="0.3">
      <c r="G1521" s="7" t="s">
        <v>1494</v>
      </c>
      <c r="H1521" s="8" t="s">
        <v>2034</v>
      </c>
      <c r="I1521" s="8" t="s">
        <v>2031</v>
      </c>
      <c r="J1521" s="9">
        <v>3.46</v>
      </c>
    </row>
    <row r="1522" spans="7:10" x14ac:dyDescent="0.3">
      <c r="G1522" s="10" t="s">
        <v>1495</v>
      </c>
      <c r="H1522" s="11" t="s">
        <v>2035</v>
      </c>
      <c r="I1522" s="11" t="s">
        <v>2003</v>
      </c>
      <c r="J1522" s="12">
        <v>1.39</v>
      </c>
    </row>
    <row r="1523" spans="7:10" x14ac:dyDescent="0.3">
      <c r="G1523" s="7" t="s">
        <v>1496</v>
      </c>
      <c r="H1523" s="8" t="s">
        <v>2034</v>
      </c>
      <c r="I1523" s="8" t="s">
        <v>1998</v>
      </c>
      <c r="J1523" s="9">
        <v>0.93</v>
      </c>
    </row>
    <row r="1524" spans="7:10" x14ac:dyDescent="0.3">
      <c r="G1524" s="10" t="s">
        <v>1497</v>
      </c>
      <c r="H1524" s="11" t="s">
        <v>2034</v>
      </c>
      <c r="I1524" s="11" t="s">
        <v>1998</v>
      </c>
      <c r="J1524" s="12">
        <v>0.68</v>
      </c>
    </row>
    <row r="1525" spans="7:10" x14ac:dyDescent="0.3">
      <c r="G1525" s="7" t="s">
        <v>1498</v>
      </c>
      <c r="H1525" s="8" t="s">
        <v>2034</v>
      </c>
      <c r="I1525" s="8" t="s">
        <v>1993</v>
      </c>
      <c r="J1525" s="9">
        <v>4.01</v>
      </c>
    </row>
    <row r="1526" spans="7:10" x14ac:dyDescent="0.3">
      <c r="G1526" s="10" t="s">
        <v>1499</v>
      </c>
      <c r="H1526" s="11" t="s">
        <v>2034</v>
      </c>
      <c r="I1526" s="11" t="s">
        <v>2027</v>
      </c>
      <c r="J1526" s="12">
        <v>20.61</v>
      </c>
    </row>
    <row r="1527" spans="7:10" x14ac:dyDescent="0.3">
      <c r="G1527" s="7" t="s">
        <v>1500</v>
      </c>
      <c r="H1527" s="8" t="s">
        <v>2038</v>
      </c>
      <c r="I1527" s="8" t="s">
        <v>1998</v>
      </c>
      <c r="J1527" s="9">
        <v>0.34</v>
      </c>
    </row>
    <row r="1528" spans="7:10" x14ac:dyDescent="0.3">
      <c r="G1528" s="10" t="s">
        <v>1501</v>
      </c>
      <c r="H1528" s="11" t="s">
        <v>2061</v>
      </c>
      <c r="I1528" s="11" t="s">
        <v>1987</v>
      </c>
      <c r="J1528" s="12">
        <v>2.1800000000000002</v>
      </c>
    </row>
    <row r="1529" spans="7:10" x14ac:dyDescent="0.3">
      <c r="G1529" s="7" t="s">
        <v>1502</v>
      </c>
      <c r="H1529" s="8" t="s">
        <v>2063</v>
      </c>
      <c r="I1529" s="8" t="s">
        <v>1998</v>
      </c>
      <c r="J1529" s="9">
        <v>3.02</v>
      </c>
    </row>
    <row r="1530" spans="7:10" x14ac:dyDescent="0.3">
      <c r="G1530" s="10" t="s">
        <v>1503</v>
      </c>
      <c r="H1530" s="11" t="s">
        <v>2074</v>
      </c>
      <c r="I1530" s="11" t="s">
        <v>1992</v>
      </c>
      <c r="J1530" s="12">
        <v>4.91</v>
      </c>
    </row>
    <row r="1531" spans="7:10" x14ac:dyDescent="0.3">
      <c r="G1531" s="7" t="s">
        <v>1504</v>
      </c>
      <c r="H1531" s="8" t="s">
        <v>2034</v>
      </c>
      <c r="I1531" s="8" t="s">
        <v>2023</v>
      </c>
      <c r="J1531" s="9">
        <v>9.16</v>
      </c>
    </row>
    <row r="1532" spans="7:10" x14ac:dyDescent="0.3">
      <c r="G1532" s="10" t="s">
        <v>1505</v>
      </c>
      <c r="H1532" s="11" t="s">
        <v>2043</v>
      </c>
      <c r="I1532" s="11" t="s">
        <v>1987</v>
      </c>
      <c r="J1532" s="12">
        <v>4.5</v>
      </c>
    </row>
    <row r="1533" spans="7:10" x14ac:dyDescent="0.3">
      <c r="G1533" s="7" t="s">
        <v>1506</v>
      </c>
      <c r="H1533" s="8" t="s">
        <v>2053</v>
      </c>
      <c r="I1533" s="8" t="s">
        <v>2015</v>
      </c>
      <c r="J1533" s="9">
        <v>6.56</v>
      </c>
    </row>
    <row r="1534" spans="7:10" x14ac:dyDescent="0.3">
      <c r="G1534" s="10" t="s">
        <v>1507</v>
      </c>
      <c r="H1534" s="11" t="s">
        <v>2061</v>
      </c>
      <c r="I1534" s="11" t="s">
        <v>1979</v>
      </c>
      <c r="J1534" s="12">
        <v>0.86</v>
      </c>
    </row>
    <row r="1535" spans="7:10" x14ac:dyDescent="0.3">
      <c r="G1535" s="7" t="s">
        <v>1508</v>
      </c>
      <c r="H1535" s="8" t="s">
        <v>2065</v>
      </c>
      <c r="I1535" s="8" t="s">
        <v>2028</v>
      </c>
      <c r="J1535" s="9">
        <v>1.74</v>
      </c>
    </row>
    <row r="1536" spans="7:10" x14ac:dyDescent="0.3">
      <c r="G1536" s="10" t="s">
        <v>1509</v>
      </c>
      <c r="H1536" s="11" t="s">
        <v>2034</v>
      </c>
      <c r="I1536" s="11" t="s">
        <v>2017</v>
      </c>
      <c r="J1536" s="12">
        <v>4.32</v>
      </c>
    </row>
    <row r="1537" spans="7:10" x14ac:dyDescent="0.3">
      <c r="G1537" s="7" t="s">
        <v>1510</v>
      </c>
      <c r="H1537" s="8" t="s">
        <v>2034</v>
      </c>
      <c r="I1537" s="8" t="s">
        <v>1993</v>
      </c>
      <c r="J1537" s="9">
        <v>6.09</v>
      </c>
    </row>
    <row r="1538" spans="7:10" x14ac:dyDescent="0.3">
      <c r="G1538" s="10" t="s">
        <v>1511</v>
      </c>
      <c r="H1538" s="11" t="s">
        <v>2034</v>
      </c>
      <c r="I1538" s="11" t="s">
        <v>1979</v>
      </c>
      <c r="J1538" s="12">
        <v>0.74</v>
      </c>
    </row>
    <row r="1539" spans="7:10" x14ac:dyDescent="0.3">
      <c r="G1539" s="7" t="s">
        <v>1512</v>
      </c>
      <c r="H1539" s="8" t="s">
        <v>2034</v>
      </c>
      <c r="I1539" s="8" t="s">
        <v>1979</v>
      </c>
      <c r="J1539" s="9">
        <v>0.9</v>
      </c>
    </row>
    <row r="1540" spans="7:10" x14ac:dyDescent="0.3">
      <c r="G1540" s="10" t="s">
        <v>1513</v>
      </c>
      <c r="H1540" s="11" t="s">
        <v>2069</v>
      </c>
      <c r="I1540" s="11" t="s">
        <v>2030</v>
      </c>
      <c r="J1540" s="12">
        <v>0.76</v>
      </c>
    </row>
    <row r="1541" spans="7:10" x14ac:dyDescent="0.3">
      <c r="G1541" s="7" t="s">
        <v>1514</v>
      </c>
      <c r="H1541" s="8" t="s">
        <v>2034</v>
      </c>
      <c r="I1541" s="8" t="s">
        <v>2031</v>
      </c>
      <c r="J1541" s="9">
        <v>6.98</v>
      </c>
    </row>
    <row r="1542" spans="7:10" x14ac:dyDescent="0.3">
      <c r="G1542" s="10" t="s">
        <v>1515</v>
      </c>
      <c r="H1542" s="11" t="s">
        <v>2040</v>
      </c>
      <c r="I1542" s="11" t="s">
        <v>1979</v>
      </c>
      <c r="J1542" s="12">
        <v>1.05</v>
      </c>
    </row>
    <row r="1543" spans="7:10" x14ac:dyDescent="0.3">
      <c r="G1543" s="7" t="s">
        <v>1516</v>
      </c>
      <c r="H1543" s="8" t="s">
        <v>2047</v>
      </c>
      <c r="I1543" s="8" t="s">
        <v>2023</v>
      </c>
      <c r="J1543" s="9">
        <v>9.59</v>
      </c>
    </row>
    <row r="1544" spans="7:10" x14ac:dyDescent="0.3">
      <c r="G1544" s="10" t="s">
        <v>1517</v>
      </c>
      <c r="H1544" s="11" t="s">
        <v>2065</v>
      </c>
      <c r="I1544" s="11" t="s">
        <v>2027</v>
      </c>
      <c r="J1544" s="12">
        <v>7.23</v>
      </c>
    </row>
    <row r="1545" spans="7:10" x14ac:dyDescent="0.3">
      <c r="G1545" s="7" t="s">
        <v>1518</v>
      </c>
      <c r="H1545" s="8" t="s">
        <v>2034</v>
      </c>
      <c r="I1545" s="8" t="s">
        <v>2022</v>
      </c>
      <c r="J1545" s="9">
        <v>1.23</v>
      </c>
    </row>
    <row r="1546" spans="7:10" x14ac:dyDescent="0.3">
      <c r="G1546" s="10" t="s">
        <v>1519</v>
      </c>
      <c r="H1546" s="11" t="s">
        <v>2034</v>
      </c>
      <c r="I1546" s="11" t="s">
        <v>1986</v>
      </c>
      <c r="J1546" s="12">
        <v>2.86</v>
      </c>
    </row>
    <row r="1547" spans="7:10" x14ac:dyDescent="0.3">
      <c r="G1547" s="7" t="s">
        <v>1520</v>
      </c>
      <c r="H1547" s="8" t="s">
        <v>2041</v>
      </c>
      <c r="I1547" s="8" t="s">
        <v>1988</v>
      </c>
      <c r="J1547" s="9">
        <v>9.19</v>
      </c>
    </row>
    <row r="1548" spans="7:10" x14ac:dyDescent="0.3">
      <c r="G1548" s="10" t="s">
        <v>1521</v>
      </c>
      <c r="H1548" s="11" t="s">
        <v>2034</v>
      </c>
      <c r="I1548" s="11" t="s">
        <v>1979</v>
      </c>
      <c r="J1548" s="12">
        <v>1.03</v>
      </c>
    </row>
    <row r="1549" spans="7:10" x14ac:dyDescent="0.3">
      <c r="G1549" s="7" t="s">
        <v>1522</v>
      </c>
      <c r="H1549" s="8" t="s">
        <v>2039</v>
      </c>
      <c r="I1549" s="8" t="s">
        <v>2030</v>
      </c>
      <c r="J1549" s="9">
        <v>7.61</v>
      </c>
    </row>
    <row r="1550" spans="7:10" x14ac:dyDescent="0.3">
      <c r="G1550" s="10" t="s">
        <v>1523</v>
      </c>
      <c r="H1550" s="11" t="s">
        <v>2065</v>
      </c>
      <c r="I1550" s="11" t="s">
        <v>1979</v>
      </c>
      <c r="J1550" s="12">
        <v>1.46</v>
      </c>
    </row>
    <row r="1551" spans="7:10" x14ac:dyDescent="0.3">
      <c r="G1551" s="7" t="s">
        <v>1524</v>
      </c>
      <c r="H1551" s="8" t="s">
        <v>2045</v>
      </c>
      <c r="I1551" s="8" t="s">
        <v>1997</v>
      </c>
      <c r="J1551" s="9">
        <v>3.95</v>
      </c>
    </row>
    <row r="1552" spans="7:10" x14ac:dyDescent="0.3">
      <c r="G1552" s="10" t="s">
        <v>1525</v>
      </c>
      <c r="H1552" s="11" t="s">
        <v>2037</v>
      </c>
      <c r="I1552" s="11" t="s">
        <v>1986</v>
      </c>
      <c r="J1552" s="12">
        <v>2.5099999999999998</v>
      </c>
    </row>
    <row r="1553" spans="7:10" x14ac:dyDescent="0.3">
      <c r="G1553" s="7" t="s">
        <v>1526</v>
      </c>
      <c r="H1553" s="8" t="s">
        <v>2034</v>
      </c>
      <c r="I1553" s="8" t="s">
        <v>2023</v>
      </c>
      <c r="J1553" s="9">
        <v>3.59</v>
      </c>
    </row>
    <row r="1554" spans="7:10" x14ac:dyDescent="0.3">
      <c r="G1554" s="10" t="s">
        <v>1527</v>
      </c>
      <c r="H1554" s="11" t="s">
        <v>2051</v>
      </c>
      <c r="I1554" s="11" t="s">
        <v>2005</v>
      </c>
      <c r="J1554" s="12">
        <v>2.79</v>
      </c>
    </row>
    <row r="1555" spans="7:10" x14ac:dyDescent="0.3">
      <c r="G1555" s="7" t="s">
        <v>1528</v>
      </c>
      <c r="H1555" s="8" t="s">
        <v>2034</v>
      </c>
      <c r="I1555" s="8" t="s">
        <v>1997</v>
      </c>
      <c r="J1555" s="9">
        <v>6.29</v>
      </c>
    </row>
    <row r="1556" spans="7:10" x14ac:dyDescent="0.3">
      <c r="G1556" s="10" t="s">
        <v>1529</v>
      </c>
      <c r="H1556" s="11" t="s">
        <v>2052</v>
      </c>
      <c r="I1556" s="11" t="s">
        <v>2028</v>
      </c>
      <c r="J1556" s="12">
        <v>2.95</v>
      </c>
    </row>
    <row r="1557" spans="7:10" x14ac:dyDescent="0.3">
      <c r="G1557" s="7" t="s">
        <v>1530</v>
      </c>
      <c r="H1557" s="8" t="s">
        <v>2047</v>
      </c>
      <c r="I1557" s="8" t="s">
        <v>2015</v>
      </c>
      <c r="J1557" s="9">
        <v>1.1299999999999999</v>
      </c>
    </row>
    <row r="1558" spans="7:10" x14ac:dyDescent="0.3">
      <c r="G1558" s="10" t="s">
        <v>1531</v>
      </c>
      <c r="H1558" s="11" t="s">
        <v>2080</v>
      </c>
      <c r="I1558" s="11" t="s">
        <v>2023</v>
      </c>
      <c r="J1558" s="12">
        <v>2.89</v>
      </c>
    </row>
    <row r="1559" spans="7:10" x14ac:dyDescent="0.3">
      <c r="G1559" s="7" t="s">
        <v>1532</v>
      </c>
      <c r="H1559" s="8" t="s">
        <v>2047</v>
      </c>
      <c r="I1559" s="8" t="s">
        <v>2005</v>
      </c>
      <c r="J1559" s="9">
        <v>3.46</v>
      </c>
    </row>
    <row r="1560" spans="7:10" x14ac:dyDescent="0.3">
      <c r="G1560" s="10" t="s">
        <v>1533</v>
      </c>
      <c r="H1560" s="11" t="s">
        <v>2039</v>
      </c>
      <c r="I1560" s="11" t="s">
        <v>2005</v>
      </c>
      <c r="J1560" s="12">
        <v>1.81</v>
      </c>
    </row>
    <row r="1561" spans="7:10" x14ac:dyDescent="0.3">
      <c r="G1561" s="7" t="s">
        <v>1534</v>
      </c>
      <c r="H1561" s="8" t="s">
        <v>2038</v>
      </c>
      <c r="I1561" s="8" t="s">
        <v>2017</v>
      </c>
      <c r="J1561" s="9">
        <v>3.09</v>
      </c>
    </row>
    <row r="1562" spans="7:10" x14ac:dyDescent="0.3">
      <c r="G1562" s="10" t="s">
        <v>1535</v>
      </c>
      <c r="H1562" s="11" t="s">
        <v>2038</v>
      </c>
      <c r="I1562" s="11" t="s">
        <v>2023</v>
      </c>
      <c r="J1562" s="12">
        <v>8.5</v>
      </c>
    </row>
    <row r="1563" spans="7:10" x14ac:dyDescent="0.3">
      <c r="G1563" s="7" t="s">
        <v>1536</v>
      </c>
      <c r="H1563" s="8" t="s">
        <v>2034</v>
      </c>
      <c r="I1563" s="8" t="s">
        <v>2017</v>
      </c>
      <c r="J1563" s="9">
        <v>2.5099999999999998</v>
      </c>
    </row>
    <row r="1564" spans="7:10" x14ac:dyDescent="0.3">
      <c r="G1564" s="10" t="s">
        <v>1537</v>
      </c>
      <c r="H1564" s="11" t="s">
        <v>2034</v>
      </c>
      <c r="I1564" s="11" t="s">
        <v>2017</v>
      </c>
      <c r="J1564" s="12">
        <v>3.37</v>
      </c>
    </row>
    <row r="1565" spans="7:10" x14ac:dyDescent="0.3">
      <c r="G1565" s="7" t="s">
        <v>1538</v>
      </c>
      <c r="H1565" s="8" t="s">
        <v>2035</v>
      </c>
      <c r="I1565" s="8" t="s">
        <v>2015</v>
      </c>
      <c r="J1565" s="9">
        <v>5.0199999999999996</v>
      </c>
    </row>
    <row r="1566" spans="7:10" x14ac:dyDescent="0.3">
      <c r="G1566" s="10" t="s">
        <v>1539</v>
      </c>
      <c r="H1566" s="11" t="s">
        <v>2081</v>
      </c>
      <c r="I1566" s="11" t="s">
        <v>1979</v>
      </c>
      <c r="J1566" s="12">
        <v>0.9</v>
      </c>
    </row>
    <row r="1567" spans="7:10" x14ac:dyDescent="0.3">
      <c r="G1567" s="7" t="s">
        <v>1540</v>
      </c>
      <c r="H1567" s="8" t="s">
        <v>2034</v>
      </c>
      <c r="I1567" s="8" t="s">
        <v>2022</v>
      </c>
      <c r="J1567" s="9">
        <v>1.05</v>
      </c>
    </row>
    <row r="1568" spans="7:10" x14ac:dyDescent="0.3">
      <c r="G1568" s="10" t="s">
        <v>1541</v>
      </c>
      <c r="H1568" s="11" t="s">
        <v>2034</v>
      </c>
      <c r="I1568" s="11" t="s">
        <v>2025</v>
      </c>
      <c r="J1568" s="12">
        <v>1.1200000000000001</v>
      </c>
    </row>
    <row r="1569" spans="7:10" x14ac:dyDescent="0.3">
      <c r="G1569" s="7" t="s">
        <v>1542</v>
      </c>
      <c r="H1569" s="8" t="s">
        <v>2065</v>
      </c>
      <c r="I1569" s="8" t="s">
        <v>2030</v>
      </c>
      <c r="J1569" s="9">
        <v>4.1100000000000003</v>
      </c>
    </row>
    <row r="1570" spans="7:10" x14ac:dyDescent="0.3">
      <c r="G1570" s="10" t="s">
        <v>1543</v>
      </c>
      <c r="H1570" s="11" t="s">
        <v>2034</v>
      </c>
      <c r="I1570" s="11" t="s">
        <v>1998</v>
      </c>
      <c r="J1570" s="12">
        <v>0.95</v>
      </c>
    </row>
    <row r="1571" spans="7:10" x14ac:dyDescent="0.3">
      <c r="G1571" s="7" t="s">
        <v>1544</v>
      </c>
      <c r="H1571" s="8" t="s">
        <v>2041</v>
      </c>
      <c r="I1571" s="8" t="s">
        <v>2004</v>
      </c>
      <c r="J1571" s="9">
        <v>2.1</v>
      </c>
    </row>
    <row r="1572" spans="7:10" x14ac:dyDescent="0.3">
      <c r="G1572" s="10" t="s">
        <v>1545</v>
      </c>
      <c r="H1572" s="11" t="s">
        <v>2034</v>
      </c>
      <c r="I1572" s="11" t="s">
        <v>2005</v>
      </c>
      <c r="J1572" s="12">
        <v>1.1200000000000001</v>
      </c>
    </row>
    <row r="1573" spans="7:10" x14ac:dyDescent="0.3">
      <c r="G1573" s="7" t="s">
        <v>1546</v>
      </c>
      <c r="H1573" s="8" t="s">
        <v>2035</v>
      </c>
      <c r="I1573" s="8" t="s">
        <v>1986</v>
      </c>
      <c r="J1573" s="9">
        <v>2.16</v>
      </c>
    </row>
    <row r="1574" spans="7:10" x14ac:dyDescent="0.3">
      <c r="G1574" s="10" t="s">
        <v>1547</v>
      </c>
      <c r="H1574" s="11" t="s">
        <v>2038</v>
      </c>
      <c r="I1574" s="11" t="s">
        <v>1979</v>
      </c>
      <c r="J1574" s="12">
        <v>1.04</v>
      </c>
    </row>
    <row r="1575" spans="7:10" x14ac:dyDescent="0.3">
      <c r="G1575" s="7" t="s">
        <v>1548</v>
      </c>
      <c r="H1575" s="8" t="s">
        <v>2038</v>
      </c>
      <c r="I1575" s="8" t="s">
        <v>1979</v>
      </c>
      <c r="J1575" s="9">
        <v>0.83</v>
      </c>
    </row>
    <row r="1576" spans="7:10" x14ac:dyDescent="0.3">
      <c r="G1576" s="10" t="s">
        <v>1549</v>
      </c>
      <c r="H1576" s="11" t="s">
        <v>2034</v>
      </c>
      <c r="I1576" s="11" t="s">
        <v>1997</v>
      </c>
      <c r="J1576" s="12">
        <v>8.9</v>
      </c>
    </row>
    <row r="1577" spans="7:10" x14ac:dyDescent="0.3">
      <c r="G1577" s="7" t="s">
        <v>1550</v>
      </c>
      <c r="H1577" s="8" t="s">
        <v>2053</v>
      </c>
      <c r="I1577" s="8" t="s">
        <v>2015</v>
      </c>
      <c r="J1577" s="9">
        <v>6.2</v>
      </c>
    </row>
    <row r="1578" spans="7:10" x14ac:dyDescent="0.3">
      <c r="G1578" s="10" t="s">
        <v>1551</v>
      </c>
      <c r="H1578" s="11" t="s">
        <v>2047</v>
      </c>
      <c r="I1578" s="11" t="s">
        <v>2015</v>
      </c>
      <c r="J1578" s="12">
        <v>8.35</v>
      </c>
    </row>
    <row r="1579" spans="7:10" x14ac:dyDescent="0.3">
      <c r="G1579" s="7" t="s">
        <v>1552</v>
      </c>
      <c r="H1579" s="8" t="s">
        <v>2034</v>
      </c>
      <c r="I1579" s="8" t="s">
        <v>1999</v>
      </c>
      <c r="J1579" s="9">
        <v>1.18</v>
      </c>
    </row>
    <row r="1580" spans="7:10" x14ac:dyDescent="0.3">
      <c r="G1580" s="10" t="s">
        <v>1553</v>
      </c>
      <c r="H1580" s="11" t="s">
        <v>2065</v>
      </c>
      <c r="I1580" s="11" t="s">
        <v>2028</v>
      </c>
      <c r="J1580" s="12">
        <v>2.06</v>
      </c>
    </row>
    <row r="1581" spans="7:10" x14ac:dyDescent="0.3">
      <c r="G1581" s="7" t="s">
        <v>1554</v>
      </c>
      <c r="H1581" s="8" t="s">
        <v>2035</v>
      </c>
      <c r="I1581" s="8" t="s">
        <v>2023</v>
      </c>
      <c r="J1581" s="9">
        <v>7.46</v>
      </c>
    </row>
    <row r="1582" spans="7:10" x14ac:dyDescent="0.3">
      <c r="G1582" s="10" t="s">
        <v>1555</v>
      </c>
      <c r="H1582" s="11" t="s">
        <v>2065</v>
      </c>
      <c r="I1582" s="11" t="s">
        <v>1979</v>
      </c>
      <c r="J1582" s="12">
        <v>0.98</v>
      </c>
    </row>
    <row r="1583" spans="7:10" x14ac:dyDescent="0.3">
      <c r="G1583" s="7" t="s">
        <v>1556</v>
      </c>
      <c r="H1583" s="8" t="s">
        <v>2075</v>
      </c>
      <c r="I1583" s="8" t="s">
        <v>2015</v>
      </c>
      <c r="J1583" s="9">
        <v>2.37</v>
      </c>
    </row>
    <row r="1584" spans="7:10" x14ac:dyDescent="0.3">
      <c r="G1584" s="10" t="s">
        <v>1557</v>
      </c>
      <c r="H1584" s="11" t="s">
        <v>2038</v>
      </c>
      <c r="I1584" s="11" t="s">
        <v>1999</v>
      </c>
      <c r="J1584" s="12">
        <v>1.36</v>
      </c>
    </row>
    <row r="1585" spans="7:10" x14ac:dyDescent="0.3">
      <c r="G1585" s="7" t="s">
        <v>1558</v>
      </c>
      <c r="H1585" s="8" t="s">
        <v>2034</v>
      </c>
      <c r="I1585" s="8" t="s">
        <v>2015</v>
      </c>
      <c r="J1585" s="9">
        <v>6.91</v>
      </c>
    </row>
    <row r="1586" spans="7:10" x14ac:dyDescent="0.3">
      <c r="G1586" s="10" t="s">
        <v>1559</v>
      </c>
      <c r="H1586" s="11" t="s">
        <v>2035</v>
      </c>
      <c r="I1586" s="11" t="s">
        <v>1993</v>
      </c>
      <c r="J1586" s="12">
        <v>8.94</v>
      </c>
    </row>
    <row r="1587" spans="7:10" x14ac:dyDescent="0.3">
      <c r="G1587" s="7" t="s">
        <v>1560</v>
      </c>
      <c r="H1587" s="8" t="s">
        <v>2041</v>
      </c>
      <c r="I1587" s="8" t="s">
        <v>2030</v>
      </c>
      <c r="J1587" s="9">
        <v>2.71</v>
      </c>
    </row>
    <row r="1588" spans="7:10" x14ac:dyDescent="0.3">
      <c r="G1588" s="10" t="s">
        <v>1561</v>
      </c>
      <c r="H1588" s="11" t="s">
        <v>2074</v>
      </c>
      <c r="I1588" s="11" t="s">
        <v>2003</v>
      </c>
      <c r="J1588" s="12">
        <v>1.44</v>
      </c>
    </row>
    <row r="1589" spans="7:10" x14ac:dyDescent="0.3">
      <c r="G1589" s="7" t="s">
        <v>1562</v>
      </c>
      <c r="H1589" s="8" t="s">
        <v>2042</v>
      </c>
      <c r="I1589" s="8" t="s">
        <v>2001</v>
      </c>
      <c r="J1589" s="9">
        <v>5.17</v>
      </c>
    </row>
    <row r="1590" spans="7:10" x14ac:dyDescent="0.3">
      <c r="G1590" s="10" t="s">
        <v>1563</v>
      </c>
      <c r="H1590" s="11" t="s">
        <v>2035</v>
      </c>
      <c r="I1590" s="11" t="s">
        <v>1986</v>
      </c>
      <c r="J1590" s="12">
        <v>6.09</v>
      </c>
    </row>
    <row r="1591" spans="7:10" x14ac:dyDescent="0.3">
      <c r="G1591" s="7" t="s">
        <v>1564</v>
      </c>
      <c r="H1591" s="8" t="s">
        <v>2035</v>
      </c>
      <c r="I1591" s="8" t="s">
        <v>1993</v>
      </c>
      <c r="J1591" s="9">
        <v>4.53</v>
      </c>
    </row>
    <row r="1592" spans="7:10" x14ac:dyDescent="0.3">
      <c r="G1592" s="10" t="s">
        <v>1565</v>
      </c>
      <c r="H1592" s="11" t="s">
        <v>2034</v>
      </c>
      <c r="I1592" s="11" t="s">
        <v>1979</v>
      </c>
      <c r="J1592" s="12">
        <v>1.1200000000000001</v>
      </c>
    </row>
    <row r="1593" spans="7:10" x14ac:dyDescent="0.3">
      <c r="G1593" s="7" t="s">
        <v>1566</v>
      </c>
      <c r="H1593" s="8" t="s">
        <v>2034</v>
      </c>
      <c r="I1593" s="8" t="s">
        <v>1993</v>
      </c>
      <c r="J1593" s="9">
        <v>5.14</v>
      </c>
    </row>
    <row r="1594" spans="7:10" x14ac:dyDescent="0.3">
      <c r="G1594" s="10" t="s">
        <v>1567</v>
      </c>
      <c r="H1594" s="11" t="s">
        <v>1975</v>
      </c>
      <c r="I1594" s="11" t="s">
        <v>1988</v>
      </c>
      <c r="J1594" s="12">
        <v>3.91</v>
      </c>
    </row>
    <row r="1595" spans="7:10" x14ac:dyDescent="0.3">
      <c r="G1595" s="7" t="s">
        <v>1568</v>
      </c>
      <c r="H1595" s="8" t="s">
        <v>2038</v>
      </c>
      <c r="I1595" s="8" t="s">
        <v>1997</v>
      </c>
      <c r="J1595" s="9">
        <v>6.84</v>
      </c>
    </row>
    <row r="1596" spans="7:10" x14ac:dyDescent="0.3">
      <c r="G1596" s="10" t="s">
        <v>1569</v>
      </c>
      <c r="H1596" s="11" t="s">
        <v>2036</v>
      </c>
      <c r="I1596" s="11" t="s">
        <v>2001</v>
      </c>
      <c r="J1596" s="12">
        <v>2.35</v>
      </c>
    </row>
    <row r="1597" spans="7:10" x14ac:dyDescent="0.3">
      <c r="G1597" s="7" t="s">
        <v>1570</v>
      </c>
      <c r="H1597" s="8" t="s">
        <v>2040</v>
      </c>
      <c r="I1597" s="8" t="s">
        <v>2015</v>
      </c>
      <c r="J1597" s="9">
        <v>4.9800000000000004</v>
      </c>
    </row>
    <row r="1598" spans="7:10" x14ac:dyDescent="0.3">
      <c r="G1598" s="10" t="s">
        <v>1571</v>
      </c>
      <c r="H1598" s="11" t="s">
        <v>2051</v>
      </c>
      <c r="I1598" s="11" t="s">
        <v>2030</v>
      </c>
      <c r="J1598" s="12">
        <v>1.74</v>
      </c>
    </row>
    <row r="1599" spans="7:10" x14ac:dyDescent="0.3">
      <c r="G1599" s="7" t="s">
        <v>1572</v>
      </c>
      <c r="H1599" s="8" t="s">
        <v>2038</v>
      </c>
      <c r="I1599" s="8" t="s">
        <v>2001</v>
      </c>
      <c r="J1599" s="9">
        <v>8.7200000000000006</v>
      </c>
    </row>
    <row r="1600" spans="7:10" x14ac:dyDescent="0.3">
      <c r="G1600" s="10" t="s">
        <v>1573</v>
      </c>
      <c r="H1600" s="11" t="s">
        <v>2038</v>
      </c>
      <c r="I1600" s="11" t="s">
        <v>1979</v>
      </c>
      <c r="J1600" s="12">
        <v>0.8</v>
      </c>
    </row>
    <row r="1601" spans="7:10" x14ac:dyDescent="0.3">
      <c r="G1601" s="7" t="s">
        <v>1574</v>
      </c>
      <c r="H1601" s="8" t="s">
        <v>2034</v>
      </c>
      <c r="I1601" s="8" t="s">
        <v>1993</v>
      </c>
      <c r="J1601" s="9">
        <v>5.19</v>
      </c>
    </row>
    <row r="1602" spans="7:10" x14ac:dyDescent="0.3">
      <c r="G1602" s="10" t="s">
        <v>1575</v>
      </c>
      <c r="H1602" s="11" t="s">
        <v>2034</v>
      </c>
      <c r="I1602" s="11" t="s">
        <v>2023</v>
      </c>
      <c r="J1602" s="12">
        <v>7.75</v>
      </c>
    </row>
    <row r="1603" spans="7:10" x14ac:dyDescent="0.3">
      <c r="G1603" s="7" t="s">
        <v>1576</v>
      </c>
      <c r="H1603" s="8" t="s">
        <v>2034</v>
      </c>
      <c r="I1603" s="8" t="s">
        <v>2031</v>
      </c>
      <c r="J1603" s="9">
        <v>6.96</v>
      </c>
    </row>
    <row r="1604" spans="7:10" x14ac:dyDescent="0.3">
      <c r="G1604" s="10" t="s">
        <v>1577</v>
      </c>
      <c r="H1604" s="11" t="s">
        <v>2065</v>
      </c>
      <c r="I1604" s="11" t="s">
        <v>1979</v>
      </c>
      <c r="J1604" s="12">
        <v>1.07</v>
      </c>
    </row>
    <row r="1605" spans="7:10" x14ac:dyDescent="0.3">
      <c r="G1605" s="7" t="s">
        <v>1578</v>
      </c>
      <c r="H1605" s="8" t="s">
        <v>2061</v>
      </c>
      <c r="I1605" s="8" t="s">
        <v>1979</v>
      </c>
      <c r="J1605" s="9">
        <v>1.84</v>
      </c>
    </row>
    <row r="1606" spans="7:10" x14ac:dyDescent="0.3">
      <c r="G1606" s="10" t="s">
        <v>1579</v>
      </c>
      <c r="H1606" s="11" t="s">
        <v>2035</v>
      </c>
      <c r="I1606" s="11" t="s">
        <v>2003</v>
      </c>
      <c r="J1606" s="12">
        <v>2.93</v>
      </c>
    </row>
    <row r="1607" spans="7:10" x14ac:dyDescent="0.3">
      <c r="G1607" s="7" t="s">
        <v>1580</v>
      </c>
      <c r="H1607" s="8" t="s">
        <v>2046</v>
      </c>
      <c r="I1607" s="8" t="s">
        <v>2022</v>
      </c>
      <c r="J1607" s="9">
        <v>0.89</v>
      </c>
    </row>
    <row r="1608" spans="7:10" x14ac:dyDescent="0.3">
      <c r="G1608" s="10" t="s">
        <v>1581</v>
      </c>
      <c r="H1608" s="11" t="s">
        <v>2038</v>
      </c>
      <c r="I1608" s="11" t="s">
        <v>2017</v>
      </c>
      <c r="J1608" s="12">
        <v>10.17</v>
      </c>
    </row>
    <row r="1609" spans="7:10" x14ac:dyDescent="0.3">
      <c r="G1609" s="7" t="s">
        <v>1582</v>
      </c>
      <c r="H1609" s="8" t="s">
        <v>2039</v>
      </c>
      <c r="I1609" s="8" t="s">
        <v>2015</v>
      </c>
      <c r="J1609" s="9">
        <v>3.42</v>
      </c>
    </row>
    <row r="1610" spans="7:10" x14ac:dyDescent="0.3">
      <c r="G1610" s="10" t="s">
        <v>1583</v>
      </c>
      <c r="H1610" s="11" t="s">
        <v>2034</v>
      </c>
      <c r="I1610" s="11" t="s">
        <v>2027</v>
      </c>
      <c r="J1610" s="12">
        <v>3.2</v>
      </c>
    </row>
    <row r="1611" spans="7:10" x14ac:dyDescent="0.3">
      <c r="G1611" s="7" t="s">
        <v>1584</v>
      </c>
      <c r="H1611" s="8" t="s">
        <v>2044</v>
      </c>
      <c r="I1611" s="8" t="s">
        <v>2028</v>
      </c>
      <c r="J1611" s="9">
        <v>3.41</v>
      </c>
    </row>
    <row r="1612" spans="7:10" x14ac:dyDescent="0.3">
      <c r="G1612" s="10" t="s">
        <v>1585</v>
      </c>
      <c r="H1612" s="11" t="s">
        <v>2034</v>
      </c>
      <c r="I1612" s="11" t="s">
        <v>2005</v>
      </c>
      <c r="J1612" s="12">
        <v>2.61</v>
      </c>
    </row>
    <row r="1613" spans="7:10" x14ac:dyDescent="0.3">
      <c r="G1613" s="7" t="s">
        <v>1586</v>
      </c>
      <c r="H1613" s="8" t="s">
        <v>2038</v>
      </c>
      <c r="I1613" s="8" t="s">
        <v>1979</v>
      </c>
      <c r="J1613" s="9">
        <v>0.92</v>
      </c>
    </row>
    <row r="1614" spans="7:10" x14ac:dyDescent="0.3">
      <c r="G1614" s="10" t="s">
        <v>1587</v>
      </c>
      <c r="H1614" s="11" t="s">
        <v>2036</v>
      </c>
      <c r="I1614" s="11" t="s">
        <v>1986</v>
      </c>
      <c r="J1614" s="12">
        <v>8.1</v>
      </c>
    </row>
    <row r="1615" spans="7:10" x14ac:dyDescent="0.3">
      <c r="G1615" s="7" t="s">
        <v>1588</v>
      </c>
      <c r="H1615" s="8" t="s">
        <v>2034</v>
      </c>
      <c r="I1615" s="8" t="s">
        <v>1998</v>
      </c>
      <c r="J1615" s="9">
        <v>0.72</v>
      </c>
    </row>
    <row r="1616" spans="7:10" x14ac:dyDescent="0.3">
      <c r="G1616" s="10" t="s">
        <v>1589</v>
      </c>
      <c r="H1616" s="11" t="s">
        <v>2038</v>
      </c>
      <c r="I1616" s="11" t="s">
        <v>1979</v>
      </c>
      <c r="J1616" s="12">
        <v>0.75</v>
      </c>
    </row>
    <row r="1617" spans="7:10" x14ac:dyDescent="0.3">
      <c r="G1617" s="7" t="s">
        <v>1590</v>
      </c>
      <c r="H1617" s="8" t="s">
        <v>2034</v>
      </c>
      <c r="I1617" s="8" t="s">
        <v>1999</v>
      </c>
      <c r="J1617" s="9">
        <v>1.92</v>
      </c>
    </row>
    <row r="1618" spans="7:10" x14ac:dyDescent="0.3">
      <c r="G1618" s="10" t="s">
        <v>1591</v>
      </c>
      <c r="H1618" s="11" t="s">
        <v>2038</v>
      </c>
      <c r="I1618" s="11" t="s">
        <v>1979</v>
      </c>
      <c r="J1618" s="12">
        <v>0.77</v>
      </c>
    </row>
    <row r="1619" spans="7:10" x14ac:dyDescent="0.3">
      <c r="G1619" s="7" t="s">
        <v>1592</v>
      </c>
      <c r="H1619" s="8" t="s">
        <v>2038</v>
      </c>
      <c r="I1619" s="8" t="s">
        <v>1979</v>
      </c>
      <c r="J1619" s="9">
        <v>0.94</v>
      </c>
    </row>
    <row r="1620" spans="7:10" x14ac:dyDescent="0.3">
      <c r="G1620" s="10" t="s">
        <v>1593</v>
      </c>
      <c r="H1620" s="11" t="s">
        <v>2034</v>
      </c>
      <c r="I1620" s="11" t="s">
        <v>2023</v>
      </c>
      <c r="J1620" s="12">
        <v>2.35</v>
      </c>
    </row>
    <row r="1621" spans="7:10" x14ac:dyDescent="0.3">
      <c r="G1621" s="7" t="s">
        <v>1594</v>
      </c>
      <c r="H1621" s="8" t="s">
        <v>2034</v>
      </c>
      <c r="I1621" s="8" t="s">
        <v>2022</v>
      </c>
      <c r="J1621" s="9">
        <v>0.51</v>
      </c>
    </row>
    <row r="1622" spans="7:10" x14ac:dyDescent="0.3">
      <c r="G1622" s="10" t="s">
        <v>1595</v>
      </c>
      <c r="H1622" s="11" t="s">
        <v>2034</v>
      </c>
      <c r="I1622" s="11" t="s">
        <v>2000</v>
      </c>
      <c r="J1622" s="12">
        <v>5.72</v>
      </c>
    </row>
    <row r="1623" spans="7:10" x14ac:dyDescent="0.3">
      <c r="G1623" s="7" t="s">
        <v>1596</v>
      </c>
      <c r="H1623" s="8" t="s">
        <v>2034</v>
      </c>
      <c r="I1623" s="8" t="s">
        <v>1979</v>
      </c>
      <c r="J1623" s="9">
        <v>1.0900000000000001</v>
      </c>
    </row>
    <row r="1624" spans="7:10" x14ac:dyDescent="0.3">
      <c r="G1624" s="10" t="s">
        <v>1597</v>
      </c>
      <c r="H1624" s="11" t="s">
        <v>2038</v>
      </c>
      <c r="I1624" s="11" t="s">
        <v>1998</v>
      </c>
      <c r="J1624" s="12">
        <v>4.0199999999999996</v>
      </c>
    </row>
    <row r="1625" spans="7:10" x14ac:dyDescent="0.3">
      <c r="G1625" s="7" t="s">
        <v>1598</v>
      </c>
      <c r="H1625" s="8" t="s">
        <v>2080</v>
      </c>
      <c r="I1625" s="8" t="s">
        <v>1979</v>
      </c>
      <c r="J1625" s="9">
        <v>1.1499999999999999</v>
      </c>
    </row>
    <row r="1626" spans="7:10" x14ac:dyDescent="0.3">
      <c r="G1626" s="10" t="s">
        <v>1599</v>
      </c>
      <c r="H1626" s="11" t="s">
        <v>2034</v>
      </c>
      <c r="I1626" s="11" t="s">
        <v>2002</v>
      </c>
      <c r="J1626" s="12">
        <v>2.63</v>
      </c>
    </row>
    <row r="1627" spans="7:10" x14ac:dyDescent="0.3">
      <c r="G1627" s="7" t="s">
        <v>1600</v>
      </c>
      <c r="H1627" s="8" t="s">
        <v>2044</v>
      </c>
      <c r="I1627" s="8" t="s">
        <v>2015</v>
      </c>
      <c r="J1627" s="9">
        <v>1.35</v>
      </c>
    </row>
    <row r="1628" spans="7:10" x14ac:dyDescent="0.3">
      <c r="G1628" s="10" t="s">
        <v>1601</v>
      </c>
      <c r="H1628" s="11" t="s">
        <v>2034</v>
      </c>
      <c r="I1628" s="11" t="s">
        <v>2031</v>
      </c>
      <c r="J1628" s="12">
        <v>5.89</v>
      </c>
    </row>
    <row r="1629" spans="7:10" x14ac:dyDescent="0.3">
      <c r="G1629" s="7" t="s">
        <v>1602</v>
      </c>
      <c r="H1629" s="8" t="s">
        <v>2038</v>
      </c>
      <c r="I1629" s="8" t="s">
        <v>2030</v>
      </c>
      <c r="J1629" s="9">
        <v>4.04</v>
      </c>
    </row>
    <row r="1630" spans="7:10" x14ac:dyDescent="0.3">
      <c r="G1630" s="10" t="s">
        <v>1603</v>
      </c>
      <c r="H1630" s="11" t="s">
        <v>2038</v>
      </c>
      <c r="I1630" s="11" t="s">
        <v>1979</v>
      </c>
      <c r="J1630" s="12">
        <v>0.8</v>
      </c>
    </row>
    <row r="1631" spans="7:10" x14ac:dyDescent="0.3">
      <c r="G1631" s="7" t="s">
        <v>1604</v>
      </c>
      <c r="H1631" s="8" t="s">
        <v>2034</v>
      </c>
      <c r="I1631" s="8" t="s">
        <v>1997</v>
      </c>
      <c r="J1631" s="9">
        <v>3.29</v>
      </c>
    </row>
    <row r="1632" spans="7:10" x14ac:dyDescent="0.3">
      <c r="G1632" s="10" t="s">
        <v>1605</v>
      </c>
      <c r="H1632" s="11" t="s">
        <v>2038</v>
      </c>
      <c r="I1632" s="11" t="s">
        <v>2004</v>
      </c>
      <c r="J1632" s="12">
        <v>4.99</v>
      </c>
    </row>
    <row r="1633" spans="7:10" x14ac:dyDescent="0.3">
      <c r="G1633" s="7" t="s">
        <v>1606</v>
      </c>
      <c r="H1633" s="8" t="s">
        <v>2042</v>
      </c>
      <c r="I1633" s="8" t="s">
        <v>1987</v>
      </c>
      <c r="J1633" s="9">
        <v>4.1500000000000004</v>
      </c>
    </row>
    <row r="1634" spans="7:10" x14ac:dyDescent="0.3">
      <c r="G1634" s="10" t="s">
        <v>1607</v>
      </c>
      <c r="H1634" s="11" t="s">
        <v>2034</v>
      </c>
      <c r="I1634" s="11" t="s">
        <v>2001</v>
      </c>
      <c r="J1634" s="12">
        <v>5.64</v>
      </c>
    </row>
    <row r="1635" spans="7:10" x14ac:dyDescent="0.3">
      <c r="G1635" s="7" t="s">
        <v>1608</v>
      </c>
      <c r="H1635" s="8" t="s">
        <v>2034</v>
      </c>
      <c r="I1635" s="8" t="s">
        <v>2005</v>
      </c>
      <c r="J1635" s="9">
        <v>2.34</v>
      </c>
    </row>
    <row r="1636" spans="7:10" x14ac:dyDescent="0.3">
      <c r="G1636" s="10" t="s">
        <v>1609</v>
      </c>
      <c r="H1636" s="11" t="s">
        <v>2088</v>
      </c>
      <c r="I1636" s="11" t="s">
        <v>2030</v>
      </c>
      <c r="J1636" s="12">
        <v>1.95</v>
      </c>
    </row>
    <row r="1637" spans="7:10" x14ac:dyDescent="0.3">
      <c r="G1637" s="7" t="s">
        <v>1610</v>
      </c>
      <c r="H1637" s="8" t="s">
        <v>2065</v>
      </c>
      <c r="I1637" s="8" t="s">
        <v>2025</v>
      </c>
      <c r="J1637" s="9">
        <v>1.81</v>
      </c>
    </row>
    <row r="1638" spans="7:10" x14ac:dyDescent="0.3">
      <c r="G1638" s="10" t="s">
        <v>1611</v>
      </c>
      <c r="H1638" s="11" t="s">
        <v>2076</v>
      </c>
      <c r="I1638" s="11" t="s">
        <v>2026</v>
      </c>
      <c r="J1638" s="12">
        <v>0.57999999999999996</v>
      </c>
    </row>
    <row r="1639" spans="7:10" x14ac:dyDescent="0.3">
      <c r="G1639" s="7" t="s">
        <v>1612</v>
      </c>
      <c r="H1639" s="8" t="s">
        <v>2038</v>
      </c>
      <c r="I1639" s="8" t="s">
        <v>1979</v>
      </c>
      <c r="J1639" s="9">
        <v>0.91</v>
      </c>
    </row>
    <row r="1640" spans="7:10" x14ac:dyDescent="0.3">
      <c r="G1640" s="10" t="s">
        <v>1613</v>
      </c>
      <c r="H1640" s="11" t="s">
        <v>2034</v>
      </c>
      <c r="I1640" s="11" t="s">
        <v>2023</v>
      </c>
      <c r="J1640" s="12">
        <v>4.74</v>
      </c>
    </row>
    <row r="1641" spans="7:10" x14ac:dyDescent="0.3">
      <c r="G1641" s="7" t="s">
        <v>1614</v>
      </c>
      <c r="H1641" s="8" t="s">
        <v>2034</v>
      </c>
      <c r="I1641" s="8" t="s">
        <v>2023</v>
      </c>
      <c r="J1641" s="9">
        <v>5.08</v>
      </c>
    </row>
    <row r="1642" spans="7:10" x14ac:dyDescent="0.3">
      <c r="G1642" s="10" t="s">
        <v>1615</v>
      </c>
      <c r="H1642" s="11" t="s">
        <v>2076</v>
      </c>
      <c r="I1642" s="11" t="s">
        <v>1979</v>
      </c>
      <c r="J1642" s="12">
        <v>2.12</v>
      </c>
    </row>
    <row r="1643" spans="7:10" x14ac:dyDescent="0.3">
      <c r="G1643" s="7" t="s">
        <v>1616</v>
      </c>
      <c r="H1643" s="8" t="s">
        <v>2066</v>
      </c>
      <c r="I1643" s="8" t="s">
        <v>1987</v>
      </c>
      <c r="J1643" s="9">
        <v>3.64</v>
      </c>
    </row>
    <row r="1644" spans="7:10" x14ac:dyDescent="0.3">
      <c r="G1644" s="10" t="s">
        <v>1617</v>
      </c>
      <c r="H1644" s="11" t="s">
        <v>2038</v>
      </c>
      <c r="I1644" s="11" t="s">
        <v>1979</v>
      </c>
      <c r="J1644" s="12">
        <v>0.64</v>
      </c>
    </row>
    <row r="1645" spans="7:10" x14ac:dyDescent="0.3">
      <c r="G1645" s="7" t="s">
        <v>1618</v>
      </c>
      <c r="H1645" s="8" t="s">
        <v>2052</v>
      </c>
      <c r="I1645" s="8" t="s">
        <v>1998</v>
      </c>
      <c r="J1645" s="9">
        <v>0.47</v>
      </c>
    </row>
    <row r="1646" spans="7:10" x14ac:dyDescent="0.3">
      <c r="G1646" s="10" t="s">
        <v>1619</v>
      </c>
      <c r="H1646" s="11" t="s">
        <v>2034</v>
      </c>
      <c r="I1646" s="11" t="s">
        <v>1987</v>
      </c>
      <c r="J1646" s="12">
        <v>5.17</v>
      </c>
    </row>
    <row r="1647" spans="7:10" x14ac:dyDescent="0.3">
      <c r="G1647" s="7" t="s">
        <v>1620</v>
      </c>
      <c r="H1647" s="8" t="s">
        <v>2065</v>
      </c>
      <c r="I1647" s="8" t="s">
        <v>1979</v>
      </c>
      <c r="J1647" s="9">
        <v>0.9</v>
      </c>
    </row>
    <row r="1648" spans="7:10" x14ac:dyDescent="0.3">
      <c r="G1648" s="10" t="s">
        <v>1621</v>
      </c>
      <c r="H1648" s="11" t="s">
        <v>2034</v>
      </c>
      <c r="I1648" s="11" t="s">
        <v>2026</v>
      </c>
      <c r="J1648" s="12">
        <v>2.52</v>
      </c>
    </row>
    <row r="1649" spans="7:10" x14ac:dyDescent="0.3">
      <c r="G1649" s="7" t="s">
        <v>1622</v>
      </c>
      <c r="H1649" s="8" t="s">
        <v>2038</v>
      </c>
      <c r="I1649" s="8" t="s">
        <v>1979</v>
      </c>
      <c r="J1649" s="9">
        <v>0.62</v>
      </c>
    </row>
    <row r="1650" spans="7:10" x14ac:dyDescent="0.3">
      <c r="G1650" s="10" t="s">
        <v>1623</v>
      </c>
      <c r="H1650" s="11" t="s">
        <v>2038</v>
      </c>
      <c r="I1650" s="11" t="s">
        <v>1979</v>
      </c>
      <c r="J1650" s="12">
        <v>0.61</v>
      </c>
    </row>
    <row r="1651" spans="7:10" x14ac:dyDescent="0.3">
      <c r="G1651" s="7" t="s">
        <v>1624</v>
      </c>
      <c r="H1651" s="8" t="s">
        <v>2065</v>
      </c>
      <c r="I1651" s="8" t="s">
        <v>2027</v>
      </c>
      <c r="J1651" s="9">
        <v>5.5</v>
      </c>
    </row>
    <row r="1652" spans="7:10" x14ac:dyDescent="0.3">
      <c r="G1652" s="10" t="s">
        <v>1625</v>
      </c>
      <c r="H1652" s="11" t="s">
        <v>2052</v>
      </c>
      <c r="I1652" s="11" t="s">
        <v>1998</v>
      </c>
      <c r="J1652" s="12">
        <v>0.54</v>
      </c>
    </row>
    <row r="1653" spans="7:10" x14ac:dyDescent="0.3">
      <c r="G1653" s="7" t="s">
        <v>1626</v>
      </c>
      <c r="H1653" s="8" t="s">
        <v>2084</v>
      </c>
      <c r="I1653" s="8" t="s">
        <v>2028</v>
      </c>
      <c r="J1653" s="9">
        <v>1.41</v>
      </c>
    </row>
    <row r="1654" spans="7:10" x14ac:dyDescent="0.3">
      <c r="G1654" s="10" t="s">
        <v>1627</v>
      </c>
      <c r="H1654" s="11" t="s">
        <v>1975</v>
      </c>
      <c r="I1654" s="11" t="s">
        <v>1993</v>
      </c>
      <c r="J1654" s="12">
        <v>3.27</v>
      </c>
    </row>
    <row r="1655" spans="7:10" x14ac:dyDescent="0.3">
      <c r="G1655" s="7" t="s">
        <v>1628</v>
      </c>
      <c r="H1655" s="8" t="s">
        <v>2038</v>
      </c>
      <c r="I1655" s="8" t="s">
        <v>2023</v>
      </c>
      <c r="J1655" s="9">
        <v>5.87</v>
      </c>
    </row>
    <row r="1656" spans="7:10" x14ac:dyDescent="0.3">
      <c r="G1656" s="10" t="s">
        <v>1629</v>
      </c>
      <c r="H1656" s="11" t="s">
        <v>2038</v>
      </c>
      <c r="I1656" s="11" t="s">
        <v>2005</v>
      </c>
      <c r="J1656" s="12">
        <v>3.72</v>
      </c>
    </row>
    <row r="1657" spans="7:10" x14ac:dyDescent="0.3">
      <c r="G1657" s="7" t="s">
        <v>1630</v>
      </c>
      <c r="H1657" s="8" t="s">
        <v>2046</v>
      </c>
      <c r="I1657" s="8" t="s">
        <v>1997</v>
      </c>
      <c r="J1657" s="9">
        <v>5.79</v>
      </c>
    </row>
    <row r="1658" spans="7:10" x14ac:dyDescent="0.3">
      <c r="G1658" s="10" t="s">
        <v>1631</v>
      </c>
      <c r="H1658" s="11" t="s">
        <v>2052</v>
      </c>
      <c r="I1658" s="11" t="s">
        <v>2030</v>
      </c>
      <c r="J1658" s="12">
        <v>0.31</v>
      </c>
    </row>
    <row r="1659" spans="7:10" x14ac:dyDescent="0.3">
      <c r="G1659" s="7" t="s">
        <v>1632</v>
      </c>
      <c r="H1659" s="8" t="s">
        <v>2034</v>
      </c>
      <c r="I1659" s="8" t="s">
        <v>2031</v>
      </c>
      <c r="J1659" s="9">
        <v>3.24</v>
      </c>
    </row>
    <row r="1660" spans="7:10" x14ac:dyDescent="0.3">
      <c r="G1660" s="10" t="s">
        <v>1633</v>
      </c>
      <c r="H1660" s="11" t="s">
        <v>2034</v>
      </c>
      <c r="I1660" s="11" t="s">
        <v>2030</v>
      </c>
      <c r="J1660" s="12">
        <v>5.08</v>
      </c>
    </row>
    <row r="1661" spans="7:10" x14ac:dyDescent="0.3">
      <c r="G1661" s="7" t="s">
        <v>1634</v>
      </c>
      <c r="H1661" s="8" t="s">
        <v>2087</v>
      </c>
      <c r="I1661" s="8" t="s">
        <v>1998</v>
      </c>
      <c r="J1661" s="9">
        <v>0.81</v>
      </c>
    </row>
    <row r="1662" spans="7:10" x14ac:dyDescent="0.3">
      <c r="G1662" s="10" t="s">
        <v>1635</v>
      </c>
      <c r="H1662" s="11" t="s">
        <v>2064</v>
      </c>
      <c r="I1662" s="11" t="s">
        <v>2022</v>
      </c>
      <c r="J1662" s="12">
        <v>7.67</v>
      </c>
    </row>
    <row r="1663" spans="7:10" x14ac:dyDescent="0.3">
      <c r="G1663" s="7" t="s">
        <v>1636</v>
      </c>
      <c r="H1663" s="8" t="s">
        <v>2034</v>
      </c>
      <c r="I1663" s="8" t="s">
        <v>2023</v>
      </c>
      <c r="J1663" s="9">
        <v>3.41</v>
      </c>
    </row>
    <row r="1664" spans="7:10" x14ac:dyDescent="0.3">
      <c r="G1664" s="10" t="s">
        <v>1637</v>
      </c>
      <c r="H1664" s="11" t="s">
        <v>2034</v>
      </c>
      <c r="I1664" s="11" t="s">
        <v>2025</v>
      </c>
      <c r="J1664" s="12">
        <v>0.89</v>
      </c>
    </row>
    <row r="1665" spans="7:10" x14ac:dyDescent="0.3">
      <c r="G1665" s="7" t="s">
        <v>1638</v>
      </c>
      <c r="H1665" s="8" t="s">
        <v>2042</v>
      </c>
      <c r="I1665" s="8" t="s">
        <v>1979</v>
      </c>
      <c r="J1665" s="9">
        <v>0.82</v>
      </c>
    </row>
    <row r="1666" spans="7:10" x14ac:dyDescent="0.3">
      <c r="G1666" s="10" t="s">
        <v>1639</v>
      </c>
      <c r="H1666" s="11" t="s">
        <v>2038</v>
      </c>
      <c r="I1666" s="11" t="s">
        <v>1979</v>
      </c>
      <c r="J1666" s="12">
        <v>0.68</v>
      </c>
    </row>
    <row r="1667" spans="7:10" x14ac:dyDescent="0.3">
      <c r="G1667" s="7" t="s">
        <v>1640</v>
      </c>
      <c r="H1667" s="8" t="s">
        <v>2038</v>
      </c>
      <c r="I1667" s="8" t="s">
        <v>1997</v>
      </c>
      <c r="J1667" s="9">
        <v>4.34</v>
      </c>
    </row>
    <row r="1668" spans="7:10" x14ac:dyDescent="0.3">
      <c r="G1668" s="10" t="s">
        <v>1641</v>
      </c>
      <c r="H1668" s="11" t="s">
        <v>2034</v>
      </c>
      <c r="I1668" s="11" t="s">
        <v>1979</v>
      </c>
      <c r="J1668" s="12">
        <v>1.04</v>
      </c>
    </row>
    <row r="1669" spans="7:10" x14ac:dyDescent="0.3">
      <c r="G1669" s="7" t="s">
        <v>1642</v>
      </c>
      <c r="H1669" s="8" t="s">
        <v>2038</v>
      </c>
      <c r="I1669" s="8" t="s">
        <v>1979</v>
      </c>
      <c r="J1669" s="9">
        <v>0.57999999999999996</v>
      </c>
    </row>
    <row r="1670" spans="7:10" x14ac:dyDescent="0.3">
      <c r="G1670" s="10" t="s">
        <v>1643</v>
      </c>
      <c r="H1670" s="11" t="s">
        <v>2038</v>
      </c>
      <c r="I1670" s="11" t="s">
        <v>2002</v>
      </c>
      <c r="J1670" s="12">
        <v>2.15</v>
      </c>
    </row>
    <row r="1671" spans="7:10" x14ac:dyDescent="0.3">
      <c r="G1671" s="7" t="s">
        <v>1644</v>
      </c>
      <c r="H1671" s="8" t="s">
        <v>2034</v>
      </c>
      <c r="I1671" s="8" t="s">
        <v>2002</v>
      </c>
      <c r="J1671" s="9">
        <v>2.63</v>
      </c>
    </row>
    <row r="1672" spans="7:10" x14ac:dyDescent="0.3">
      <c r="G1672" s="10" t="s">
        <v>1645</v>
      </c>
      <c r="H1672" s="11" t="s">
        <v>2035</v>
      </c>
      <c r="I1672" s="11" t="s">
        <v>2026</v>
      </c>
      <c r="J1672" s="12">
        <v>1.37</v>
      </c>
    </row>
    <row r="1673" spans="7:10" x14ac:dyDescent="0.3">
      <c r="G1673" s="7" t="s">
        <v>1646</v>
      </c>
      <c r="H1673" s="8" t="s">
        <v>2034</v>
      </c>
      <c r="I1673" s="8" t="s">
        <v>2004</v>
      </c>
      <c r="J1673" s="9">
        <v>3.58</v>
      </c>
    </row>
    <row r="1674" spans="7:10" x14ac:dyDescent="0.3">
      <c r="G1674" s="10" t="s">
        <v>1647</v>
      </c>
      <c r="H1674" s="11" t="s">
        <v>2037</v>
      </c>
      <c r="I1674" s="11" t="s">
        <v>2004</v>
      </c>
      <c r="J1674" s="12">
        <v>2.35</v>
      </c>
    </row>
    <row r="1675" spans="7:10" x14ac:dyDescent="0.3">
      <c r="G1675" s="7" t="s">
        <v>1648</v>
      </c>
      <c r="H1675" s="8" t="s">
        <v>2047</v>
      </c>
      <c r="I1675" s="8" t="s">
        <v>1998</v>
      </c>
      <c r="J1675" s="9">
        <v>0.86</v>
      </c>
    </row>
    <row r="1676" spans="7:10" x14ac:dyDescent="0.3">
      <c r="G1676" s="10" t="s">
        <v>1649</v>
      </c>
      <c r="H1676" s="11" t="s">
        <v>2052</v>
      </c>
      <c r="I1676" s="11" t="s">
        <v>1979</v>
      </c>
      <c r="J1676" s="12">
        <v>0.39</v>
      </c>
    </row>
    <row r="1677" spans="7:10" x14ac:dyDescent="0.3">
      <c r="G1677" s="7" t="s">
        <v>1650</v>
      </c>
      <c r="H1677" s="8" t="s">
        <v>2038</v>
      </c>
      <c r="I1677" s="8" t="s">
        <v>1979</v>
      </c>
      <c r="J1677" s="9">
        <v>0.63</v>
      </c>
    </row>
    <row r="1678" spans="7:10" x14ac:dyDescent="0.3">
      <c r="G1678" s="10" t="s">
        <v>1651</v>
      </c>
      <c r="H1678" s="11" t="s">
        <v>2034</v>
      </c>
      <c r="I1678" s="11" t="s">
        <v>1979</v>
      </c>
      <c r="J1678" s="12">
        <v>0.78</v>
      </c>
    </row>
    <row r="1679" spans="7:10" x14ac:dyDescent="0.3">
      <c r="G1679" s="7" t="s">
        <v>1652</v>
      </c>
      <c r="H1679" s="8" t="s">
        <v>2045</v>
      </c>
      <c r="I1679" s="8" t="s">
        <v>2015</v>
      </c>
      <c r="J1679" s="9">
        <v>2.91</v>
      </c>
    </row>
    <row r="1680" spans="7:10" x14ac:dyDescent="0.3">
      <c r="G1680" s="10" t="s">
        <v>1653</v>
      </c>
      <c r="H1680" s="11" t="s">
        <v>2038</v>
      </c>
      <c r="I1680" s="11" t="s">
        <v>1979</v>
      </c>
      <c r="J1680" s="12">
        <v>0.66</v>
      </c>
    </row>
    <row r="1681" spans="7:10" x14ac:dyDescent="0.3">
      <c r="G1681" s="7" t="s">
        <v>1654</v>
      </c>
      <c r="H1681" s="8" t="s">
        <v>2041</v>
      </c>
      <c r="I1681" s="8" t="s">
        <v>1993</v>
      </c>
      <c r="J1681" s="9">
        <v>8.35</v>
      </c>
    </row>
    <row r="1682" spans="7:10" x14ac:dyDescent="0.3">
      <c r="G1682" s="10" t="s">
        <v>1655</v>
      </c>
      <c r="H1682" s="11" t="s">
        <v>2038</v>
      </c>
      <c r="I1682" s="11" t="s">
        <v>2023</v>
      </c>
      <c r="J1682" s="12">
        <v>7.76</v>
      </c>
    </row>
    <row r="1683" spans="7:10" x14ac:dyDescent="0.3">
      <c r="G1683" s="7" t="s">
        <v>1656</v>
      </c>
      <c r="H1683" s="8" t="s">
        <v>2041</v>
      </c>
      <c r="I1683" s="8" t="s">
        <v>1987</v>
      </c>
      <c r="J1683" s="9">
        <v>5.51</v>
      </c>
    </row>
    <row r="1684" spans="7:10" x14ac:dyDescent="0.3">
      <c r="G1684" s="10" t="s">
        <v>1657</v>
      </c>
      <c r="H1684" s="11" t="s">
        <v>2038</v>
      </c>
      <c r="I1684" s="11" t="s">
        <v>1979</v>
      </c>
      <c r="J1684" s="12">
        <v>0.61</v>
      </c>
    </row>
    <row r="1685" spans="7:10" x14ac:dyDescent="0.3">
      <c r="G1685" s="7" t="s">
        <v>1658</v>
      </c>
      <c r="H1685" s="8" t="s">
        <v>2038</v>
      </c>
      <c r="I1685" s="8" t="s">
        <v>1998</v>
      </c>
      <c r="J1685" s="9">
        <v>1.35</v>
      </c>
    </row>
    <row r="1686" spans="7:10" x14ac:dyDescent="0.3">
      <c r="G1686" s="10" t="s">
        <v>1659</v>
      </c>
      <c r="H1686" s="11" t="s">
        <v>2034</v>
      </c>
      <c r="I1686" s="11" t="s">
        <v>2031</v>
      </c>
      <c r="J1686" s="12">
        <v>3.28</v>
      </c>
    </row>
    <row r="1687" spans="7:10" x14ac:dyDescent="0.3">
      <c r="G1687" s="7" t="s">
        <v>1660</v>
      </c>
      <c r="H1687" s="8" t="s">
        <v>2038</v>
      </c>
      <c r="I1687" s="8" t="s">
        <v>1979</v>
      </c>
      <c r="J1687" s="9">
        <v>0.59</v>
      </c>
    </row>
    <row r="1688" spans="7:10" x14ac:dyDescent="0.3">
      <c r="G1688" s="10" t="s">
        <v>1661</v>
      </c>
      <c r="H1688" s="11" t="s">
        <v>2045</v>
      </c>
      <c r="I1688" s="11" t="s">
        <v>2015</v>
      </c>
      <c r="J1688" s="12">
        <v>3.23</v>
      </c>
    </row>
    <row r="1689" spans="7:10" x14ac:dyDescent="0.3">
      <c r="G1689" s="7" t="s">
        <v>1662</v>
      </c>
      <c r="H1689" s="8" t="s">
        <v>2045</v>
      </c>
      <c r="I1689" s="8" t="s">
        <v>2031</v>
      </c>
      <c r="J1689" s="9">
        <v>1.64</v>
      </c>
    </row>
    <row r="1690" spans="7:10" x14ac:dyDescent="0.3">
      <c r="G1690" s="10" t="s">
        <v>1663</v>
      </c>
      <c r="H1690" s="11" t="s">
        <v>2034</v>
      </c>
      <c r="I1690" s="11" t="s">
        <v>2028</v>
      </c>
      <c r="J1690" s="12">
        <v>2.16</v>
      </c>
    </row>
    <row r="1691" spans="7:10" x14ac:dyDescent="0.3">
      <c r="G1691" s="7" t="s">
        <v>1664</v>
      </c>
      <c r="H1691" s="8" t="s">
        <v>2038</v>
      </c>
      <c r="I1691" s="8" t="s">
        <v>1979</v>
      </c>
      <c r="J1691" s="9">
        <v>0.6</v>
      </c>
    </row>
    <row r="1692" spans="7:10" x14ac:dyDescent="0.3">
      <c r="G1692" s="10" t="s">
        <v>1665</v>
      </c>
      <c r="H1692" s="11" t="s">
        <v>2034</v>
      </c>
      <c r="I1692" s="11" t="s">
        <v>1979</v>
      </c>
      <c r="J1692" s="12">
        <v>0.68</v>
      </c>
    </row>
    <row r="1693" spans="7:10" x14ac:dyDescent="0.3">
      <c r="G1693" s="7" t="s">
        <v>1666</v>
      </c>
      <c r="H1693" s="8" t="s">
        <v>2034</v>
      </c>
      <c r="I1693" s="8" t="s">
        <v>2002</v>
      </c>
      <c r="J1693" s="9">
        <v>1.42</v>
      </c>
    </row>
    <row r="1694" spans="7:10" x14ac:dyDescent="0.3">
      <c r="G1694" s="10" t="s">
        <v>1667</v>
      </c>
      <c r="H1694" s="11" t="s">
        <v>2044</v>
      </c>
      <c r="I1694" s="11" t="s">
        <v>2000</v>
      </c>
      <c r="J1694" s="12">
        <v>4.7300000000000004</v>
      </c>
    </row>
    <row r="1695" spans="7:10" x14ac:dyDescent="0.3">
      <c r="G1695" s="7" t="s">
        <v>1668</v>
      </c>
      <c r="H1695" s="8" t="s">
        <v>2043</v>
      </c>
      <c r="I1695" s="8" t="s">
        <v>2029</v>
      </c>
      <c r="J1695" s="9">
        <v>11.41</v>
      </c>
    </row>
    <row r="1696" spans="7:10" x14ac:dyDescent="0.3">
      <c r="G1696" s="10" t="s">
        <v>1669</v>
      </c>
      <c r="H1696" s="11" t="s">
        <v>2038</v>
      </c>
      <c r="I1696" s="11" t="s">
        <v>1986</v>
      </c>
      <c r="J1696" s="12">
        <v>6.42</v>
      </c>
    </row>
    <row r="1697" spans="7:10" x14ac:dyDescent="0.3">
      <c r="G1697" s="7" t="s">
        <v>1670</v>
      </c>
      <c r="H1697" s="8" t="s">
        <v>2038</v>
      </c>
      <c r="I1697" s="8" t="s">
        <v>2005</v>
      </c>
      <c r="J1697" s="9">
        <v>3.68</v>
      </c>
    </row>
    <row r="1698" spans="7:10" x14ac:dyDescent="0.3">
      <c r="G1698" s="10" t="s">
        <v>1671</v>
      </c>
      <c r="H1698" s="11" t="s">
        <v>2038</v>
      </c>
      <c r="I1698" s="11" t="s">
        <v>2015</v>
      </c>
      <c r="J1698" s="12">
        <v>4.09</v>
      </c>
    </row>
    <row r="1699" spans="7:10" x14ac:dyDescent="0.3">
      <c r="G1699" s="7" t="s">
        <v>1672</v>
      </c>
      <c r="H1699" s="8" t="s">
        <v>2038</v>
      </c>
      <c r="I1699" s="8" t="s">
        <v>1979</v>
      </c>
      <c r="J1699" s="9">
        <v>0.75</v>
      </c>
    </row>
    <row r="1700" spans="7:10" x14ac:dyDescent="0.3">
      <c r="G1700" s="10" t="s">
        <v>1673</v>
      </c>
      <c r="H1700" s="11" t="s">
        <v>2034</v>
      </c>
      <c r="I1700" s="11" t="s">
        <v>1986</v>
      </c>
      <c r="J1700" s="12">
        <v>2.91</v>
      </c>
    </row>
    <row r="1701" spans="7:10" x14ac:dyDescent="0.3">
      <c r="G1701" s="7" t="s">
        <v>1674</v>
      </c>
      <c r="H1701" s="8" t="s">
        <v>2038</v>
      </c>
      <c r="I1701" s="8" t="s">
        <v>1997</v>
      </c>
      <c r="J1701" s="9">
        <v>4.3</v>
      </c>
    </row>
    <row r="1702" spans="7:10" x14ac:dyDescent="0.3">
      <c r="G1702" s="10" t="s">
        <v>1675</v>
      </c>
      <c r="H1702" s="11" t="s">
        <v>2039</v>
      </c>
      <c r="I1702" s="11" t="s">
        <v>2027</v>
      </c>
      <c r="J1702" s="12">
        <v>1.55</v>
      </c>
    </row>
    <row r="1703" spans="7:10" x14ac:dyDescent="0.3">
      <c r="G1703" s="7" t="s">
        <v>1676</v>
      </c>
      <c r="H1703" s="8" t="s">
        <v>2045</v>
      </c>
      <c r="I1703" s="8" t="s">
        <v>1979</v>
      </c>
      <c r="J1703" s="9">
        <v>1.1399999999999999</v>
      </c>
    </row>
    <row r="1704" spans="7:10" x14ac:dyDescent="0.3">
      <c r="G1704" s="10" t="s">
        <v>1677</v>
      </c>
      <c r="H1704" s="11" t="s">
        <v>2054</v>
      </c>
      <c r="I1704" s="11" t="s">
        <v>2001</v>
      </c>
      <c r="J1704" s="12">
        <v>3.08</v>
      </c>
    </row>
    <row r="1705" spans="7:10" x14ac:dyDescent="0.3">
      <c r="G1705" s="7" t="s">
        <v>1678</v>
      </c>
      <c r="H1705" s="8" t="s">
        <v>2038</v>
      </c>
      <c r="I1705" s="8" t="s">
        <v>2029</v>
      </c>
      <c r="J1705" s="9">
        <v>8.27</v>
      </c>
    </row>
    <row r="1706" spans="7:10" x14ac:dyDescent="0.3">
      <c r="G1706" s="10" t="s">
        <v>1679</v>
      </c>
      <c r="H1706" s="11" t="s">
        <v>2038</v>
      </c>
      <c r="I1706" s="11" t="s">
        <v>1979</v>
      </c>
      <c r="J1706" s="12">
        <v>0.56000000000000005</v>
      </c>
    </row>
    <row r="1707" spans="7:10" x14ac:dyDescent="0.3">
      <c r="G1707" s="7" t="s">
        <v>1680</v>
      </c>
      <c r="H1707" s="8" t="s">
        <v>2038</v>
      </c>
      <c r="I1707" s="8" t="s">
        <v>1993</v>
      </c>
      <c r="J1707" s="9">
        <v>4.0599999999999996</v>
      </c>
    </row>
    <row r="1708" spans="7:10" x14ac:dyDescent="0.3">
      <c r="G1708" s="10" t="s">
        <v>1681</v>
      </c>
      <c r="H1708" s="11" t="s">
        <v>2038</v>
      </c>
      <c r="I1708" s="11" t="s">
        <v>1979</v>
      </c>
      <c r="J1708" s="12">
        <v>0.48</v>
      </c>
    </row>
    <row r="1709" spans="7:10" x14ac:dyDescent="0.3">
      <c r="G1709" s="7" t="s">
        <v>1682</v>
      </c>
      <c r="H1709" s="8" t="s">
        <v>2038</v>
      </c>
      <c r="I1709" s="8" t="s">
        <v>1979</v>
      </c>
      <c r="J1709" s="9">
        <v>0.59</v>
      </c>
    </row>
    <row r="1710" spans="7:10" x14ac:dyDescent="0.3">
      <c r="G1710" s="10" t="s">
        <v>1683</v>
      </c>
      <c r="H1710" s="11" t="s">
        <v>2047</v>
      </c>
      <c r="I1710" s="11" t="s">
        <v>2000</v>
      </c>
      <c r="J1710" s="12">
        <v>9.8800000000000008</v>
      </c>
    </row>
    <row r="1711" spans="7:10" x14ac:dyDescent="0.3">
      <c r="G1711" s="7" t="s">
        <v>1684</v>
      </c>
      <c r="H1711" s="8" t="s">
        <v>2038</v>
      </c>
      <c r="I1711" s="8" t="s">
        <v>1988</v>
      </c>
      <c r="J1711" s="9">
        <v>5.25</v>
      </c>
    </row>
    <row r="1712" spans="7:10" x14ac:dyDescent="0.3">
      <c r="G1712" s="10" t="s">
        <v>1685</v>
      </c>
      <c r="H1712" s="11" t="s">
        <v>2038</v>
      </c>
      <c r="I1712" s="11" t="s">
        <v>1979</v>
      </c>
      <c r="J1712" s="12">
        <v>0.63</v>
      </c>
    </row>
    <row r="1713" spans="7:10" x14ac:dyDescent="0.3">
      <c r="G1713" s="7" t="s">
        <v>1686</v>
      </c>
      <c r="H1713" s="8" t="s">
        <v>2038</v>
      </c>
      <c r="I1713" s="8" t="s">
        <v>1979</v>
      </c>
      <c r="J1713" s="9">
        <v>0.49</v>
      </c>
    </row>
    <row r="1714" spans="7:10" x14ac:dyDescent="0.3">
      <c r="G1714" s="10" t="s">
        <v>1687</v>
      </c>
      <c r="H1714" s="11" t="s">
        <v>2061</v>
      </c>
      <c r="I1714" s="11" t="s">
        <v>1979</v>
      </c>
      <c r="J1714" s="12">
        <v>1.31</v>
      </c>
    </row>
    <row r="1715" spans="7:10" x14ac:dyDescent="0.3">
      <c r="G1715" s="7" t="s">
        <v>1688</v>
      </c>
      <c r="H1715" s="8" t="s">
        <v>2054</v>
      </c>
      <c r="I1715" s="8" t="s">
        <v>1999</v>
      </c>
      <c r="J1715" s="9">
        <v>1.78</v>
      </c>
    </row>
    <row r="1716" spans="7:10" x14ac:dyDescent="0.3">
      <c r="G1716" s="10" t="s">
        <v>1689</v>
      </c>
      <c r="H1716" s="11" t="s">
        <v>2038</v>
      </c>
      <c r="I1716" s="11" t="s">
        <v>1986</v>
      </c>
      <c r="J1716" s="12">
        <v>2.89</v>
      </c>
    </row>
    <row r="1717" spans="7:10" x14ac:dyDescent="0.3">
      <c r="G1717" s="7" t="s">
        <v>1690</v>
      </c>
      <c r="H1717" s="8" t="s">
        <v>2038</v>
      </c>
      <c r="I1717" s="8" t="s">
        <v>2023</v>
      </c>
      <c r="J1717" s="9">
        <v>3.72</v>
      </c>
    </row>
    <row r="1718" spans="7:10" x14ac:dyDescent="0.3">
      <c r="G1718" s="10" t="s">
        <v>1691</v>
      </c>
      <c r="H1718" s="11" t="s">
        <v>2034</v>
      </c>
      <c r="I1718" s="11" t="s">
        <v>1997</v>
      </c>
      <c r="J1718" s="12">
        <v>4.29</v>
      </c>
    </row>
    <row r="1719" spans="7:10" x14ac:dyDescent="0.3">
      <c r="G1719" s="7" t="s">
        <v>1692</v>
      </c>
      <c r="H1719" s="8" t="s">
        <v>2042</v>
      </c>
      <c r="I1719" s="8" t="s">
        <v>2030</v>
      </c>
      <c r="J1719" s="9">
        <v>5.52</v>
      </c>
    </row>
    <row r="1720" spans="7:10" x14ac:dyDescent="0.3">
      <c r="G1720" s="10" t="s">
        <v>1693</v>
      </c>
      <c r="H1720" s="11" t="s">
        <v>2040</v>
      </c>
      <c r="I1720" s="11" t="s">
        <v>1979</v>
      </c>
      <c r="J1720" s="12">
        <v>0.56999999999999995</v>
      </c>
    </row>
    <row r="1721" spans="7:10" x14ac:dyDescent="0.3">
      <c r="G1721" s="7" t="s">
        <v>1694</v>
      </c>
      <c r="H1721" s="8" t="s">
        <v>2085</v>
      </c>
      <c r="I1721" s="8" t="s">
        <v>2015</v>
      </c>
      <c r="J1721" s="9">
        <v>1.36</v>
      </c>
    </row>
    <row r="1722" spans="7:10" x14ac:dyDescent="0.3">
      <c r="G1722" s="10" t="s">
        <v>1695</v>
      </c>
      <c r="H1722" s="11" t="s">
        <v>2038</v>
      </c>
      <c r="I1722" s="11" t="s">
        <v>1979</v>
      </c>
      <c r="J1722" s="12">
        <v>0.48</v>
      </c>
    </row>
    <row r="1723" spans="7:10" x14ac:dyDescent="0.3">
      <c r="G1723" s="7" t="s">
        <v>1696</v>
      </c>
      <c r="H1723" s="8" t="s">
        <v>2038</v>
      </c>
      <c r="I1723" s="8" t="s">
        <v>1979</v>
      </c>
      <c r="J1723" s="9">
        <v>0.65</v>
      </c>
    </row>
    <row r="1724" spans="7:10" x14ac:dyDescent="0.3">
      <c r="G1724" s="10" t="s">
        <v>1697</v>
      </c>
      <c r="H1724" s="11" t="s">
        <v>2034</v>
      </c>
      <c r="I1724" s="11" t="s">
        <v>2023</v>
      </c>
      <c r="J1724" s="12">
        <v>1.31</v>
      </c>
    </row>
    <row r="1725" spans="7:10" x14ac:dyDescent="0.3">
      <c r="G1725" s="7" t="s">
        <v>1698</v>
      </c>
      <c r="H1725" s="8" t="s">
        <v>2054</v>
      </c>
      <c r="I1725" s="8" t="s">
        <v>1999</v>
      </c>
      <c r="J1725" s="9">
        <v>0.72</v>
      </c>
    </row>
    <row r="1726" spans="7:10" x14ac:dyDescent="0.3">
      <c r="G1726" s="10" t="s">
        <v>1699</v>
      </c>
      <c r="H1726" s="11" t="s">
        <v>2039</v>
      </c>
      <c r="I1726" s="11" t="s">
        <v>2026</v>
      </c>
      <c r="J1726" s="12">
        <v>1.1200000000000001</v>
      </c>
    </row>
    <row r="1727" spans="7:10" x14ac:dyDescent="0.3">
      <c r="G1727" s="7" t="s">
        <v>1700</v>
      </c>
      <c r="H1727" s="8" t="s">
        <v>2045</v>
      </c>
      <c r="I1727" s="8" t="s">
        <v>1987</v>
      </c>
      <c r="J1727" s="9">
        <v>2.94</v>
      </c>
    </row>
    <row r="1728" spans="7:10" x14ac:dyDescent="0.3">
      <c r="G1728" s="10" t="s">
        <v>1701</v>
      </c>
      <c r="H1728" s="11" t="s">
        <v>2034</v>
      </c>
      <c r="I1728" s="11" t="s">
        <v>2025</v>
      </c>
      <c r="J1728" s="12">
        <v>1.38</v>
      </c>
    </row>
    <row r="1729" spans="7:10" x14ac:dyDescent="0.3">
      <c r="G1729" s="7" t="s">
        <v>1702</v>
      </c>
      <c r="H1729" s="8" t="s">
        <v>2034</v>
      </c>
      <c r="I1729" s="8" t="s">
        <v>2023</v>
      </c>
      <c r="J1729" s="9">
        <v>10.19</v>
      </c>
    </row>
    <row r="1730" spans="7:10" x14ac:dyDescent="0.3">
      <c r="G1730" s="10" t="s">
        <v>1703</v>
      </c>
      <c r="H1730" s="11" t="s">
        <v>2066</v>
      </c>
      <c r="I1730" s="11" t="s">
        <v>1998</v>
      </c>
      <c r="J1730" s="12">
        <v>1.46</v>
      </c>
    </row>
    <row r="1731" spans="7:10" x14ac:dyDescent="0.3">
      <c r="G1731" s="7" t="s">
        <v>1704</v>
      </c>
      <c r="H1731" s="8" t="s">
        <v>2047</v>
      </c>
      <c r="I1731" s="8" t="s">
        <v>1988</v>
      </c>
      <c r="J1731" s="9">
        <v>3.42</v>
      </c>
    </row>
    <row r="1732" spans="7:10" x14ac:dyDescent="0.3">
      <c r="G1732" s="10" t="s">
        <v>1705</v>
      </c>
      <c r="H1732" s="11" t="s">
        <v>2045</v>
      </c>
      <c r="I1732" s="11" t="s">
        <v>2015</v>
      </c>
      <c r="J1732" s="12">
        <v>1.28</v>
      </c>
    </row>
    <row r="1733" spans="7:10" x14ac:dyDescent="0.3">
      <c r="G1733" s="7" t="s">
        <v>1706</v>
      </c>
      <c r="H1733" s="8" t="s">
        <v>2038</v>
      </c>
      <c r="I1733" s="8" t="s">
        <v>1979</v>
      </c>
      <c r="J1733" s="9">
        <v>0.53</v>
      </c>
    </row>
    <row r="1734" spans="7:10" x14ac:dyDescent="0.3">
      <c r="G1734" s="10" t="s">
        <v>1707</v>
      </c>
      <c r="H1734" s="11" t="s">
        <v>2038</v>
      </c>
      <c r="I1734" s="11" t="s">
        <v>1979</v>
      </c>
      <c r="J1734" s="12">
        <v>0.41</v>
      </c>
    </row>
    <row r="1735" spans="7:10" x14ac:dyDescent="0.3">
      <c r="G1735" s="7" t="s">
        <v>1708</v>
      </c>
      <c r="H1735" s="8" t="s">
        <v>2034</v>
      </c>
      <c r="I1735" s="8" t="s">
        <v>2002</v>
      </c>
      <c r="J1735" s="9">
        <v>1.75</v>
      </c>
    </row>
    <row r="1736" spans="7:10" x14ac:dyDescent="0.3">
      <c r="G1736" s="10" t="s">
        <v>1709</v>
      </c>
      <c r="H1736" s="11" t="s">
        <v>2036</v>
      </c>
      <c r="I1736" s="11" t="s">
        <v>1998</v>
      </c>
      <c r="J1736" s="12">
        <v>1.19</v>
      </c>
    </row>
    <row r="1737" spans="7:10" x14ac:dyDescent="0.3">
      <c r="G1737" s="7" t="s">
        <v>1710</v>
      </c>
      <c r="H1737" s="8" t="s">
        <v>2043</v>
      </c>
      <c r="I1737" s="8" t="s">
        <v>2029</v>
      </c>
      <c r="J1737" s="9">
        <v>5.4</v>
      </c>
    </row>
    <row r="1738" spans="7:10" x14ac:dyDescent="0.3">
      <c r="G1738" s="10" t="s">
        <v>1711</v>
      </c>
      <c r="H1738" s="11" t="s">
        <v>2038</v>
      </c>
      <c r="I1738" s="11" t="s">
        <v>2030</v>
      </c>
      <c r="J1738" s="12">
        <v>2.95</v>
      </c>
    </row>
    <row r="1739" spans="7:10" x14ac:dyDescent="0.3">
      <c r="G1739" s="7" t="s">
        <v>1712</v>
      </c>
      <c r="H1739" s="8" t="s">
        <v>2034</v>
      </c>
      <c r="I1739" s="8" t="s">
        <v>2022</v>
      </c>
      <c r="J1739" s="9">
        <v>1.5</v>
      </c>
    </row>
    <row r="1740" spans="7:10" x14ac:dyDescent="0.3">
      <c r="G1740" s="10" t="s">
        <v>1713</v>
      </c>
      <c r="H1740" s="11" t="s">
        <v>2061</v>
      </c>
      <c r="I1740" s="11" t="s">
        <v>1979</v>
      </c>
      <c r="J1740" s="12">
        <v>1.64</v>
      </c>
    </row>
    <row r="1741" spans="7:10" x14ac:dyDescent="0.3">
      <c r="G1741" s="7" t="s">
        <v>1714</v>
      </c>
      <c r="H1741" s="8" t="s">
        <v>2074</v>
      </c>
      <c r="I1741" s="8" t="s">
        <v>1979</v>
      </c>
      <c r="J1741" s="9">
        <v>0.98</v>
      </c>
    </row>
    <row r="1742" spans="7:10" x14ac:dyDescent="0.3">
      <c r="G1742" s="10" t="s">
        <v>1715</v>
      </c>
      <c r="H1742" s="11" t="s">
        <v>2034</v>
      </c>
      <c r="I1742" s="11" t="s">
        <v>1999</v>
      </c>
      <c r="J1742" s="12">
        <v>0.54</v>
      </c>
    </row>
    <row r="1743" spans="7:10" x14ac:dyDescent="0.3">
      <c r="G1743" s="7" t="s">
        <v>1716</v>
      </c>
      <c r="H1743" s="8" t="s">
        <v>2066</v>
      </c>
      <c r="I1743" s="8" t="s">
        <v>2022</v>
      </c>
      <c r="J1743" s="9">
        <v>4.53</v>
      </c>
    </row>
    <row r="1744" spans="7:10" x14ac:dyDescent="0.3">
      <c r="G1744" s="10" t="s">
        <v>1717</v>
      </c>
      <c r="H1744" s="11" t="s">
        <v>2036</v>
      </c>
      <c r="I1744" s="11" t="s">
        <v>1993</v>
      </c>
      <c r="J1744" s="12">
        <v>8.61</v>
      </c>
    </row>
    <row r="1745" spans="7:10" x14ac:dyDescent="0.3">
      <c r="G1745" s="7" t="s">
        <v>1718</v>
      </c>
      <c r="H1745" s="8" t="s">
        <v>2034</v>
      </c>
      <c r="I1745" s="8" t="s">
        <v>1998</v>
      </c>
      <c r="J1745" s="9">
        <v>1.5</v>
      </c>
    </row>
    <row r="1746" spans="7:10" x14ac:dyDescent="0.3">
      <c r="G1746" s="10" t="s">
        <v>1719</v>
      </c>
      <c r="H1746" s="11" t="s">
        <v>2038</v>
      </c>
      <c r="I1746" s="11" t="s">
        <v>1979</v>
      </c>
      <c r="J1746" s="12">
        <v>0.43</v>
      </c>
    </row>
    <row r="1747" spans="7:10" x14ac:dyDescent="0.3">
      <c r="G1747" s="7" t="s">
        <v>1720</v>
      </c>
      <c r="H1747" s="8" t="s">
        <v>2035</v>
      </c>
      <c r="I1747" s="8" t="s">
        <v>2017</v>
      </c>
      <c r="J1747" s="9">
        <v>3.77</v>
      </c>
    </row>
    <row r="1748" spans="7:10" x14ac:dyDescent="0.3">
      <c r="G1748" s="10" t="s">
        <v>1721</v>
      </c>
      <c r="H1748" s="11" t="s">
        <v>2044</v>
      </c>
      <c r="I1748" s="11" t="s">
        <v>2022</v>
      </c>
      <c r="J1748" s="12">
        <v>9.73</v>
      </c>
    </row>
    <row r="1749" spans="7:10" x14ac:dyDescent="0.3">
      <c r="G1749" s="7" t="s">
        <v>1722</v>
      </c>
      <c r="H1749" s="8" t="s">
        <v>2034</v>
      </c>
      <c r="I1749" s="8" t="s">
        <v>2022</v>
      </c>
      <c r="J1749" s="9">
        <v>4</v>
      </c>
    </row>
    <row r="1750" spans="7:10" x14ac:dyDescent="0.3">
      <c r="G1750" s="10" t="s">
        <v>1723</v>
      </c>
      <c r="H1750" s="11" t="s">
        <v>2038</v>
      </c>
      <c r="I1750" s="11" t="s">
        <v>1979</v>
      </c>
      <c r="J1750" s="12">
        <v>0.56999999999999995</v>
      </c>
    </row>
    <row r="1751" spans="7:10" x14ac:dyDescent="0.3">
      <c r="G1751" s="7" t="s">
        <v>1724</v>
      </c>
      <c r="H1751" s="8" t="s">
        <v>2038</v>
      </c>
      <c r="I1751" s="8" t="s">
        <v>2026</v>
      </c>
      <c r="J1751" s="9">
        <v>2.99</v>
      </c>
    </row>
    <row r="1752" spans="7:10" x14ac:dyDescent="0.3">
      <c r="G1752" s="10" t="s">
        <v>1725</v>
      </c>
      <c r="H1752" s="11" t="s">
        <v>2035</v>
      </c>
      <c r="I1752" s="11" t="s">
        <v>2017</v>
      </c>
      <c r="J1752" s="12">
        <v>2.4300000000000002</v>
      </c>
    </row>
    <row r="1753" spans="7:10" x14ac:dyDescent="0.3">
      <c r="G1753" s="7" t="s">
        <v>1726</v>
      </c>
      <c r="H1753" s="8" t="s">
        <v>2036</v>
      </c>
      <c r="I1753" s="8" t="s">
        <v>1998</v>
      </c>
      <c r="J1753" s="9">
        <v>1.2</v>
      </c>
    </row>
    <row r="1754" spans="7:10" x14ac:dyDescent="0.3">
      <c r="G1754" s="10" t="s">
        <v>1727</v>
      </c>
      <c r="H1754" s="11" t="s">
        <v>1975</v>
      </c>
      <c r="I1754" s="11" t="s">
        <v>2001</v>
      </c>
      <c r="J1754" s="12">
        <v>1.96</v>
      </c>
    </row>
    <row r="1755" spans="7:10" x14ac:dyDescent="0.3">
      <c r="G1755" s="7" t="s">
        <v>1728</v>
      </c>
      <c r="H1755" s="8" t="s">
        <v>2066</v>
      </c>
      <c r="I1755" s="8" t="s">
        <v>1978</v>
      </c>
      <c r="J1755" s="9">
        <v>2.0099999999999998</v>
      </c>
    </row>
    <row r="1756" spans="7:10" x14ac:dyDescent="0.3">
      <c r="G1756" s="10" t="s">
        <v>1729</v>
      </c>
      <c r="H1756" s="11" t="s">
        <v>2038</v>
      </c>
      <c r="I1756" s="11" t="s">
        <v>2029</v>
      </c>
      <c r="J1756" s="12">
        <v>9.61</v>
      </c>
    </row>
    <row r="1757" spans="7:10" x14ac:dyDescent="0.3">
      <c r="G1757" s="7" t="s">
        <v>1730</v>
      </c>
      <c r="H1757" s="8" t="s">
        <v>2034</v>
      </c>
      <c r="I1757" s="8" t="s">
        <v>1998</v>
      </c>
      <c r="J1757" s="9">
        <v>1.52</v>
      </c>
    </row>
    <row r="1758" spans="7:10" x14ac:dyDescent="0.3">
      <c r="G1758" s="10" t="s">
        <v>1731</v>
      </c>
      <c r="H1758" s="11" t="s">
        <v>2038</v>
      </c>
      <c r="I1758" s="11" t="s">
        <v>1979</v>
      </c>
      <c r="J1758" s="12">
        <v>0.44</v>
      </c>
    </row>
    <row r="1759" spans="7:10" x14ac:dyDescent="0.3">
      <c r="G1759" s="7" t="s">
        <v>1732</v>
      </c>
      <c r="H1759" s="8" t="s">
        <v>2038</v>
      </c>
      <c r="I1759" s="8" t="s">
        <v>1979</v>
      </c>
      <c r="J1759" s="9">
        <v>0.39</v>
      </c>
    </row>
    <row r="1760" spans="7:10" x14ac:dyDescent="0.3">
      <c r="G1760" s="10" t="s">
        <v>1733</v>
      </c>
      <c r="H1760" s="11" t="s">
        <v>2064</v>
      </c>
      <c r="I1760" s="11" t="s">
        <v>1998</v>
      </c>
      <c r="J1760" s="12">
        <v>9.58</v>
      </c>
    </row>
    <row r="1761" spans="7:10" x14ac:dyDescent="0.3">
      <c r="G1761" s="7" t="s">
        <v>1734</v>
      </c>
      <c r="H1761" s="8" t="s">
        <v>2034</v>
      </c>
      <c r="I1761" s="8" t="s">
        <v>2031</v>
      </c>
      <c r="J1761" s="9">
        <v>5.0999999999999996</v>
      </c>
    </row>
    <row r="1762" spans="7:10" x14ac:dyDescent="0.3">
      <c r="G1762" s="10" t="s">
        <v>1735</v>
      </c>
      <c r="H1762" s="11" t="s">
        <v>2036</v>
      </c>
      <c r="I1762" s="11" t="s">
        <v>1986</v>
      </c>
      <c r="J1762" s="12">
        <v>6.96</v>
      </c>
    </row>
    <row r="1763" spans="7:10" x14ac:dyDescent="0.3">
      <c r="G1763" s="7" t="s">
        <v>1736</v>
      </c>
      <c r="H1763" s="8" t="s">
        <v>2061</v>
      </c>
      <c r="I1763" s="8" t="s">
        <v>1979</v>
      </c>
      <c r="J1763" s="9">
        <v>1.53</v>
      </c>
    </row>
    <row r="1764" spans="7:10" x14ac:dyDescent="0.3">
      <c r="G1764" s="10" t="s">
        <v>1737</v>
      </c>
      <c r="H1764" s="11" t="s">
        <v>2038</v>
      </c>
      <c r="I1764" s="11" t="s">
        <v>1979</v>
      </c>
      <c r="J1764" s="12">
        <v>0.44</v>
      </c>
    </row>
    <row r="1765" spans="7:10" x14ac:dyDescent="0.3">
      <c r="G1765" s="7" t="s">
        <v>1738</v>
      </c>
      <c r="H1765" s="8" t="s">
        <v>2038</v>
      </c>
      <c r="I1765" s="8" t="s">
        <v>2029</v>
      </c>
      <c r="J1765" s="9">
        <v>9.41</v>
      </c>
    </row>
    <row r="1766" spans="7:10" x14ac:dyDescent="0.3">
      <c r="G1766" s="10" t="s">
        <v>1739</v>
      </c>
      <c r="H1766" s="11" t="s">
        <v>2034</v>
      </c>
      <c r="I1766" s="11" t="s">
        <v>2022</v>
      </c>
      <c r="J1766" s="12">
        <v>3.1</v>
      </c>
    </row>
    <row r="1767" spans="7:10" x14ac:dyDescent="0.3">
      <c r="G1767" s="7" t="s">
        <v>1740</v>
      </c>
      <c r="H1767" s="8" t="s">
        <v>2034</v>
      </c>
      <c r="I1767" s="8" t="s">
        <v>2015</v>
      </c>
      <c r="J1767" s="9">
        <v>5.65</v>
      </c>
    </row>
    <row r="1768" spans="7:10" x14ac:dyDescent="0.3">
      <c r="G1768" s="10" t="s">
        <v>1995</v>
      </c>
      <c r="H1768" s="11" t="s">
        <v>2085</v>
      </c>
      <c r="I1768" s="11" t="s">
        <v>1993</v>
      </c>
      <c r="J1768" s="12">
        <v>1.41</v>
      </c>
    </row>
    <row r="1769" spans="7:10" x14ac:dyDescent="0.3">
      <c r="G1769" s="7" t="s">
        <v>1741</v>
      </c>
      <c r="H1769" s="8" t="s">
        <v>2053</v>
      </c>
      <c r="I1769" s="8" t="s">
        <v>1993</v>
      </c>
      <c r="J1769" s="9">
        <v>3.83</v>
      </c>
    </row>
    <row r="1770" spans="7:10" x14ac:dyDescent="0.3">
      <c r="G1770" s="10" t="s">
        <v>1742</v>
      </c>
      <c r="H1770" s="11" t="s">
        <v>2089</v>
      </c>
      <c r="I1770" s="11" t="s">
        <v>1979</v>
      </c>
      <c r="J1770" s="12">
        <v>0.93</v>
      </c>
    </row>
    <row r="1771" spans="7:10" x14ac:dyDescent="0.3">
      <c r="G1771" s="7" t="s">
        <v>1743</v>
      </c>
      <c r="H1771" s="8" t="s">
        <v>2047</v>
      </c>
      <c r="I1771" s="8" t="s">
        <v>2022</v>
      </c>
      <c r="J1771" s="9">
        <v>1.02</v>
      </c>
    </row>
    <row r="1772" spans="7:10" x14ac:dyDescent="0.3">
      <c r="G1772" s="10" t="s">
        <v>1744</v>
      </c>
      <c r="H1772" s="11" t="s">
        <v>2034</v>
      </c>
      <c r="I1772" s="11" t="s">
        <v>2022</v>
      </c>
      <c r="J1772" s="12">
        <v>3.96</v>
      </c>
    </row>
    <row r="1773" spans="7:10" x14ac:dyDescent="0.3">
      <c r="G1773" s="7" t="s">
        <v>1745</v>
      </c>
      <c r="H1773" s="8" t="s">
        <v>2038</v>
      </c>
      <c r="I1773" s="8" t="s">
        <v>1979</v>
      </c>
      <c r="J1773" s="9">
        <v>0.43</v>
      </c>
    </row>
    <row r="1774" spans="7:10" x14ac:dyDescent="0.3">
      <c r="G1774" s="10" t="s">
        <v>1746</v>
      </c>
      <c r="H1774" s="11" t="s">
        <v>2034</v>
      </c>
      <c r="I1774" s="11" t="s">
        <v>2028</v>
      </c>
      <c r="J1774" s="12">
        <v>1.75</v>
      </c>
    </row>
    <row r="1775" spans="7:10" x14ac:dyDescent="0.3">
      <c r="G1775" s="7" t="s">
        <v>1747</v>
      </c>
      <c r="H1775" s="8" t="s">
        <v>2035</v>
      </c>
      <c r="I1775" s="8" t="s">
        <v>2031</v>
      </c>
      <c r="J1775" s="9">
        <v>3.19</v>
      </c>
    </row>
    <row r="1776" spans="7:10" x14ac:dyDescent="0.3">
      <c r="G1776" s="10" t="s">
        <v>1748</v>
      </c>
      <c r="H1776" s="11" t="s">
        <v>2076</v>
      </c>
      <c r="I1776" s="11" t="s">
        <v>1979</v>
      </c>
      <c r="J1776" s="12">
        <v>1.33</v>
      </c>
    </row>
    <row r="1777" spans="7:10" x14ac:dyDescent="0.3">
      <c r="G1777" s="7" t="s">
        <v>1749</v>
      </c>
      <c r="H1777" s="8" t="s">
        <v>2047</v>
      </c>
      <c r="I1777" s="8" t="s">
        <v>2015</v>
      </c>
      <c r="J1777" s="9">
        <v>4.59</v>
      </c>
    </row>
    <row r="1778" spans="7:10" x14ac:dyDescent="0.3">
      <c r="G1778" s="10" t="s">
        <v>1750</v>
      </c>
      <c r="H1778" s="11" t="s">
        <v>2045</v>
      </c>
      <c r="I1778" s="11" t="s">
        <v>2030</v>
      </c>
      <c r="J1778" s="12">
        <v>2.7</v>
      </c>
    </row>
    <row r="1779" spans="7:10" x14ac:dyDescent="0.3">
      <c r="G1779" s="7" t="s">
        <v>1751</v>
      </c>
      <c r="H1779" s="8" t="s">
        <v>2066</v>
      </c>
      <c r="I1779" s="8" t="s">
        <v>2017</v>
      </c>
      <c r="J1779" s="9">
        <v>0.6</v>
      </c>
    </row>
    <row r="1780" spans="7:10" x14ac:dyDescent="0.3">
      <c r="G1780" s="10" t="s">
        <v>1752</v>
      </c>
      <c r="H1780" s="11" t="s">
        <v>2038</v>
      </c>
      <c r="I1780" s="11" t="s">
        <v>1986</v>
      </c>
      <c r="J1780" s="12">
        <v>6.01</v>
      </c>
    </row>
    <row r="1781" spans="7:10" x14ac:dyDescent="0.3">
      <c r="G1781" s="7" t="s">
        <v>1753</v>
      </c>
      <c r="H1781" s="8" t="s">
        <v>2034</v>
      </c>
      <c r="I1781" s="8" t="s">
        <v>2002</v>
      </c>
      <c r="J1781" s="9">
        <v>4.6399999999999997</v>
      </c>
    </row>
    <row r="1782" spans="7:10" x14ac:dyDescent="0.3">
      <c r="G1782" s="10" t="s">
        <v>1991</v>
      </c>
      <c r="H1782" s="11" t="s">
        <v>2047</v>
      </c>
      <c r="I1782" s="11" t="s">
        <v>1988</v>
      </c>
      <c r="J1782" s="12">
        <v>5.83</v>
      </c>
    </row>
    <row r="1783" spans="7:10" x14ac:dyDescent="0.3">
      <c r="G1783" s="7" t="s">
        <v>1754</v>
      </c>
      <c r="H1783" s="8" t="s">
        <v>2057</v>
      </c>
      <c r="I1783" s="8" t="s">
        <v>1998</v>
      </c>
      <c r="J1783" s="9">
        <v>0.57999999999999996</v>
      </c>
    </row>
    <row r="1784" spans="7:10" x14ac:dyDescent="0.3">
      <c r="G1784" s="10" t="s">
        <v>1755</v>
      </c>
      <c r="H1784" s="11" t="s">
        <v>2041</v>
      </c>
      <c r="I1784" s="11" t="s">
        <v>2017</v>
      </c>
      <c r="J1784" s="12">
        <v>2.83</v>
      </c>
    </row>
    <row r="1785" spans="7:10" x14ac:dyDescent="0.3">
      <c r="G1785" s="7" t="s">
        <v>1756</v>
      </c>
      <c r="H1785" s="8" t="s">
        <v>2043</v>
      </c>
      <c r="I1785" s="8" t="s">
        <v>1979</v>
      </c>
      <c r="J1785" s="9">
        <v>1.17</v>
      </c>
    </row>
    <row r="1786" spans="7:10" x14ac:dyDescent="0.3">
      <c r="G1786" s="10" t="s">
        <v>1757</v>
      </c>
      <c r="H1786" s="11" t="s">
        <v>2034</v>
      </c>
      <c r="I1786" s="11" t="s">
        <v>1998</v>
      </c>
      <c r="J1786" s="12">
        <v>1</v>
      </c>
    </row>
    <row r="1787" spans="7:10" x14ac:dyDescent="0.3">
      <c r="G1787" s="7" t="s">
        <v>1758</v>
      </c>
      <c r="H1787" s="8" t="s">
        <v>2034</v>
      </c>
      <c r="I1787" s="8" t="s">
        <v>2015</v>
      </c>
      <c r="J1787" s="9">
        <v>2.6</v>
      </c>
    </row>
    <row r="1788" spans="7:10" x14ac:dyDescent="0.3">
      <c r="G1788" s="10" t="s">
        <v>1759</v>
      </c>
      <c r="H1788" s="11" t="s">
        <v>2043</v>
      </c>
      <c r="I1788" s="11" t="s">
        <v>2004</v>
      </c>
      <c r="J1788" s="12">
        <v>5.5</v>
      </c>
    </row>
    <row r="1789" spans="7:10" x14ac:dyDescent="0.3">
      <c r="G1789" s="7" t="s">
        <v>1760</v>
      </c>
      <c r="H1789" s="8" t="s">
        <v>2034</v>
      </c>
      <c r="I1789" s="8" t="s">
        <v>2002</v>
      </c>
      <c r="J1789" s="9">
        <v>3.86</v>
      </c>
    </row>
    <row r="1790" spans="7:10" x14ac:dyDescent="0.3">
      <c r="G1790" s="10" t="s">
        <v>1761</v>
      </c>
      <c r="H1790" s="11" t="s">
        <v>2038</v>
      </c>
      <c r="I1790" s="11" t="s">
        <v>1979</v>
      </c>
      <c r="J1790" s="12">
        <v>0.43</v>
      </c>
    </row>
    <row r="1791" spans="7:10" x14ac:dyDescent="0.3">
      <c r="G1791" s="7" t="s">
        <v>1762</v>
      </c>
      <c r="H1791" s="8" t="s">
        <v>2038</v>
      </c>
      <c r="I1791" s="8" t="s">
        <v>2029</v>
      </c>
      <c r="J1791" s="9">
        <v>8.7100000000000009</v>
      </c>
    </row>
    <row r="1792" spans="7:10" x14ac:dyDescent="0.3">
      <c r="G1792" s="10" t="s">
        <v>1763</v>
      </c>
      <c r="H1792" s="11" t="s">
        <v>2079</v>
      </c>
      <c r="I1792" s="11" t="s">
        <v>2015</v>
      </c>
      <c r="J1792" s="12">
        <v>1.38</v>
      </c>
    </row>
    <row r="1793" spans="7:10" x14ac:dyDescent="0.3">
      <c r="G1793" s="7" t="s">
        <v>1764</v>
      </c>
      <c r="H1793" s="8" t="s">
        <v>2065</v>
      </c>
      <c r="I1793" s="8" t="s">
        <v>1979</v>
      </c>
      <c r="J1793" s="9">
        <v>0.43</v>
      </c>
    </row>
    <row r="1794" spans="7:10" x14ac:dyDescent="0.3">
      <c r="G1794" s="10" t="s">
        <v>1765</v>
      </c>
      <c r="H1794" s="11" t="s">
        <v>2038</v>
      </c>
      <c r="I1794" s="11" t="s">
        <v>1979</v>
      </c>
      <c r="J1794" s="12">
        <v>0.38</v>
      </c>
    </row>
    <row r="1795" spans="7:10" x14ac:dyDescent="0.3">
      <c r="G1795" s="7" t="s">
        <v>1766</v>
      </c>
      <c r="H1795" s="8" t="s">
        <v>2057</v>
      </c>
      <c r="I1795" s="8" t="s">
        <v>1993</v>
      </c>
      <c r="J1795" s="9">
        <v>0.65</v>
      </c>
    </row>
    <row r="1796" spans="7:10" x14ac:dyDescent="0.3">
      <c r="G1796" s="10" t="s">
        <v>1767</v>
      </c>
      <c r="H1796" s="11" t="s">
        <v>2040</v>
      </c>
      <c r="I1796" s="11" t="s">
        <v>1987</v>
      </c>
      <c r="J1796" s="12">
        <v>2.36</v>
      </c>
    </row>
    <row r="1797" spans="7:10" x14ac:dyDescent="0.3">
      <c r="G1797" s="7" t="s">
        <v>1768</v>
      </c>
      <c r="H1797" s="8" t="s">
        <v>2034</v>
      </c>
      <c r="I1797" s="8" t="s">
        <v>2000</v>
      </c>
      <c r="J1797" s="9">
        <v>8.58</v>
      </c>
    </row>
    <row r="1798" spans="7:10" x14ac:dyDescent="0.3">
      <c r="G1798" s="10" t="s">
        <v>1769</v>
      </c>
      <c r="H1798" s="11" t="s">
        <v>2061</v>
      </c>
      <c r="I1798" s="11" t="s">
        <v>1979</v>
      </c>
      <c r="J1798" s="12">
        <v>0.93</v>
      </c>
    </row>
    <row r="1799" spans="7:10" x14ac:dyDescent="0.3">
      <c r="G1799" s="7" t="s">
        <v>1770</v>
      </c>
      <c r="H1799" s="8" t="s">
        <v>2034</v>
      </c>
      <c r="I1799" s="8" t="s">
        <v>2022</v>
      </c>
      <c r="J1799" s="9">
        <v>8.5500000000000007</v>
      </c>
    </row>
    <row r="1800" spans="7:10" x14ac:dyDescent="0.3">
      <c r="G1800" s="10" t="s">
        <v>1771</v>
      </c>
      <c r="H1800" s="11" t="s">
        <v>2038</v>
      </c>
      <c r="I1800" s="11" t="s">
        <v>1988</v>
      </c>
      <c r="J1800" s="12">
        <v>3.31</v>
      </c>
    </row>
    <row r="1801" spans="7:10" x14ac:dyDescent="0.3">
      <c r="G1801" s="7" t="s">
        <v>1772</v>
      </c>
      <c r="H1801" s="8" t="s">
        <v>2034</v>
      </c>
      <c r="I1801" s="8" t="s">
        <v>2017</v>
      </c>
      <c r="J1801" s="9">
        <v>0.34</v>
      </c>
    </row>
    <row r="1802" spans="7:10" x14ac:dyDescent="0.3">
      <c r="G1802" s="10" t="s">
        <v>1773</v>
      </c>
      <c r="H1802" s="11" t="s">
        <v>2042</v>
      </c>
      <c r="I1802" s="11" t="s">
        <v>2031</v>
      </c>
      <c r="J1802" s="12">
        <v>2.4</v>
      </c>
    </row>
    <row r="1803" spans="7:10" x14ac:dyDescent="0.3">
      <c r="G1803" s="7" t="s">
        <v>1774</v>
      </c>
      <c r="H1803" s="8" t="s">
        <v>2047</v>
      </c>
      <c r="I1803" s="8" t="s">
        <v>2031</v>
      </c>
      <c r="J1803" s="9">
        <v>2.44</v>
      </c>
    </row>
    <row r="1804" spans="7:10" x14ac:dyDescent="0.3">
      <c r="G1804" s="10" t="s">
        <v>1775</v>
      </c>
      <c r="H1804" s="11" t="s">
        <v>2065</v>
      </c>
      <c r="I1804" s="11" t="s">
        <v>1979</v>
      </c>
      <c r="J1804" s="12">
        <v>0.63</v>
      </c>
    </row>
    <row r="1805" spans="7:10" x14ac:dyDescent="0.3">
      <c r="G1805" s="7" t="s">
        <v>1776</v>
      </c>
      <c r="H1805" s="8" t="s">
        <v>2034</v>
      </c>
      <c r="I1805" s="8" t="s">
        <v>2027</v>
      </c>
      <c r="J1805" s="9">
        <v>1.2</v>
      </c>
    </row>
    <row r="1806" spans="7:10" x14ac:dyDescent="0.3">
      <c r="G1806" s="10" t="s">
        <v>1777</v>
      </c>
      <c r="H1806" s="11" t="s">
        <v>2037</v>
      </c>
      <c r="I1806" s="11" t="s">
        <v>1979</v>
      </c>
      <c r="J1806" s="12">
        <v>0.62</v>
      </c>
    </row>
    <row r="1807" spans="7:10" x14ac:dyDescent="0.3">
      <c r="G1807" s="7" t="s">
        <v>1778</v>
      </c>
      <c r="H1807" s="8" t="s">
        <v>2034</v>
      </c>
      <c r="I1807" s="8" t="s">
        <v>2004</v>
      </c>
      <c r="J1807" s="9">
        <v>3</v>
      </c>
    </row>
    <row r="1808" spans="7:10" x14ac:dyDescent="0.3">
      <c r="G1808" s="10" t="s">
        <v>1779</v>
      </c>
      <c r="H1808" s="11" t="s">
        <v>2037</v>
      </c>
      <c r="I1808" s="11" t="s">
        <v>1999</v>
      </c>
      <c r="J1808" s="12">
        <v>2.2200000000000002</v>
      </c>
    </row>
    <row r="1809" spans="7:10" x14ac:dyDescent="0.3">
      <c r="G1809" s="7" t="s">
        <v>1780</v>
      </c>
      <c r="H1809" s="8" t="s">
        <v>2035</v>
      </c>
      <c r="I1809" s="8" t="s">
        <v>2001</v>
      </c>
      <c r="J1809" s="9">
        <v>3.13</v>
      </c>
    </row>
    <row r="1810" spans="7:10" x14ac:dyDescent="0.3">
      <c r="G1810" s="10" t="s">
        <v>1781</v>
      </c>
      <c r="H1810" s="11" t="s">
        <v>2065</v>
      </c>
      <c r="I1810" s="11" t="s">
        <v>2025</v>
      </c>
      <c r="J1810" s="12">
        <v>1.42</v>
      </c>
    </row>
    <row r="1811" spans="7:10" x14ac:dyDescent="0.3">
      <c r="G1811" s="7" t="s">
        <v>2020</v>
      </c>
      <c r="H1811" s="8" t="s">
        <v>2034</v>
      </c>
      <c r="I1811" s="8" t="s">
        <v>2017</v>
      </c>
      <c r="J1811" s="9">
        <v>0.99</v>
      </c>
    </row>
    <row r="1812" spans="7:10" x14ac:dyDescent="0.3">
      <c r="G1812" s="10" t="s">
        <v>1782</v>
      </c>
      <c r="H1812" s="11" t="s">
        <v>2040</v>
      </c>
      <c r="I1812" s="11" t="s">
        <v>2031</v>
      </c>
      <c r="J1812" s="12">
        <v>1.02</v>
      </c>
    </row>
    <row r="1813" spans="7:10" x14ac:dyDescent="0.3">
      <c r="G1813" s="7" t="s">
        <v>1783</v>
      </c>
      <c r="H1813" s="8" t="s">
        <v>2038</v>
      </c>
      <c r="I1813" s="8" t="s">
        <v>1979</v>
      </c>
      <c r="J1813" s="9">
        <v>0.38</v>
      </c>
    </row>
    <row r="1814" spans="7:10" x14ac:dyDescent="0.3">
      <c r="G1814" s="10" t="s">
        <v>1784</v>
      </c>
      <c r="H1814" s="11" t="s">
        <v>2047</v>
      </c>
      <c r="I1814" s="11" t="s">
        <v>2017</v>
      </c>
      <c r="J1814" s="12">
        <v>1.86</v>
      </c>
    </row>
    <row r="1815" spans="7:10" x14ac:dyDescent="0.3">
      <c r="G1815" s="7" t="s">
        <v>1785</v>
      </c>
      <c r="H1815" s="8" t="s">
        <v>2034</v>
      </c>
      <c r="I1815" s="8" t="s">
        <v>2030</v>
      </c>
      <c r="J1815" s="9">
        <v>1</v>
      </c>
    </row>
    <row r="1816" spans="7:10" x14ac:dyDescent="0.3">
      <c r="G1816" s="10" t="s">
        <v>1786</v>
      </c>
      <c r="H1816" s="11" t="s">
        <v>2064</v>
      </c>
      <c r="I1816" s="11" t="s">
        <v>1993</v>
      </c>
      <c r="J1816" s="12">
        <v>1.98</v>
      </c>
    </row>
    <row r="1817" spans="7:10" x14ac:dyDescent="0.3">
      <c r="G1817" s="7" t="s">
        <v>1787</v>
      </c>
      <c r="H1817" s="8" t="s">
        <v>2063</v>
      </c>
      <c r="I1817" s="8" t="s">
        <v>2015</v>
      </c>
      <c r="J1817" s="9">
        <v>1.77</v>
      </c>
    </row>
    <row r="1818" spans="7:10" x14ac:dyDescent="0.3">
      <c r="G1818" s="10" t="s">
        <v>1788</v>
      </c>
      <c r="H1818" s="11" t="s">
        <v>2041</v>
      </c>
      <c r="I1818" s="11" t="s">
        <v>2001</v>
      </c>
      <c r="J1818" s="12">
        <v>8.2899999999999991</v>
      </c>
    </row>
    <row r="1819" spans="7:10" x14ac:dyDescent="0.3">
      <c r="G1819" s="7" t="s">
        <v>1789</v>
      </c>
      <c r="H1819" s="8" t="s">
        <v>2076</v>
      </c>
      <c r="I1819" s="8" t="s">
        <v>1998</v>
      </c>
      <c r="J1819" s="9">
        <v>2.65</v>
      </c>
    </row>
    <row r="1820" spans="7:10" x14ac:dyDescent="0.3">
      <c r="G1820" s="10" t="s">
        <v>1790</v>
      </c>
      <c r="H1820" s="11" t="s">
        <v>2080</v>
      </c>
      <c r="I1820" s="11" t="s">
        <v>1979</v>
      </c>
      <c r="J1820" s="12">
        <v>1.35</v>
      </c>
    </row>
    <row r="1821" spans="7:10" x14ac:dyDescent="0.3">
      <c r="G1821" s="7" t="s">
        <v>1791</v>
      </c>
      <c r="H1821" s="8" t="s">
        <v>2035</v>
      </c>
      <c r="I1821" s="8" t="s">
        <v>1986</v>
      </c>
      <c r="J1821" s="9">
        <v>2.94</v>
      </c>
    </row>
    <row r="1822" spans="7:10" x14ac:dyDescent="0.3">
      <c r="G1822" s="10" t="s">
        <v>1792</v>
      </c>
      <c r="H1822" s="11" t="s">
        <v>2049</v>
      </c>
      <c r="I1822" s="11" t="s">
        <v>2015</v>
      </c>
      <c r="J1822" s="12">
        <v>3.81</v>
      </c>
    </row>
    <row r="1823" spans="7:10" x14ac:dyDescent="0.3">
      <c r="G1823" s="7" t="s">
        <v>1793</v>
      </c>
      <c r="H1823" s="8" t="s">
        <v>2067</v>
      </c>
      <c r="I1823" s="8" t="s">
        <v>1979</v>
      </c>
      <c r="J1823" s="9">
        <v>0.56999999999999995</v>
      </c>
    </row>
    <row r="1824" spans="7:10" x14ac:dyDescent="0.3">
      <c r="G1824" s="10" t="s">
        <v>1794</v>
      </c>
      <c r="H1824" s="11" t="s">
        <v>2034</v>
      </c>
      <c r="I1824" s="11" t="s">
        <v>1986</v>
      </c>
      <c r="J1824" s="12">
        <v>0.89</v>
      </c>
    </row>
    <row r="1825" spans="7:10" x14ac:dyDescent="0.3">
      <c r="G1825" s="7" t="s">
        <v>1795</v>
      </c>
      <c r="H1825" s="8" t="s">
        <v>2061</v>
      </c>
      <c r="I1825" s="8" t="s">
        <v>2015</v>
      </c>
      <c r="J1825" s="9">
        <v>2.2599999999999998</v>
      </c>
    </row>
    <row r="1826" spans="7:10" x14ac:dyDescent="0.3">
      <c r="G1826" s="10" t="s">
        <v>1996</v>
      </c>
      <c r="H1826" s="11" t="s">
        <v>2038</v>
      </c>
      <c r="I1826" s="11" t="s">
        <v>1993</v>
      </c>
      <c r="J1826" s="12">
        <v>4.2</v>
      </c>
    </row>
    <row r="1827" spans="7:10" x14ac:dyDescent="0.3">
      <c r="G1827" s="7" t="s">
        <v>1796</v>
      </c>
      <c r="H1827" s="8" t="s">
        <v>2034</v>
      </c>
      <c r="I1827" s="8" t="s">
        <v>2030</v>
      </c>
      <c r="J1827" s="9">
        <v>4.17</v>
      </c>
    </row>
    <row r="1828" spans="7:10" x14ac:dyDescent="0.3">
      <c r="G1828" s="10" t="s">
        <v>1797</v>
      </c>
      <c r="H1828" s="11" t="s">
        <v>2034</v>
      </c>
      <c r="I1828" s="11" t="s">
        <v>1986</v>
      </c>
      <c r="J1828" s="12">
        <v>1.44</v>
      </c>
    </row>
    <row r="1829" spans="7:10" x14ac:dyDescent="0.3">
      <c r="G1829" s="7" t="s">
        <v>1798</v>
      </c>
      <c r="H1829" s="8" t="s">
        <v>2038</v>
      </c>
      <c r="I1829" s="8" t="s">
        <v>1979</v>
      </c>
      <c r="J1829" s="9">
        <v>0.4</v>
      </c>
    </row>
    <row r="1830" spans="7:10" x14ac:dyDescent="0.3">
      <c r="G1830" s="10" t="s">
        <v>1799</v>
      </c>
      <c r="H1830" s="11" t="s">
        <v>2043</v>
      </c>
      <c r="I1830" s="11" t="s">
        <v>1979</v>
      </c>
      <c r="J1830" s="12">
        <v>1.07</v>
      </c>
    </row>
    <row r="1831" spans="7:10" x14ac:dyDescent="0.3">
      <c r="G1831" s="7" t="s">
        <v>1800</v>
      </c>
      <c r="H1831" s="8" t="s">
        <v>2038</v>
      </c>
      <c r="I1831" s="8" t="s">
        <v>1998</v>
      </c>
      <c r="J1831" s="9">
        <v>3.32</v>
      </c>
    </row>
    <row r="1832" spans="7:10" x14ac:dyDescent="0.3">
      <c r="G1832" s="10" t="s">
        <v>1801</v>
      </c>
      <c r="H1832" s="11" t="s">
        <v>1975</v>
      </c>
      <c r="I1832" s="11" t="s">
        <v>2001</v>
      </c>
      <c r="J1832" s="12">
        <v>2.93</v>
      </c>
    </row>
    <row r="1833" spans="7:10" x14ac:dyDescent="0.3">
      <c r="G1833" s="7" t="s">
        <v>1802</v>
      </c>
      <c r="H1833" s="8" t="s">
        <v>2060</v>
      </c>
      <c r="I1833" s="8" t="s">
        <v>2023</v>
      </c>
      <c r="J1833" s="9">
        <v>3</v>
      </c>
    </row>
    <row r="1834" spans="7:10" x14ac:dyDescent="0.3">
      <c r="G1834" s="10" t="s">
        <v>1803</v>
      </c>
      <c r="H1834" s="11" t="s">
        <v>2038</v>
      </c>
      <c r="I1834" s="11" t="s">
        <v>1998</v>
      </c>
      <c r="J1834" s="12">
        <v>3.4</v>
      </c>
    </row>
    <row r="1835" spans="7:10" x14ac:dyDescent="0.3">
      <c r="G1835" s="7" t="s">
        <v>1804</v>
      </c>
      <c r="H1835" s="8" t="s">
        <v>2038</v>
      </c>
      <c r="I1835" s="8" t="s">
        <v>1979</v>
      </c>
      <c r="J1835" s="9">
        <v>0.37</v>
      </c>
    </row>
    <row r="1836" spans="7:10" x14ac:dyDescent="0.3">
      <c r="G1836" s="10" t="s">
        <v>1805</v>
      </c>
      <c r="H1836" s="11" t="s">
        <v>2034</v>
      </c>
      <c r="I1836" s="11" t="s">
        <v>1986</v>
      </c>
      <c r="J1836" s="12">
        <v>7.99</v>
      </c>
    </row>
    <row r="1837" spans="7:10" x14ac:dyDescent="0.3">
      <c r="G1837" s="7" t="s">
        <v>1806</v>
      </c>
      <c r="H1837" s="8" t="s">
        <v>2043</v>
      </c>
      <c r="I1837" s="8" t="s">
        <v>1988</v>
      </c>
      <c r="J1837" s="9">
        <v>3.11</v>
      </c>
    </row>
    <row r="1838" spans="7:10" x14ac:dyDescent="0.3">
      <c r="G1838" s="10" t="s">
        <v>1807</v>
      </c>
      <c r="H1838" s="11" t="s">
        <v>2034</v>
      </c>
      <c r="I1838" s="11" t="s">
        <v>1979</v>
      </c>
      <c r="J1838" s="12">
        <v>0.77</v>
      </c>
    </row>
    <row r="1839" spans="7:10" x14ac:dyDescent="0.3">
      <c r="G1839" s="7" t="s">
        <v>1808</v>
      </c>
      <c r="H1839" s="8" t="s">
        <v>2038</v>
      </c>
      <c r="I1839" s="8" t="s">
        <v>1979</v>
      </c>
      <c r="J1839" s="9">
        <v>0.4</v>
      </c>
    </row>
    <row r="1840" spans="7:10" x14ac:dyDescent="0.3">
      <c r="G1840" s="10" t="s">
        <v>1809</v>
      </c>
      <c r="H1840" s="11" t="s">
        <v>2038</v>
      </c>
      <c r="I1840" s="11" t="s">
        <v>1987</v>
      </c>
      <c r="J1840" s="12">
        <v>4.82</v>
      </c>
    </row>
    <row r="1841" spans="7:10" x14ac:dyDescent="0.3">
      <c r="G1841" s="7" t="s">
        <v>1810</v>
      </c>
      <c r="H1841" s="8" t="s">
        <v>2035</v>
      </c>
      <c r="I1841" s="8" t="s">
        <v>2023</v>
      </c>
      <c r="J1841" s="9">
        <v>4.45</v>
      </c>
    </row>
    <row r="1842" spans="7:10" x14ac:dyDescent="0.3">
      <c r="G1842" s="10" t="s">
        <v>1811</v>
      </c>
      <c r="H1842" s="11" t="s">
        <v>2034</v>
      </c>
      <c r="I1842" s="11" t="s">
        <v>2023</v>
      </c>
      <c r="J1842" s="12">
        <v>7.88</v>
      </c>
    </row>
    <row r="1843" spans="7:10" x14ac:dyDescent="0.3">
      <c r="G1843" s="7" t="s">
        <v>1812</v>
      </c>
      <c r="H1843" s="8" t="s">
        <v>2037</v>
      </c>
      <c r="I1843" s="8" t="s">
        <v>1979</v>
      </c>
      <c r="J1843" s="9">
        <v>0.4</v>
      </c>
    </row>
    <row r="1844" spans="7:10" x14ac:dyDescent="0.3">
      <c r="G1844" s="10" t="s">
        <v>1813</v>
      </c>
      <c r="H1844" s="11" t="s">
        <v>2037</v>
      </c>
      <c r="I1844" s="11" t="s">
        <v>1979</v>
      </c>
      <c r="J1844" s="12">
        <v>0.54</v>
      </c>
    </row>
    <row r="1845" spans="7:10" x14ac:dyDescent="0.3">
      <c r="G1845" s="7" t="s">
        <v>1814</v>
      </c>
      <c r="H1845" s="8" t="s">
        <v>2063</v>
      </c>
      <c r="I1845" s="8" t="s">
        <v>2015</v>
      </c>
      <c r="J1845" s="9">
        <v>4.88</v>
      </c>
    </row>
    <row r="1846" spans="7:10" x14ac:dyDescent="0.3">
      <c r="G1846" s="10" t="s">
        <v>1815</v>
      </c>
      <c r="H1846" s="11" t="s">
        <v>2034</v>
      </c>
      <c r="I1846" s="11" t="s">
        <v>2023</v>
      </c>
      <c r="J1846" s="12">
        <v>7.85</v>
      </c>
    </row>
    <row r="1847" spans="7:10" x14ac:dyDescent="0.3">
      <c r="G1847" s="7" t="s">
        <v>1816</v>
      </c>
      <c r="H1847" s="8" t="s">
        <v>2034</v>
      </c>
      <c r="I1847" s="8" t="s">
        <v>1986</v>
      </c>
      <c r="J1847" s="9">
        <v>3.24</v>
      </c>
    </row>
    <row r="1848" spans="7:10" x14ac:dyDescent="0.3">
      <c r="G1848" s="10" t="s">
        <v>1817</v>
      </c>
      <c r="H1848" s="11" t="s">
        <v>2034</v>
      </c>
      <c r="I1848" s="11" t="s">
        <v>1998</v>
      </c>
      <c r="J1848" s="12">
        <v>0.71</v>
      </c>
    </row>
    <row r="1849" spans="7:10" x14ac:dyDescent="0.3">
      <c r="G1849" s="7" t="s">
        <v>1818</v>
      </c>
      <c r="H1849" s="8" t="s">
        <v>2035</v>
      </c>
      <c r="I1849" s="8" t="s">
        <v>2023</v>
      </c>
      <c r="J1849" s="9">
        <v>3.51</v>
      </c>
    </row>
    <row r="1850" spans="7:10" x14ac:dyDescent="0.3">
      <c r="G1850" s="10" t="s">
        <v>1819</v>
      </c>
      <c r="H1850" s="11" t="s">
        <v>2074</v>
      </c>
      <c r="I1850" s="11" t="s">
        <v>1998</v>
      </c>
      <c r="J1850" s="12">
        <v>1.18</v>
      </c>
    </row>
    <row r="1851" spans="7:10" x14ac:dyDescent="0.3">
      <c r="G1851" s="7" t="s">
        <v>1820</v>
      </c>
      <c r="H1851" s="8" t="s">
        <v>2034</v>
      </c>
      <c r="I1851" s="8" t="s">
        <v>2003</v>
      </c>
      <c r="J1851" s="9">
        <v>4.04</v>
      </c>
    </row>
    <row r="1852" spans="7:10" x14ac:dyDescent="0.3">
      <c r="G1852" s="10" t="s">
        <v>1821</v>
      </c>
      <c r="H1852" s="11" t="s">
        <v>2074</v>
      </c>
      <c r="I1852" s="11" t="s">
        <v>1998</v>
      </c>
      <c r="J1852" s="12">
        <v>0.83</v>
      </c>
    </row>
    <row r="1853" spans="7:10" x14ac:dyDescent="0.3">
      <c r="G1853" s="7" t="s">
        <v>1822</v>
      </c>
      <c r="H1853" s="8" t="s">
        <v>2045</v>
      </c>
      <c r="I1853" s="8" t="s">
        <v>2029</v>
      </c>
      <c r="J1853" s="9">
        <v>7.8</v>
      </c>
    </row>
    <row r="1854" spans="7:10" x14ac:dyDescent="0.3">
      <c r="G1854" s="10" t="s">
        <v>1823</v>
      </c>
      <c r="H1854" s="11" t="s">
        <v>2036</v>
      </c>
      <c r="I1854" s="11" t="s">
        <v>1998</v>
      </c>
      <c r="J1854" s="12">
        <v>0.27</v>
      </c>
    </row>
    <row r="1855" spans="7:10" x14ac:dyDescent="0.3">
      <c r="G1855" s="7" t="s">
        <v>1824</v>
      </c>
      <c r="H1855" s="8" t="s">
        <v>2038</v>
      </c>
      <c r="I1855" s="8" t="s">
        <v>1979</v>
      </c>
      <c r="J1855" s="9">
        <v>0.41</v>
      </c>
    </row>
    <row r="1856" spans="7:10" x14ac:dyDescent="0.3">
      <c r="G1856" s="10" t="s">
        <v>1825</v>
      </c>
      <c r="H1856" s="11" t="s">
        <v>2034</v>
      </c>
      <c r="I1856" s="11" t="s">
        <v>2023</v>
      </c>
      <c r="J1856" s="12">
        <v>3.64</v>
      </c>
    </row>
    <row r="1857" spans="7:10" x14ac:dyDescent="0.3">
      <c r="G1857" s="7" t="s">
        <v>1826</v>
      </c>
      <c r="H1857" s="8" t="s">
        <v>2034</v>
      </c>
      <c r="I1857" s="8" t="s">
        <v>1979</v>
      </c>
      <c r="J1857" s="9">
        <v>0.7</v>
      </c>
    </row>
    <row r="1858" spans="7:10" x14ac:dyDescent="0.3">
      <c r="G1858" s="10" t="s">
        <v>1827</v>
      </c>
      <c r="H1858" s="11" t="s">
        <v>2076</v>
      </c>
      <c r="I1858" s="11" t="s">
        <v>1979</v>
      </c>
      <c r="J1858" s="12">
        <v>1.01</v>
      </c>
    </row>
    <row r="1859" spans="7:10" x14ac:dyDescent="0.3">
      <c r="G1859" s="7" t="s">
        <v>1828</v>
      </c>
      <c r="H1859" s="8" t="s">
        <v>2034</v>
      </c>
      <c r="I1859" s="8" t="s">
        <v>2031</v>
      </c>
      <c r="J1859" s="9">
        <v>1.25</v>
      </c>
    </row>
    <row r="1860" spans="7:10" x14ac:dyDescent="0.3">
      <c r="G1860" s="10" t="s">
        <v>1829</v>
      </c>
      <c r="H1860" s="11" t="s">
        <v>2034</v>
      </c>
      <c r="I1860" s="11" t="s">
        <v>2028</v>
      </c>
      <c r="J1860" s="12">
        <v>3.65</v>
      </c>
    </row>
    <row r="1861" spans="7:10" x14ac:dyDescent="0.3">
      <c r="G1861" s="7" t="s">
        <v>1830</v>
      </c>
      <c r="H1861" s="8" t="s">
        <v>2034</v>
      </c>
      <c r="I1861" s="8" t="s">
        <v>2023</v>
      </c>
      <c r="J1861" s="9">
        <v>6.03</v>
      </c>
    </row>
    <row r="1862" spans="7:10" x14ac:dyDescent="0.3">
      <c r="G1862" s="10" t="s">
        <v>1831</v>
      </c>
      <c r="H1862" s="11" t="s">
        <v>2044</v>
      </c>
      <c r="I1862" s="11" t="s">
        <v>2031</v>
      </c>
      <c r="J1862" s="12">
        <v>2.54</v>
      </c>
    </row>
    <row r="1863" spans="7:10" x14ac:dyDescent="0.3">
      <c r="G1863" s="7" t="s">
        <v>1832</v>
      </c>
      <c r="H1863" s="8" t="s">
        <v>2034</v>
      </c>
      <c r="I1863" s="8" t="s">
        <v>2026</v>
      </c>
      <c r="J1863" s="9">
        <v>0.28000000000000003</v>
      </c>
    </row>
    <row r="1864" spans="7:10" x14ac:dyDescent="0.3">
      <c r="G1864" s="10" t="s">
        <v>1833</v>
      </c>
      <c r="H1864" s="11" t="s">
        <v>2043</v>
      </c>
      <c r="I1864" s="11" t="s">
        <v>1993</v>
      </c>
      <c r="J1864" s="12">
        <v>2.84</v>
      </c>
    </row>
    <row r="1865" spans="7:10" x14ac:dyDescent="0.3">
      <c r="G1865" s="7" t="s">
        <v>1834</v>
      </c>
      <c r="H1865" s="8" t="s">
        <v>2043</v>
      </c>
      <c r="I1865" s="8" t="s">
        <v>2001</v>
      </c>
      <c r="J1865" s="9">
        <v>5.4</v>
      </c>
    </row>
    <row r="1866" spans="7:10" x14ac:dyDescent="0.3">
      <c r="G1866" s="10" t="s">
        <v>1835</v>
      </c>
      <c r="H1866" s="11" t="s">
        <v>2067</v>
      </c>
      <c r="I1866" s="11" t="s">
        <v>1979</v>
      </c>
      <c r="J1866" s="12">
        <v>0.54</v>
      </c>
    </row>
    <row r="1867" spans="7:10" x14ac:dyDescent="0.3">
      <c r="G1867" s="7" t="s">
        <v>1836</v>
      </c>
      <c r="H1867" s="8" t="s">
        <v>2045</v>
      </c>
      <c r="I1867" s="8" t="s">
        <v>1987</v>
      </c>
      <c r="J1867" s="9">
        <v>3.21</v>
      </c>
    </row>
    <row r="1868" spans="7:10" x14ac:dyDescent="0.3">
      <c r="G1868" s="10" t="s">
        <v>1837</v>
      </c>
      <c r="H1868" s="11" t="s">
        <v>2034</v>
      </c>
      <c r="I1868" s="11" t="s">
        <v>1979</v>
      </c>
      <c r="J1868" s="12">
        <v>0.74</v>
      </c>
    </row>
    <row r="1869" spans="7:10" x14ac:dyDescent="0.3">
      <c r="G1869" s="7" t="s">
        <v>2013</v>
      </c>
      <c r="H1869" s="8" t="s">
        <v>2034</v>
      </c>
      <c r="I1869" s="8" t="s">
        <v>2005</v>
      </c>
      <c r="J1869" s="9">
        <v>1.64</v>
      </c>
    </row>
    <row r="1870" spans="7:10" x14ac:dyDescent="0.3">
      <c r="G1870" s="10" t="s">
        <v>1838</v>
      </c>
      <c r="H1870" s="11" t="s">
        <v>2067</v>
      </c>
      <c r="I1870" s="11" t="s">
        <v>2030</v>
      </c>
      <c r="J1870" s="12">
        <v>3.96</v>
      </c>
    </row>
    <row r="1871" spans="7:10" x14ac:dyDescent="0.3">
      <c r="G1871" s="7" t="s">
        <v>1839</v>
      </c>
      <c r="H1871" s="8" t="s">
        <v>2047</v>
      </c>
      <c r="I1871" s="8" t="s">
        <v>2000</v>
      </c>
      <c r="J1871" s="9">
        <v>5.76</v>
      </c>
    </row>
    <row r="1872" spans="7:10" x14ac:dyDescent="0.3">
      <c r="G1872" s="10" t="s">
        <v>1840</v>
      </c>
      <c r="H1872" s="11" t="s">
        <v>2042</v>
      </c>
      <c r="I1872" s="11" t="s">
        <v>1979</v>
      </c>
      <c r="J1872" s="12">
        <v>0.89</v>
      </c>
    </row>
    <row r="1873" spans="7:10" x14ac:dyDescent="0.3">
      <c r="G1873" s="7" t="s">
        <v>1841</v>
      </c>
      <c r="H1873" s="8" t="s">
        <v>2038</v>
      </c>
      <c r="I1873" s="8" t="s">
        <v>2017</v>
      </c>
      <c r="J1873" s="9">
        <v>2.82</v>
      </c>
    </row>
    <row r="1874" spans="7:10" x14ac:dyDescent="0.3">
      <c r="G1874" s="10" t="s">
        <v>1842</v>
      </c>
      <c r="H1874" s="11" t="s">
        <v>2040</v>
      </c>
      <c r="I1874" s="11" t="s">
        <v>2022</v>
      </c>
      <c r="J1874" s="12">
        <v>0.76</v>
      </c>
    </row>
    <row r="1875" spans="7:10" x14ac:dyDescent="0.3">
      <c r="G1875" s="7" t="s">
        <v>1843</v>
      </c>
      <c r="H1875" s="8" t="s">
        <v>2034</v>
      </c>
      <c r="I1875" s="8" t="s">
        <v>1988</v>
      </c>
      <c r="J1875" s="9">
        <v>1.67</v>
      </c>
    </row>
    <row r="1876" spans="7:10" x14ac:dyDescent="0.3">
      <c r="G1876" s="10" t="s">
        <v>1844</v>
      </c>
      <c r="H1876" s="11" t="s">
        <v>2038</v>
      </c>
      <c r="I1876" s="11" t="s">
        <v>1979</v>
      </c>
      <c r="J1876" s="12">
        <v>0.36</v>
      </c>
    </row>
    <row r="1877" spans="7:10" x14ac:dyDescent="0.3">
      <c r="G1877" s="7" t="s">
        <v>1845</v>
      </c>
      <c r="H1877" s="8" t="s">
        <v>2043</v>
      </c>
      <c r="I1877" s="8" t="s">
        <v>1988</v>
      </c>
      <c r="J1877" s="9">
        <v>2.29</v>
      </c>
    </row>
    <row r="1878" spans="7:10" x14ac:dyDescent="0.3">
      <c r="G1878" s="10" t="s">
        <v>1846</v>
      </c>
      <c r="H1878" s="11" t="s">
        <v>2060</v>
      </c>
      <c r="I1878" s="11" t="s">
        <v>2023</v>
      </c>
      <c r="J1878" s="12">
        <v>4.5599999999999996</v>
      </c>
    </row>
    <row r="1879" spans="7:10" x14ac:dyDescent="0.3">
      <c r="G1879" s="7" t="s">
        <v>1847</v>
      </c>
      <c r="H1879" s="8" t="s">
        <v>2034</v>
      </c>
      <c r="I1879" s="8" t="s">
        <v>1979</v>
      </c>
      <c r="J1879" s="9">
        <v>0.72</v>
      </c>
    </row>
    <row r="1880" spans="7:10" x14ac:dyDescent="0.3">
      <c r="G1880" s="10" t="s">
        <v>1848</v>
      </c>
      <c r="H1880" s="11" t="s">
        <v>2036</v>
      </c>
      <c r="I1880" s="11" t="s">
        <v>2029</v>
      </c>
      <c r="J1880" s="12">
        <v>7.36</v>
      </c>
    </row>
    <row r="1881" spans="7:10" x14ac:dyDescent="0.3">
      <c r="G1881" s="7" t="s">
        <v>1849</v>
      </c>
      <c r="H1881" s="8" t="s">
        <v>2043</v>
      </c>
      <c r="I1881" s="8" t="s">
        <v>2003</v>
      </c>
      <c r="J1881" s="9">
        <v>0.74</v>
      </c>
    </row>
    <row r="1882" spans="7:10" x14ac:dyDescent="0.3">
      <c r="G1882" s="10" t="s">
        <v>1850</v>
      </c>
      <c r="H1882" s="11" t="s">
        <v>2034</v>
      </c>
      <c r="I1882" s="11" t="s">
        <v>2027</v>
      </c>
      <c r="J1882" s="12">
        <v>1.88</v>
      </c>
    </row>
    <row r="1883" spans="7:10" x14ac:dyDescent="0.3">
      <c r="G1883" s="7" t="s">
        <v>1851</v>
      </c>
      <c r="H1883" s="8" t="s">
        <v>2034</v>
      </c>
      <c r="I1883" s="8" t="s">
        <v>1998</v>
      </c>
      <c r="J1883" s="9">
        <v>3</v>
      </c>
    </row>
    <row r="1884" spans="7:10" x14ac:dyDescent="0.3">
      <c r="G1884" s="10" t="s">
        <v>1852</v>
      </c>
      <c r="H1884" s="11" t="s">
        <v>2037</v>
      </c>
      <c r="I1884" s="11" t="s">
        <v>1979</v>
      </c>
      <c r="J1884" s="12">
        <v>0.54</v>
      </c>
    </row>
    <row r="1885" spans="7:10" x14ac:dyDescent="0.3">
      <c r="G1885" s="7" t="s">
        <v>1853</v>
      </c>
      <c r="H1885" s="8" t="s">
        <v>2034</v>
      </c>
      <c r="I1885" s="8" t="s">
        <v>1979</v>
      </c>
      <c r="J1885" s="9">
        <v>0.9</v>
      </c>
    </row>
    <row r="1886" spans="7:10" x14ac:dyDescent="0.3">
      <c r="G1886" s="10" t="s">
        <v>1854</v>
      </c>
      <c r="H1886" s="11" t="s">
        <v>1977</v>
      </c>
      <c r="I1886" s="11" t="s">
        <v>1979</v>
      </c>
      <c r="J1886" s="12">
        <v>0.65</v>
      </c>
    </row>
    <row r="1887" spans="7:10" x14ac:dyDescent="0.3">
      <c r="G1887" s="7" t="s">
        <v>1855</v>
      </c>
      <c r="H1887" s="8" t="s">
        <v>2035</v>
      </c>
      <c r="I1887" s="8" t="s">
        <v>1987</v>
      </c>
      <c r="J1887" s="9">
        <v>5.53</v>
      </c>
    </row>
    <row r="1888" spans="7:10" x14ac:dyDescent="0.3">
      <c r="G1888" s="10" t="s">
        <v>1856</v>
      </c>
      <c r="H1888" s="11" t="s">
        <v>2038</v>
      </c>
      <c r="I1888" s="11" t="s">
        <v>1997</v>
      </c>
      <c r="J1888" s="12">
        <v>3.57</v>
      </c>
    </row>
    <row r="1889" spans="7:10" x14ac:dyDescent="0.3">
      <c r="G1889" s="7" t="s">
        <v>1857</v>
      </c>
      <c r="H1889" s="8" t="s">
        <v>2038</v>
      </c>
      <c r="I1889" s="8" t="s">
        <v>1979</v>
      </c>
      <c r="J1889" s="9">
        <v>0.33</v>
      </c>
    </row>
    <row r="1890" spans="7:10" x14ac:dyDescent="0.3">
      <c r="G1890" s="10" t="s">
        <v>1858</v>
      </c>
      <c r="H1890" s="11" t="s">
        <v>2034</v>
      </c>
      <c r="I1890" s="11" t="s">
        <v>2022</v>
      </c>
      <c r="J1890" s="12">
        <v>1.1200000000000001</v>
      </c>
    </row>
    <row r="1891" spans="7:10" x14ac:dyDescent="0.3">
      <c r="G1891" s="7" t="s">
        <v>1859</v>
      </c>
      <c r="H1891" s="8" t="s">
        <v>2034</v>
      </c>
      <c r="I1891" s="8" t="s">
        <v>1986</v>
      </c>
      <c r="J1891" s="9">
        <v>1.44</v>
      </c>
    </row>
    <row r="1892" spans="7:10" x14ac:dyDescent="0.3">
      <c r="G1892" s="10" t="s">
        <v>1860</v>
      </c>
      <c r="H1892" s="11" t="s">
        <v>2061</v>
      </c>
      <c r="I1892" s="11" t="s">
        <v>2015</v>
      </c>
      <c r="J1892" s="12">
        <v>0.94</v>
      </c>
    </row>
    <row r="1893" spans="7:10" x14ac:dyDescent="0.3">
      <c r="G1893" s="7" t="s">
        <v>1861</v>
      </c>
      <c r="H1893" s="8" t="s">
        <v>2067</v>
      </c>
      <c r="I1893" s="8" t="s">
        <v>1979</v>
      </c>
      <c r="J1893" s="9">
        <v>0.66</v>
      </c>
    </row>
    <row r="1894" spans="7:10" x14ac:dyDescent="0.3">
      <c r="G1894" s="10" t="s">
        <v>1862</v>
      </c>
      <c r="H1894" s="11" t="s">
        <v>2038</v>
      </c>
      <c r="I1894" s="11" t="s">
        <v>1979</v>
      </c>
      <c r="J1894" s="12">
        <v>0.37</v>
      </c>
    </row>
    <row r="1895" spans="7:10" x14ac:dyDescent="0.3">
      <c r="G1895" s="7" t="s">
        <v>1863</v>
      </c>
      <c r="H1895" s="8" t="s">
        <v>2038</v>
      </c>
      <c r="I1895" s="8" t="s">
        <v>1997</v>
      </c>
      <c r="J1895" s="9">
        <v>3.98</v>
      </c>
    </row>
    <row r="1896" spans="7:10" x14ac:dyDescent="0.3">
      <c r="G1896" s="10" t="s">
        <v>1864</v>
      </c>
      <c r="H1896" s="11" t="s">
        <v>2063</v>
      </c>
      <c r="I1896" s="11" t="s">
        <v>1997</v>
      </c>
      <c r="J1896" s="12">
        <v>2.88</v>
      </c>
    </row>
    <row r="1897" spans="7:10" x14ac:dyDescent="0.3">
      <c r="G1897" s="7" t="s">
        <v>1865</v>
      </c>
      <c r="H1897" s="8" t="s">
        <v>2041</v>
      </c>
      <c r="I1897" s="8" t="s">
        <v>1987</v>
      </c>
      <c r="J1897" s="9">
        <v>4.3499999999999996</v>
      </c>
    </row>
    <row r="1898" spans="7:10" x14ac:dyDescent="0.3">
      <c r="G1898" s="10" t="s">
        <v>1866</v>
      </c>
      <c r="H1898" s="11" t="s">
        <v>2063</v>
      </c>
      <c r="I1898" s="11" t="s">
        <v>1998</v>
      </c>
      <c r="J1898" s="12">
        <v>0.74</v>
      </c>
    </row>
    <row r="1899" spans="7:10" x14ac:dyDescent="0.3">
      <c r="G1899" s="7" t="s">
        <v>1867</v>
      </c>
      <c r="H1899" s="8" t="s">
        <v>2034</v>
      </c>
      <c r="I1899" s="8" t="s">
        <v>1979</v>
      </c>
      <c r="J1899" s="9">
        <v>0.93</v>
      </c>
    </row>
    <row r="1900" spans="7:10" x14ac:dyDescent="0.3">
      <c r="G1900" s="10" t="s">
        <v>1868</v>
      </c>
      <c r="H1900" s="11" t="s">
        <v>2090</v>
      </c>
      <c r="I1900" s="11" t="s">
        <v>1998</v>
      </c>
      <c r="J1900" s="12">
        <v>1.01</v>
      </c>
    </row>
    <row r="1901" spans="7:10" x14ac:dyDescent="0.3">
      <c r="G1901" s="7" t="s">
        <v>1869</v>
      </c>
      <c r="H1901" s="8" t="s">
        <v>2079</v>
      </c>
      <c r="I1901" s="8" t="s">
        <v>1979</v>
      </c>
      <c r="J1901" s="9">
        <v>0.83</v>
      </c>
    </row>
    <row r="1902" spans="7:10" x14ac:dyDescent="0.3">
      <c r="G1902" s="10" t="s">
        <v>1870</v>
      </c>
      <c r="H1902" s="11" t="s">
        <v>2034</v>
      </c>
      <c r="I1902" s="11" t="s">
        <v>1998</v>
      </c>
      <c r="J1902" s="12">
        <v>0.97</v>
      </c>
    </row>
    <row r="1903" spans="7:10" x14ac:dyDescent="0.3">
      <c r="G1903" s="7" t="s">
        <v>1871</v>
      </c>
      <c r="H1903" s="8" t="s">
        <v>2038</v>
      </c>
      <c r="I1903" s="8" t="s">
        <v>2001</v>
      </c>
      <c r="J1903" s="9">
        <v>6.97</v>
      </c>
    </row>
    <row r="1904" spans="7:10" x14ac:dyDescent="0.3">
      <c r="G1904" s="10" t="s">
        <v>1872</v>
      </c>
      <c r="H1904" s="11" t="s">
        <v>2053</v>
      </c>
      <c r="I1904" s="11" t="s">
        <v>2017</v>
      </c>
      <c r="J1904" s="12">
        <v>3.38</v>
      </c>
    </row>
    <row r="1905" spans="7:10" x14ac:dyDescent="0.3">
      <c r="G1905" s="7" t="s">
        <v>1873</v>
      </c>
      <c r="H1905" s="8" t="s">
        <v>2091</v>
      </c>
      <c r="I1905" s="8" t="s">
        <v>2030</v>
      </c>
      <c r="J1905" s="9">
        <v>1.07</v>
      </c>
    </row>
    <row r="1906" spans="7:10" x14ac:dyDescent="0.3">
      <c r="G1906" s="10" t="s">
        <v>1874</v>
      </c>
      <c r="H1906" s="11" t="s">
        <v>2038</v>
      </c>
      <c r="I1906" s="11" t="s">
        <v>2015</v>
      </c>
      <c r="J1906" s="12">
        <v>2.17</v>
      </c>
    </row>
    <row r="1907" spans="7:10" x14ac:dyDescent="0.3">
      <c r="G1907" s="7" t="s">
        <v>1875</v>
      </c>
      <c r="H1907" s="8" t="s">
        <v>2034</v>
      </c>
      <c r="I1907" s="8" t="s">
        <v>1979</v>
      </c>
      <c r="J1907" s="9">
        <v>0.82</v>
      </c>
    </row>
    <row r="1908" spans="7:10" x14ac:dyDescent="0.3">
      <c r="G1908" s="10" t="s">
        <v>1876</v>
      </c>
      <c r="H1908" s="11" t="s">
        <v>2034</v>
      </c>
      <c r="I1908" s="11" t="s">
        <v>2028</v>
      </c>
      <c r="J1908" s="12">
        <v>0.83</v>
      </c>
    </row>
    <row r="1909" spans="7:10" x14ac:dyDescent="0.3">
      <c r="G1909" s="7" t="s">
        <v>1877</v>
      </c>
      <c r="H1909" s="8" t="s">
        <v>2034</v>
      </c>
      <c r="I1909" s="8" t="s">
        <v>1998</v>
      </c>
      <c r="J1909" s="9">
        <v>0.68</v>
      </c>
    </row>
    <row r="1910" spans="7:10" x14ac:dyDescent="0.3">
      <c r="G1910" s="10" t="s">
        <v>1878</v>
      </c>
      <c r="H1910" s="11" t="s">
        <v>2074</v>
      </c>
      <c r="I1910" s="11" t="s">
        <v>2022</v>
      </c>
      <c r="J1910" s="12">
        <v>0.61</v>
      </c>
    </row>
    <row r="1911" spans="7:10" x14ac:dyDescent="0.3">
      <c r="G1911" s="7" t="s">
        <v>1879</v>
      </c>
      <c r="H1911" s="8" t="s">
        <v>2054</v>
      </c>
      <c r="I1911" s="8" t="s">
        <v>1979</v>
      </c>
      <c r="J1911" s="9">
        <v>0.74</v>
      </c>
    </row>
    <row r="1912" spans="7:10" x14ac:dyDescent="0.3">
      <c r="G1912" s="10" t="s">
        <v>1880</v>
      </c>
      <c r="H1912" s="11" t="s">
        <v>2034</v>
      </c>
      <c r="I1912" s="11" t="s">
        <v>1998</v>
      </c>
      <c r="J1912" s="12">
        <v>1.1100000000000001</v>
      </c>
    </row>
    <row r="1913" spans="7:10" x14ac:dyDescent="0.3">
      <c r="G1913" s="7" t="s">
        <v>1881</v>
      </c>
      <c r="H1913" s="8" t="s">
        <v>2034</v>
      </c>
      <c r="I1913" s="8" t="s">
        <v>1998</v>
      </c>
      <c r="J1913" s="9">
        <v>0.69</v>
      </c>
    </row>
    <row r="1914" spans="7:10" x14ac:dyDescent="0.3">
      <c r="G1914" s="10" t="s">
        <v>1882</v>
      </c>
      <c r="H1914" s="11" t="s">
        <v>2034</v>
      </c>
      <c r="I1914" s="11" t="s">
        <v>2001</v>
      </c>
      <c r="J1914" s="12">
        <v>2.59</v>
      </c>
    </row>
    <row r="1915" spans="7:10" x14ac:dyDescent="0.3">
      <c r="G1915" s="7" t="s">
        <v>1883</v>
      </c>
      <c r="H1915" s="8" t="s">
        <v>2034</v>
      </c>
      <c r="I1915" s="8" t="s">
        <v>2002</v>
      </c>
      <c r="J1915" s="9">
        <v>2.5499999999999998</v>
      </c>
    </row>
    <row r="1916" spans="7:10" x14ac:dyDescent="0.3">
      <c r="G1916" s="10" t="s">
        <v>1884</v>
      </c>
      <c r="H1916" s="11" t="s">
        <v>2038</v>
      </c>
      <c r="I1916" s="11" t="s">
        <v>2001</v>
      </c>
      <c r="J1916" s="12">
        <v>6.76</v>
      </c>
    </row>
    <row r="1917" spans="7:10" x14ac:dyDescent="0.3">
      <c r="G1917" s="7" t="s">
        <v>1885</v>
      </c>
      <c r="H1917" s="8" t="s">
        <v>2038</v>
      </c>
      <c r="I1917" s="8" t="s">
        <v>1993</v>
      </c>
      <c r="J1917" s="9">
        <v>4.58</v>
      </c>
    </row>
    <row r="1918" spans="7:10" x14ac:dyDescent="0.3">
      <c r="G1918" s="10" t="s">
        <v>1886</v>
      </c>
      <c r="H1918" s="11" t="s">
        <v>2065</v>
      </c>
      <c r="I1918" s="11" t="s">
        <v>1979</v>
      </c>
      <c r="J1918" s="12">
        <v>0.47</v>
      </c>
    </row>
    <row r="1919" spans="7:10" x14ac:dyDescent="0.3">
      <c r="G1919" s="7" t="s">
        <v>1887</v>
      </c>
      <c r="H1919" s="8" t="s">
        <v>2034</v>
      </c>
      <c r="I1919" s="8" t="s">
        <v>1999</v>
      </c>
      <c r="J1919" s="9">
        <v>1.24</v>
      </c>
    </row>
    <row r="1920" spans="7:10" x14ac:dyDescent="0.3">
      <c r="G1920" s="10" t="s">
        <v>1888</v>
      </c>
      <c r="H1920" s="11" t="s">
        <v>2034</v>
      </c>
      <c r="I1920" s="11" t="s">
        <v>2023</v>
      </c>
      <c r="J1920" s="12">
        <v>6.25</v>
      </c>
    </row>
    <row r="1921" spans="7:10" x14ac:dyDescent="0.3">
      <c r="G1921" s="7" t="s">
        <v>1889</v>
      </c>
      <c r="H1921" s="8" t="s">
        <v>2038</v>
      </c>
      <c r="I1921" s="8" t="s">
        <v>1993</v>
      </c>
      <c r="J1921" s="9">
        <v>6.75</v>
      </c>
    </row>
    <row r="1922" spans="7:10" x14ac:dyDescent="0.3">
      <c r="G1922" s="10" t="s">
        <v>1890</v>
      </c>
      <c r="H1922" s="11" t="s">
        <v>2034</v>
      </c>
      <c r="I1922" s="11" t="s">
        <v>1979</v>
      </c>
      <c r="J1922" s="12">
        <v>0.83</v>
      </c>
    </row>
    <row r="1923" spans="7:10" x14ac:dyDescent="0.3">
      <c r="G1923" s="7" t="s">
        <v>1891</v>
      </c>
      <c r="H1923" s="8" t="s">
        <v>2038</v>
      </c>
      <c r="I1923" s="8" t="s">
        <v>1979</v>
      </c>
      <c r="J1923" s="9">
        <v>0.41</v>
      </c>
    </row>
    <row r="1924" spans="7:10" x14ac:dyDescent="0.3">
      <c r="G1924" s="10" t="s">
        <v>1892</v>
      </c>
      <c r="H1924" s="11" t="s">
        <v>2034</v>
      </c>
      <c r="I1924" s="11" t="s">
        <v>2023</v>
      </c>
      <c r="J1924" s="12">
        <v>1.52</v>
      </c>
    </row>
    <row r="1925" spans="7:10" x14ac:dyDescent="0.3">
      <c r="G1925" s="7" t="s">
        <v>1893</v>
      </c>
      <c r="H1925" s="8" t="s">
        <v>2035</v>
      </c>
      <c r="I1925" s="8" t="s">
        <v>1986</v>
      </c>
      <c r="J1925" s="9">
        <v>2.4700000000000002</v>
      </c>
    </row>
    <row r="1926" spans="7:10" x14ac:dyDescent="0.3">
      <c r="G1926" s="10" t="s">
        <v>1894</v>
      </c>
      <c r="H1926" s="11" t="s">
        <v>2039</v>
      </c>
      <c r="I1926" s="11" t="s">
        <v>1998</v>
      </c>
      <c r="J1926" s="12">
        <v>0.63</v>
      </c>
    </row>
    <row r="1927" spans="7:10" x14ac:dyDescent="0.3">
      <c r="G1927" s="7" t="s">
        <v>1895</v>
      </c>
      <c r="H1927" s="8" t="s">
        <v>2038</v>
      </c>
      <c r="I1927" s="8" t="s">
        <v>1993</v>
      </c>
      <c r="J1927" s="9">
        <v>5</v>
      </c>
    </row>
    <row r="1928" spans="7:10" x14ac:dyDescent="0.3">
      <c r="G1928" s="10" t="s">
        <v>1896</v>
      </c>
      <c r="H1928" s="11" t="s">
        <v>2034</v>
      </c>
      <c r="I1928" s="11" t="s">
        <v>2023</v>
      </c>
      <c r="J1928" s="12">
        <v>2.2200000000000002</v>
      </c>
    </row>
    <row r="1929" spans="7:10" x14ac:dyDescent="0.3">
      <c r="G1929" s="7" t="s">
        <v>1897</v>
      </c>
      <c r="H1929" s="8" t="s">
        <v>2047</v>
      </c>
      <c r="I1929" s="8" t="s">
        <v>1979</v>
      </c>
      <c r="J1929" s="9">
        <v>0.79</v>
      </c>
    </row>
    <row r="1930" spans="7:10" x14ac:dyDescent="0.3">
      <c r="G1930" s="10" t="s">
        <v>1898</v>
      </c>
      <c r="H1930" s="11" t="s">
        <v>2034</v>
      </c>
      <c r="I1930" s="11" t="s">
        <v>1998</v>
      </c>
      <c r="J1930" s="12">
        <v>0.77</v>
      </c>
    </row>
    <row r="1931" spans="7:10" x14ac:dyDescent="0.3">
      <c r="G1931" s="7" t="s">
        <v>1899</v>
      </c>
      <c r="H1931" s="8" t="s">
        <v>2034</v>
      </c>
      <c r="I1931" s="8" t="s">
        <v>2030</v>
      </c>
      <c r="J1931" s="9">
        <v>3.13</v>
      </c>
    </row>
    <row r="1932" spans="7:10" x14ac:dyDescent="0.3">
      <c r="G1932" s="10" t="s">
        <v>1900</v>
      </c>
      <c r="H1932" s="11" t="s">
        <v>2057</v>
      </c>
      <c r="I1932" s="11" t="s">
        <v>1993</v>
      </c>
      <c r="J1932" s="12">
        <v>6.22</v>
      </c>
    </row>
    <row r="1933" spans="7:10" x14ac:dyDescent="0.3">
      <c r="G1933" s="7" t="s">
        <v>1901</v>
      </c>
      <c r="H1933" s="8" t="s">
        <v>2034</v>
      </c>
      <c r="I1933" s="8" t="s">
        <v>2002</v>
      </c>
      <c r="J1933" s="9">
        <v>1.83</v>
      </c>
    </row>
    <row r="1934" spans="7:10" x14ac:dyDescent="0.3">
      <c r="G1934" s="10" t="s">
        <v>1902</v>
      </c>
      <c r="H1934" s="11" t="s">
        <v>2038</v>
      </c>
      <c r="I1934" s="11" t="s">
        <v>1986</v>
      </c>
      <c r="J1934" s="12">
        <v>3.61</v>
      </c>
    </row>
    <row r="1935" spans="7:10" x14ac:dyDescent="0.3">
      <c r="G1935" s="7" t="s">
        <v>1903</v>
      </c>
      <c r="H1935" s="8" t="s">
        <v>2069</v>
      </c>
      <c r="I1935" s="8" t="s">
        <v>1993</v>
      </c>
      <c r="J1935" s="9">
        <v>1.85</v>
      </c>
    </row>
    <row r="1936" spans="7:10" x14ac:dyDescent="0.3">
      <c r="G1936" s="10" t="s">
        <v>1904</v>
      </c>
      <c r="H1936" s="11" t="s">
        <v>2035</v>
      </c>
      <c r="I1936" s="11" t="s">
        <v>2030</v>
      </c>
      <c r="J1936" s="12">
        <v>5.09</v>
      </c>
    </row>
    <row r="1937" spans="7:10" x14ac:dyDescent="0.3">
      <c r="G1937" s="7" t="s">
        <v>1905</v>
      </c>
      <c r="H1937" s="8" t="s">
        <v>2034</v>
      </c>
      <c r="I1937" s="8" t="s">
        <v>2004</v>
      </c>
      <c r="J1937" s="9">
        <v>3.09</v>
      </c>
    </row>
    <row r="1938" spans="7:10" x14ac:dyDescent="0.3">
      <c r="G1938" s="10" t="s">
        <v>1906</v>
      </c>
      <c r="H1938" s="11" t="s">
        <v>2038</v>
      </c>
      <c r="I1938" s="11" t="s">
        <v>1998</v>
      </c>
      <c r="J1938" s="12">
        <v>0.87</v>
      </c>
    </row>
    <row r="1939" spans="7:10" x14ac:dyDescent="0.3">
      <c r="G1939" s="7" t="s">
        <v>1907</v>
      </c>
      <c r="H1939" s="8" t="s">
        <v>2060</v>
      </c>
      <c r="I1939" s="8" t="s">
        <v>2004</v>
      </c>
      <c r="J1939" s="9">
        <v>2.0699999999999998</v>
      </c>
    </row>
    <row r="1940" spans="7:10" x14ac:dyDescent="0.3">
      <c r="G1940" s="10" t="s">
        <v>1908</v>
      </c>
      <c r="H1940" s="11" t="s">
        <v>2038</v>
      </c>
      <c r="I1940" s="11" t="s">
        <v>1997</v>
      </c>
      <c r="J1940" s="12">
        <v>6.48</v>
      </c>
    </row>
    <row r="1941" spans="7:10" x14ac:dyDescent="0.3">
      <c r="G1941" s="7" t="s">
        <v>1909</v>
      </c>
      <c r="H1941" s="8" t="s">
        <v>2034</v>
      </c>
      <c r="I1941" s="8" t="s">
        <v>1988</v>
      </c>
      <c r="J1941" s="9">
        <v>4.04</v>
      </c>
    </row>
    <row r="1942" spans="7:10" x14ac:dyDescent="0.3">
      <c r="G1942" s="10" t="s">
        <v>1910</v>
      </c>
      <c r="H1942" s="11" t="s">
        <v>2047</v>
      </c>
      <c r="I1942" s="11" t="s">
        <v>2015</v>
      </c>
      <c r="J1942" s="12">
        <v>0.21</v>
      </c>
    </row>
    <row r="1943" spans="7:10" x14ac:dyDescent="0.3">
      <c r="G1943" s="7" t="s">
        <v>1911</v>
      </c>
      <c r="H1943" s="8" t="s">
        <v>2037</v>
      </c>
      <c r="I1943" s="8" t="s">
        <v>2002</v>
      </c>
      <c r="J1943" s="9">
        <v>0.56999999999999995</v>
      </c>
    </row>
    <row r="1944" spans="7:10" x14ac:dyDescent="0.3">
      <c r="G1944" s="10" t="s">
        <v>1912</v>
      </c>
      <c r="H1944" s="11" t="s">
        <v>2039</v>
      </c>
      <c r="I1944" s="11" t="s">
        <v>1987</v>
      </c>
      <c r="J1944" s="12">
        <v>6.44</v>
      </c>
    </row>
    <row r="1945" spans="7:10" x14ac:dyDescent="0.3">
      <c r="G1945" s="7" t="s">
        <v>1913</v>
      </c>
      <c r="H1945" s="8" t="s">
        <v>2074</v>
      </c>
      <c r="I1945" s="8" t="s">
        <v>2001</v>
      </c>
      <c r="J1945" s="9">
        <v>1.6</v>
      </c>
    </row>
    <row r="1946" spans="7:10" x14ac:dyDescent="0.3">
      <c r="G1946" s="10" t="s">
        <v>1914</v>
      </c>
      <c r="H1946" s="11" t="s">
        <v>2038</v>
      </c>
      <c r="I1946" s="11" t="s">
        <v>2001</v>
      </c>
      <c r="J1946" s="12">
        <v>6.25</v>
      </c>
    </row>
    <row r="1947" spans="7:10" x14ac:dyDescent="0.3">
      <c r="G1947" s="7" t="s">
        <v>1915</v>
      </c>
      <c r="H1947" s="8" t="s">
        <v>2060</v>
      </c>
      <c r="I1947" s="8" t="s">
        <v>2023</v>
      </c>
      <c r="J1947" s="9">
        <v>3.02</v>
      </c>
    </row>
    <row r="1948" spans="7:10" x14ac:dyDescent="0.3">
      <c r="G1948" s="10" t="s">
        <v>1916</v>
      </c>
      <c r="H1948" s="11" t="s">
        <v>2038</v>
      </c>
      <c r="I1948" s="11" t="s">
        <v>2015</v>
      </c>
      <c r="J1948" s="12">
        <v>5.23</v>
      </c>
    </row>
    <row r="1949" spans="7:10" x14ac:dyDescent="0.3">
      <c r="G1949" s="7" t="s">
        <v>1917</v>
      </c>
      <c r="H1949" s="8" t="s">
        <v>2034</v>
      </c>
      <c r="I1949" s="8" t="s">
        <v>2001</v>
      </c>
      <c r="J1949" s="9">
        <v>3.73</v>
      </c>
    </row>
    <row r="1950" spans="7:10" x14ac:dyDescent="0.3">
      <c r="G1950" s="10" t="s">
        <v>1918</v>
      </c>
      <c r="H1950" s="11" t="s">
        <v>2061</v>
      </c>
      <c r="I1950" s="11" t="s">
        <v>1997</v>
      </c>
      <c r="J1950" s="12">
        <v>1.32</v>
      </c>
    </row>
    <row r="1951" spans="7:10" x14ac:dyDescent="0.3">
      <c r="G1951" s="7" t="s">
        <v>1919</v>
      </c>
      <c r="H1951" s="8" t="s">
        <v>2035</v>
      </c>
      <c r="I1951" s="8" t="s">
        <v>2023</v>
      </c>
      <c r="J1951" s="9">
        <v>3.04</v>
      </c>
    </row>
    <row r="1952" spans="7:10" x14ac:dyDescent="0.3">
      <c r="G1952" s="10" t="s">
        <v>1920</v>
      </c>
      <c r="H1952" s="11" t="s">
        <v>2038</v>
      </c>
      <c r="I1952" s="11" t="s">
        <v>1979</v>
      </c>
      <c r="J1952" s="12">
        <v>0.49</v>
      </c>
    </row>
    <row r="1953" spans="7:10" x14ac:dyDescent="0.3">
      <c r="G1953" s="7" t="s">
        <v>1921</v>
      </c>
      <c r="H1953" s="8" t="s">
        <v>2052</v>
      </c>
      <c r="I1953" s="8" t="s">
        <v>1979</v>
      </c>
      <c r="J1953" s="9">
        <v>0.46</v>
      </c>
    </row>
    <row r="1954" spans="7:10" x14ac:dyDescent="0.3">
      <c r="G1954" s="10" t="s">
        <v>1922</v>
      </c>
      <c r="H1954" s="11" t="s">
        <v>2034</v>
      </c>
      <c r="I1954" s="11" t="s">
        <v>2005</v>
      </c>
      <c r="J1954" s="12">
        <v>0.56999999999999995</v>
      </c>
    </row>
    <row r="1955" spans="7:10" x14ac:dyDescent="0.3">
      <c r="G1955" s="7" t="s">
        <v>1923</v>
      </c>
      <c r="H1955" s="8" t="s">
        <v>2034</v>
      </c>
      <c r="I1955" s="8" t="s">
        <v>1987</v>
      </c>
      <c r="J1955" s="9">
        <v>3.11</v>
      </c>
    </row>
    <row r="1956" spans="7:10" x14ac:dyDescent="0.3">
      <c r="G1956" s="10" t="s">
        <v>1924</v>
      </c>
      <c r="H1956" s="11" t="s">
        <v>2035</v>
      </c>
      <c r="I1956" s="11" t="s">
        <v>1998</v>
      </c>
      <c r="J1956" s="12">
        <v>0.4</v>
      </c>
    </row>
    <row r="1957" spans="7:10" x14ac:dyDescent="0.3">
      <c r="G1957" s="7" t="s">
        <v>1925</v>
      </c>
      <c r="H1957" s="8" t="s">
        <v>1977</v>
      </c>
      <c r="I1957" s="8" t="s">
        <v>2031</v>
      </c>
      <c r="J1957" s="9">
        <v>1.93</v>
      </c>
    </row>
    <row r="1958" spans="7:10" x14ac:dyDescent="0.3">
      <c r="G1958" s="10" t="s">
        <v>1926</v>
      </c>
      <c r="H1958" s="11" t="s">
        <v>2034</v>
      </c>
      <c r="I1958" s="11" t="s">
        <v>1998</v>
      </c>
      <c r="J1958" s="12">
        <v>2.21</v>
      </c>
    </row>
    <row r="1959" spans="7:10" x14ac:dyDescent="0.3">
      <c r="G1959" s="7" t="s">
        <v>2021</v>
      </c>
      <c r="H1959" s="8" t="s">
        <v>2053</v>
      </c>
      <c r="I1959" s="8" t="s">
        <v>2017</v>
      </c>
      <c r="J1959" s="9">
        <v>0.34</v>
      </c>
    </row>
    <row r="1960" spans="7:10" x14ac:dyDescent="0.3">
      <c r="G1960" s="10" t="s">
        <v>1927</v>
      </c>
      <c r="H1960" s="11" t="s">
        <v>2039</v>
      </c>
      <c r="I1960" s="11" t="s">
        <v>1998</v>
      </c>
      <c r="J1960" s="12">
        <v>0.02</v>
      </c>
    </row>
    <row r="1961" spans="7:10" x14ac:dyDescent="0.3">
      <c r="G1961" s="7" t="s">
        <v>1928</v>
      </c>
      <c r="H1961" s="8" t="s">
        <v>2034</v>
      </c>
      <c r="I1961" s="8" t="s">
        <v>1987</v>
      </c>
      <c r="J1961" s="9">
        <v>2.95</v>
      </c>
    </row>
    <row r="1962" spans="7:10" x14ac:dyDescent="0.3">
      <c r="G1962" s="10" t="s">
        <v>1929</v>
      </c>
      <c r="H1962" s="11" t="s">
        <v>2034</v>
      </c>
      <c r="I1962" s="11" t="s">
        <v>2002</v>
      </c>
      <c r="J1962" s="12">
        <v>3.74</v>
      </c>
    </row>
    <row r="1963" spans="7:10" x14ac:dyDescent="0.3">
      <c r="G1963" s="7" t="s">
        <v>1930</v>
      </c>
      <c r="H1963" s="8" t="s">
        <v>2038</v>
      </c>
      <c r="I1963" s="8" t="s">
        <v>1993</v>
      </c>
      <c r="J1963" s="9">
        <v>4.33</v>
      </c>
    </row>
    <row r="1964" spans="7:10" x14ac:dyDescent="0.3">
      <c r="G1964" s="10" t="s">
        <v>1931</v>
      </c>
      <c r="H1964" s="11" t="s">
        <v>2042</v>
      </c>
      <c r="I1964" s="11" t="s">
        <v>2003</v>
      </c>
      <c r="J1964" s="12">
        <v>4.4000000000000004</v>
      </c>
    </row>
    <row r="1965" spans="7:10" x14ac:dyDescent="0.3">
      <c r="G1965" s="7" t="s">
        <v>1932</v>
      </c>
      <c r="H1965" s="8" t="s">
        <v>2052</v>
      </c>
      <c r="I1965" s="8" t="s">
        <v>1979</v>
      </c>
      <c r="J1965" s="9">
        <v>0.35</v>
      </c>
    </row>
    <row r="1966" spans="7:10" x14ac:dyDescent="0.3">
      <c r="G1966" s="10" t="s">
        <v>1933</v>
      </c>
      <c r="H1966" s="11" t="s">
        <v>2034</v>
      </c>
      <c r="I1966" s="11" t="s">
        <v>1998</v>
      </c>
      <c r="J1966" s="12">
        <v>0.26</v>
      </c>
    </row>
    <row r="1967" spans="7:10" x14ac:dyDescent="0.3">
      <c r="G1967" s="7" t="s">
        <v>1934</v>
      </c>
      <c r="H1967" s="8" t="s">
        <v>2038</v>
      </c>
      <c r="I1967" s="8" t="s">
        <v>1998</v>
      </c>
      <c r="J1967" s="9">
        <v>1.4</v>
      </c>
    </row>
    <row r="1968" spans="7:10" x14ac:dyDescent="0.3">
      <c r="G1968" s="10" t="s">
        <v>1935</v>
      </c>
      <c r="H1968" s="11" t="s">
        <v>2037</v>
      </c>
      <c r="I1968" s="11" t="s">
        <v>1979</v>
      </c>
      <c r="J1968" s="12">
        <v>0.47</v>
      </c>
    </row>
    <row r="1969" spans="7:10" x14ac:dyDescent="0.3">
      <c r="G1969" s="7" t="s">
        <v>1936</v>
      </c>
      <c r="H1969" s="8" t="s">
        <v>2034</v>
      </c>
      <c r="I1969" s="8" t="s">
        <v>2023</v>
      </c>
      <c r="J1969" s="9">
        <v>6.05</v>
      </c>
    </row>
    <row r="1970" spans="7:10" x14ac:dyDescent="0.3">
      <c r="G1970" s="10" t="s">
        <v>1937</v>
      </c>
      <c r="H1970" s="11" t="s">
        <v>2038</v>
      </c>
      <c r="I1970" s="11" t="s">
        <v>1987</v>
      </c>
      <c r="J1970" s="12">
        <v>3.62</v>
      </c>
    </row>
    <row r="1971" spans="7:10" x14ac:dyDescent="0.3">
      <c r="G1971" s="7" t="s">
        <v>1938</v>
      </c>
      <c r="H1971" s="8" t="s">
        <v>2034</v>
      </c>
      <c r="I1971" s="8" t="s">
        <v>2022</v>
      </c>
      <c r="J1971" s="9">
        <v>1.35</v>
      </c>
    </row>
    <row r="1972" spans="7:10" x14ac:dyDescent="0.3">
      <c r="G1972" s="10" t="s">
        <v>1939</v>
      </c>
      <c r="H1972" s="11" t="s">
        <v>2038</v>
      </c>
      <c r="I1972" s="11" t="s">
        <v>1979</v>
      </c>
      <c r="J1972" s="12">
        <v>0.24</v>
      </c>
    </row>
    <row r="1973" spans="7:10" x14ac:dyDescent="0.3">
      <c r="G1973" s="7" t="s">
        <v>1940</v>
      </c>
      <c r="H1973" s="8" t="s">
        <v>2037</v>
      </c>
      <c r="I1973" s="8" t="s">
        <v>2031</v>
      </c>
      <c r="J1973" s="9">
        <v>2.52</v>
      </c>
    </row>
    <row r="1974" spans="7:10" x14ac:dyDescent="0.3">
      <c r="G1974" s="10" t="s">
        <v>1941</v>
      </c>
      <c r="H1974" s="11" t="s">
        <v>2050</v>
      </c>
      <c r="I1974" s="11" t="s">
        <v>2029</v>
      </c>
      <c r="J1974" s="12">
        <v>4.53</v>
      </c>
    </row>
    <row r="1975" spans="7:10" x14ac:dyDescent="0.3">
      <c r="G1975" s="7" t="s">
        <v>1942</v>
      </c>
      <c r="H1975" s="8" t="s">
        <v>2042</v>
      </c>
      <c r="I1975" s="8" t="s">
        <v>1986</v>
      </c>
      <c r="J1975" s="9">
        <v>1.91</v>
      </c>
    </row>
    <row r="1976" spans="7:10" x14ac:dyDescent="0.3">
      <c r="G1976" s="10" t="s">
        <v>1943</v>
      </c>
      <c r="H1976" s="11" t="s">
        <v>2034</v>
      </c>
      <c r="I1976" s="11" t="s">
        <v>2027</v>
      </c>
      <c r="J1976" s="12">
        <v>2.61</v>
      </c>
    </row>
    <row r="1977" spans="7:10" x14ac:dyDescent="0.3">
      <c r="G1977" s="7" t="s">
        <v>1944</v>
      </c>
      <c r="H1977" s="8" t="s">
        <v>2052</v>
      </c>
      <c r="I1977" s="8" t="s">
        <v>2030</v>
      </c>
      <c r="J1977" s="9">
        <v>0.28000000000000003</v>
      </c>
    </row>
    <row r="1978" spans="7:10" x14ac:dyDescent="0.3">
      <c r="G1978" s="10" t="s">
        <v>1945</v>
      </c>
      <c r="H1978" s="11" t="s">
        <v>2038</v>
      </c>
      <c r="I1978" s="11" t="s">
        <v>1979</v>
      </c>
      <c r="J1978" s="12">
        <v>0.28000000000000003</v>
      </c>
    </row>
    <row r="1979" spans="7:10" x14ac:dyDescent="0.3">
      <c r="G1979" s="7" t="s">
        <v>1946</v>
      </c>
      <c r="H1979" s="8" t="s">
        <v>2041</v>
      </c>
      <c r="I1979" s="8" t="s">
        <v>1979</v>
      </c>
      <c r="J1979" s="9">
        <v>0.64</v>
      </c>
    </row>
    <row r="1980" spans="7:10" x14ac:dyDescent="0.3">
      <c r="G1980" s="10" t="s">
        <v>1947</v>
      </c>
      <c r="H1980" s="11" t="s">
        <v>2061</v>
      </c>
      <c r="I1980" s="11" t="s">
        <v>1979</v>
      </c>
      <c r="J1980" s="12">
        <v>0.93</v>
      </c>
    </row>
    <row r="1981" spans="7:10" x14ac:dyDescent="0.3">
      <c r="G1981" s="7" t="s">
        <v>1948</v>
      </c>
      <c r="H1981" s="8" t="s">
        <v>2034</v>
      </c>
      <c r="I1981" s="8" t="s">
        <v>2023</v>
      </c>
      <c r="J1981" s="9">
        <v>5.98</v>
      </c>
    </row>
    <row r="1982" spans="7:10" x14ac:dyDescent="0.3">
      <c r="G1982" s="10" t="s">
        <v>1949</v>
      </c>
      <c r="H1982" s="11" t="s">
        <v>2061</v>
      </c>
      <c r="I1982" s="11" t="s">
        <v>1979</v>
      </c>
      <c r="J1982" s="12">
        <v>1.05</v>
      </c>
    </row>
    <row r="1983" spans="7:10" x14ac:dyDescent="0.3">
      <c r="G1983" s="7" t="s">
        <v>1950</v>
      </c>
      <c r="H1983" s="8" t="s">
        <v>2034</v>
      </c>
      <c r="I1983" s="8" t="s">
        <v>2005</v>
      </c>
      <c r="J1983" s="9">
        <v>2.93</v>
      </c>
    </row>
    <row r="1984" spans="7:10" x14ac:dyDescent="0.3">
      <c r="G1984" s="10" t="s">
        <v>1951</v>
      </c>
      <c r="H1984" s="11" t="s">
        <v>2034</v>
      </c>
      <c r="I1984" s="11" t="s">
        <v>2002</v>
      </c>
      <c r="J1984" s="12">
        <v>1.1599999999999999</v>
      </c>
    </row>
    <row r="1985" spans="7:10" x14ac:dyDescent="0.3">
      <c r="G1985" s="7" t="s">
        <v>2014</v>
      </c>
      <c r="H1985" s="8" t="s">
        <v>2034</v>
      </c>
      <c r="I1985" s="8" t="s">
        <v>2005</v>
      </c>
      <c r="J1985" s="9">
        <v>2.62</v>
      </c>
    </row>
    <row r="1986" spans="7:10" x14ac:dyDescent="0.3">
      <c r="G1986" s="10" t="s">
        <v>1952</v>
      </c>
      <c r="H1986" s="11" t="s">
        <v>2054</v>
      </c>
      <c r="I1986" s="11" t="s">
        <v>2030</v>
      </c>
      <c r="J1986" s="12">
        <v>0.47</v>
      </c>
    </row>
    <row r="1987" spans="7:10" x14ac:dyDescent="0.3">
      <c r="G1987" s="7" t="s">
        <v>1953</v>
      </c>
      <c r="H1987" s="8" t="s">
        <v>2038</v>
      </c>
      <c r="I1987" s="8" t="s">
        <v>1986</v>
      </c>
      <c r="J1987" s="9">
        <v>4.09</v>
      </c>
    </row>
    <row r="1988" spans="7:10" x14ac:dyDescent="0.3">
      <c r="G1988" s="10" t="s">
        <v>1954</v>
      </c>
      <c r="H1988" s="11" t="s">
        <v>2057</v>
      </c>
      <c r="I1988" s="11" t="s">
        <v>2015</v>
      </c>
      <c r="J1988" s="12">
        <v>2.57</v>
      </c>
    </row>
    <row r="1989" spans="7:10" x14ac:dyDescent="0.3">
      <c r="G1989" s="7" t="s">
        <v>1955</v>
      </c>
      <c r="H1989" s="8" t="s">
        <v>2050</v>
      </c>
      <c r="I1989" s="8" t="s">
        <v>1998</v>
      </c>
      <c r="J1989" s="9">
        <v>0.2</v>
      </c>
    </row>
    <row r="1990" spans="7:10" x14ac:dyDescent="0.3">
      <c r="G1990" s="10" t="s">
        <v>1956</v>
      </c>
      <c r="H1990" s="11" t="s">
        <v>2065</v>
      </c>
      <c r="I1990" s="11" t="s">
        <v>2027</v>
      </c>
      <c r="J1990" s="12">
        <v>1.1499999999999999</v>
      </c>
    </row>
    <row r="1991" spans="7:10" x14ac:dyDescent="0.3">
      <c r="G1991" s="7" t="s">
        <v>1957</v>
      </c>
      <c r="H1991" s="8" t="s">
        <v>2038</v>
      </c>
      <c r="I1991" s="8" t="s">
        <v>2029</v>
      </c>
      <c r="J1991" s="9">
        <v>5.93</v>
      </c>
    </row>
    <row r="1992" spans="7:10" x14ac:dyDescent="0.3">
      <c r="G1992" s="10" t="s">
        <v>1958</v>
      </c>
      <c r="H1992" s="11" t="s">
        <v>2038</v>
      </c>
      <c r="I1992" s="11" t="s">
        <v>2029</v>
      </c>
      <c r="J1992" s="12">
        <v>5.93</v>
      </c>
    </row>
    <row r="1993" spans="7:10" x14ac:dyDescent="0.3">
      <c r="G1993" s="7" t="s">
        <v>1959</v>
      </c>
      <c r="H1993" s="8" t="s">
        <v>2063</v>
      </c>
      <c r="I1993" s="8" t="s">
        <v>2001</v>
      </c>
      <c r="J1993" s="9">
        <v>2.35</v>
      </c>
    </row>
    <row r="1994" spans="7:10" x14ac:dyDescent="0.3">
      <c r="G1994" s="10" t="s">
        <v>1960</v>
      </c>
      <c r="H1994" s="11" t="s">
        <v>2065</v>
      </c>
      <c r="I1994" s="11" t="s">
        <v>1979</v>
      </c>
      <c r="J1994" s="12">
        <v>0.44</v>
      </c>
    </row>
    <row r="1995" spans="7:10" x14ac:dyDescent="0.3">
      <c r="G1995" s="7" t="s">
        <v>1961</v>
      </c>
      <c r="H1995" s="8" t="s">
        <v>2038</v>
      </c>
      <c r="I1995" s="8" t="s">
        <v>2004</v>
      </c>
      <c r="J1995" s="9">
        <v>3.33</v>
      </c>
    </row>
    <row r="1996" spans="7:10" x14ac:dyDescent="0.3">
      <c r="G1996" s="10" t="s">
        <v>1962</v>
      </c>
      <c r="H1996" s="11" t="s">
        <v>2038</v>
      </c>
      <c r="I1996" s="11" t="s">
        <v>2015</v>
      </c>
      <c r="J1996" s="12">
        <v>4</v>
      </c>
    </row>
    <row r="1997" spans="7:10" x14ac:dyDescent="0.3">
      <c r="G1997" s="7" t="s">
        <v>1963</v>
      </c>
      <c r="H1997" s="8" t="s">
        <v>2035</v>
      </c>
      <c r="I1997" s="8" t="s">
        <v>1999</v>
      </c>
      <c r="J1997" s="9">
        <v>1.52</v>
      </c>
    </row>
    <row r="1998" spans="7:10" x14ac:dyDescent="0.3">
      <c r="G1998" s="10" t="s">
        <v>1964</v>
      </c>
      <c r="H1998" s="11" t="s">
        <v>2038</v>
      </c>
      <c r="I1998" s="11" t="s">
        <v>1979</v>
      </c>
      <c r="J1998" s="12">
        <v>0.44</v>
      </c>
    </row>
    <row r="1999" spans="7:10" x14ac:dyDescent="0.3">
      <c r="G1999" s="7" t="s">
        <v>1965</v>
      </c>
      <c r="H1999" s="8" t="s">
        <v>2034</v>
      </c>
      <c r="I1999" s="8" t="s">
        <v>2031</v>
      </c>
      <c r="J1999" s="9">
        <v>2.72</v>
      </c>
    </row>
    <row r="2000" spans="7:10" x14ac:dyDescent="0.3">
      <c r="G2000" s="10" t="s">
        <v>1966</v>
      </c>
      <c r="H2000" s="11" t="s">
        <v>2034</v>
      </c>
      <c r="I2000" s="11" t="s">
        <v>2031</v>
      </c>
      <c r="J2000" s="12">
        <v>2.36</v>
      </c>
    </row>
    <row r="2001" spans="7:10" x14ac:dyDescent="0.3">
      <c r="G2001" s="7" t="s">
        <v>1967</v>
      </c>
      <c r="H2001" s="8" t="s">
        <v>2037</v>
      </c>
      <c r="I2001" s="8" t="s">
        <v>1979</v>
      </c>
      <c r="J2001" s="9">
        <v>0.45</v>
      </c>
    </row>
    <row r="2002" spans="7:10" x14ac:dyDescent="0.3">
      <c r="G2002" s="10" t="s">
        <v>1968</v>
      </c>
      <c r="H2002" s="11" t="s">
        <v>2034</v>
      </c>
      <c r="I2002" s="11" t="s">
        <v>2031</v>
      </c>
      <c r="J2002" s="12">
        <v>2.96</v>
      </c>
    </row>
    <row r="2003" spans="7:10" x14ac:dyDescent="0.3">
      <c r="G2003" s="7" t="s">
        <v>1969</v>
      </c>
      <c r="H2003" s="8" t="s">
        <v>2038</v>
      </c>
      <c r="I2003" s="8" t="s">
        <v>2017</v>
      </c>
      <c r="J2003" s="9">
        <v>3.34</v>
      </c>
    </row>
    <row r="2004" spans="7:10" x14ac:dyDescent="0.3">
      <c r="G2004" s="1" t="s">
        <v>1970</v>
      </c>
      <c r="H2004" s="2" t="s">
        <v>2034</v>
      </c>
      <c r="I2004" s="2" t="s">
        <v>2005</v>
      </c>
      <c r="J2004" s="3">
        <v>2.2000000000000002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7593-17FC-411F-B55D-301EC0D184BE}">
  <sheetPr filterMode="1"/>
  <dimension ref="F17:K2021"/>
  <sheetViews>
    <sheetView workbookViewId="0">
      <selection activeCell="C45" sqref="C45"/>
    </sheetView>
  </sheetViews>
  <sheetFormatPr defaultRowHeight="14.4" x14ac:dyDescent="0.3"/>
  <cols>
    <col min="5" max="5" width="8.6640625" customWidth="1"/>
    <col min="6" max="6" width="9.109375" hidden="1" customWidth="1"/>
    <col min="7" max="7" width="21.6640625" customWidth="1"/>
    <col min="8" max="8" width="27.109375" customWidth="1"/>
    <col min="9" max="9" width="26.44140625" customWidth="1"/>
    <col min="10" max="10" width="21.6640625" customWidth="1"/>
    <col min="11" max="11" width="20.6640625" customWidth="1"/>
    <col min="12" max="12" width="28.6640625" customWidth="1"/>
    <col min="13" max="13" width="9.33203125" bestFit="1" customWidth="1"/>
  </cols>
  <sheetData>
    <row r="17" spans="7:11" x14ac:dyDescent="0.3">
      <c r="G17" s="4" t="s">
        <v>1974</v>
      </c>
      <c r="H17" s="5" t="s">
        <v>1973</v>
      </c>
      <c r="I17" s="5" t="s">
        <v>1972</v>
      </c>
      <c r="J17" s="6" t="s">
        <v>1971</v>
      </c>
      <c r="K17" s="6" t="s">
        <v>2094</v>
      </c>
    </row>
    <row r="18" spans="7:11" hidden="1" x14ac:dyDescent="0.3">
      <c r="G18" s="7" t="s">
        <v>92</v>
      </c>
      <c r="H18" s="8" t="s">
        <v>2034</v>
      </c>
      <c r="I18" s="8" t="s">
        <v>1978</v>
      </c>
      <c r="J18" s="9">
        <v>54.85</v>
      </c>
    </row>
    <row r="19" spans="7:11" hidden="1" x14ac:dyDescent="0.3">
      <c r="G19" s="10" t="s">
        <v>150</v>
      </c>
      <c r="H19" s="11" t="s">
        <v>2036</v>
      </c>
      <c r="I19" s="11" t="s">
        <v>1978</v>
      </c>
      <c r="J19" s="12">
        <v>43.09</v>
      </c>
    </row>
    <row r="20" spans="7:11" hidden="1" x14ac:dyDescent="0.3">
      <c r="G20" s="10" t="s">
        <v>179</v>
      </c>
      <c r="H20" s="11" t="s">
        <v>2034</v>
      </c>
      <c r="I20" s="11" t="s">
        <v>1978</v>
      </c>
      <c r="J20" s="12">
        <v>37.21</v>
      </c>
    </row>
    <row r="21" spans="7:11" hidden="1" x14ac:dyDescent="0.3">
      <c r="G21" s="10" t="s">
        <v>207</v>
      </c>
      <c r="H21" s="11" t="s">
        <v>2034</v>
      </c>
      <c r="I21" s="11" t="s">
        <v>1978</v>
      </c>
      <c r="J21" s="12">
        <v>30.72</v>
      </c>
    </row>
    <row r="22" spans="7:11" hidden="1" x14ac:dyDescent="0.3">
      <c r="G22" s="7" t="s">
        <v>256</v>
      </c>
      <c r="H22" s="8" t="s">
        <v>2035</v>
      </c>
      <c r="I22" s="8" t="s">
        <v>1978</v>
      </c>
      <c r="J22" s="9">
        <v>18.93</v>
      </c>
    </row>
    <row r="23" spans="7:11" hidden="1" x14ac:dyDescent="0.3">
      <c r="G23" s="10" t="s">
        <v>265</v>
      </c>
      <c r="H23" s="11" t="s">
        <v>2034</v>
      </c>
      <c r="I23" s="11" t="s">
        <v>1978</v>
      </c>
      <c r="J23" s="12">
        <v>21.24</v>
      </c>
    </row>
    <row r="24" spans="7:11" hidden="1" x14ac:dyDescent="0.3">
      <c r="G24" s="10" t="s">
        <v>302</v>
      </c>
      <c r="H24" s="11" t="s">
        <v>2034</v>
      </c>
      <c r="I24" s="11" t="s">
        <v>1978</v>
      </c>
      <c r="J24" s="12">
        <v>21.89</v>
      </c>
    </row>
    <row r="25" spans="7:11" hidden="1" x14ac:dyDescent="0.3">
      <c r="G25" s="10" t="s">
        <v>440</v>
      </c>
      <c r="H25" s="11" t="s">
        <v>2042</v>
      </c>
      <c r="I25" s="11" t="s">
        <v>1978</v>
      </c>
      <c r="J25" s="12">
        <v>12.18</v>
      </c>
    </row>
    <row r="26" spans="7:11" hidden="1" x14ac:dyDescent="0.3">
      <c r="G26" s="10" t="s">
        <v>486</v>
      </c>
      <c r="H26" s="11" t="s">
        <v>2035</v>
      </c>
      <c r="I26" s="11" t="s">
        <v>1978</v>
      </c>
      <c r="J26" s="12">
        <v>11.35</v>
      </c>
    </row>
    <row r="27" spans="7:11" hidden="1" x14ac:dyDescent="0.3">
      <c r="G27" s="7" t="s">
        <v>633</v>
      </c>
      <c r="H27" s="8" t="s">
        <v>2034</v>
      </c>
      <c r="I27" s="8" t="s">
        <v>1978</v>
      </c>
      <c r="J27" s="9">
        <v>9.44</v>
      </c>
    </row>
    <row r="28" spans="7:11" hidden="1" x14ac:dyDescent="0.3">
      <c r="G28" s="10" t="s">
        <v>704</v>
      </c>
      <c r="H28" s="11" t="s">
        <v>2039</v>
      </c>
      <c r="I28" s="11" t="s">
        <v>1978</v>
      </c>
      <c r="J28" s="12">
        <v>13.96</v>
      </c>
    </row>
    <row r="29" spans="7:11" hidden="1" x14ac:dyDescent="0.3">
      <c r="G29" s="7" t="s">
        <v>896</v>
      </c>
      <c r="H29" s="8" t="s">
        <v>2039</v>
      </c>
      <c r="I29" s="8" t="s">
        <v>1978</v>
      </c>
      <c r="J29" s="9">
        <v>4.6900000000000004</v>
      </c>
    </row>
    <row r="30" spans="7:11" hidden="1" x14ac:dyDescent="0.3">
      <c r="G30" s="10" t="s">
        <v>925</v>
      </c>
      <c r="H30" s="11" t="s">
        <v>2047</v>
      </c>
      <c r="I30" s="11" t="s">
        <v>1978</v>
      </c>
      <c r="J30" s="12">
        <v>16.41</v>
      </c>
    </row>
    <row r="31" spans="7:11" hidden="1" x14ac:dyDescent="0.3">
      <c r="G31" s="7" t="s">
        <v>1049</v>
      </c>
      <c r="H31" s="8" t="s">
        <v>2044</v>
      </c>
      <c r="I31" s="8" t="s">
        <v>1978</v>
      </c>
      <c r="J31" s="9">
        <v>3.85</v>
      </c>
    </row>
    <row r="32" spans="7:11" hidden="1" x14ac:dyDescent="0.3">
      <c r="G32" s="7" t="s">
        <v>1110</v>
      </c>
      <c r="H32" s="8" t="s">
        <v>2034</v>
      </c>
      <c r="I32" s="8" t="s">
        <v>1978</v>
      </c>
      <c r="J32" s="9">
        <v>5.4</v>
      </c>
    </row>
    <row r="33" spans="7:11" hidden="1" x14ac:dyDescent="0.3">
      <c r="G33" s="7" t="s">
        <v>1138</v>
      </c>
      <c r="H33" s="8" t="s">
        <v>2034</v>
      </c>
      <c r="I33" s="8" t="s">
        <v>1978</v>
      </c>
      <c r="J33" s="9">
        <v>3.56</v>
      </c>
    </row>
    <row r="34" spans="7:11" hidden="1" x14ac:dyDescent="0.3">
      <c r="G34" s="7" t="s">
        <v>1286</v>
      </c>
      <c r="H34" s="8" t="s">
        <v>2034</v>
      </c>
      <c r="I34" s="8" t="s">
        <v>1978</v>
      </c>
      <c r="J34" s="9">
        <v>3.4</v>
      </c>
    </row>
    <row r="35" spans="7:11" hidden="1" x14ac:dyDescent="0.3">
      <c r="G35" s="7" t="s">
        <v>1728</v>
      </c>
      <c r="H35" s="8" t="s">
        <v>2066</v>
      </c>
      <c r="I35" s="8" t="s">
        <v>1978</v>
      </c>
      <c r="J35" s="9">
        <v>2.0099999999999998</v>
      </c>
    </row>
    <row r="36" spans="7:11" x14ac:dyDescent="0.3">
      <c r="G36" s="7" t="s">
        <v>0</v>
      </c>
      <c r="H36" s="8" t="s">
        <v>2034</v>
      </c>
      <c r="I36" s="8" t="s">
        <v>1979</v>
      </c>
      <c r="J36" s="9">
        <v>120.32</v>
      </c>
      <c r="K36" s="21">
        <f>J36/$J$2018</f>
        <v>9.8013180296353017E-2</v>
      </c>
    </row>
    <row r="37" spans="7:11" x14ac:dyDescent="0.3">
      <c r="G37" s="7" t="s">
        <v>2</v>
      </c>
      <c r="H37" s="8" t="s">
        <v>2034</v>
      </c>
      <c r="I37" s="8" t="s">
        <v>1979</v>
      </c>
      <c r="J37" s="9">
        <v>85.39</v>
      </c>
      <c r="K37" s="21">
        <f t="shared" ref="K37:K53" si="0">J37/$J$2018</f>
        <v>6.9559054733257852E-2</v>
      </c>
    </row>
    <row r="38" spans="7:11" x14ac:dyDescent="0.3">
      <c r="G38" s="7" t="s">
        <v>4</v>
      </c>
      <c r="H38" s="8" t="s">
        <v>2035</v>
      </c>
      <c r="I38" s="8" t="s">
        <v>1979</v>
      </c>
      <c r="J38" s="9">
        <v>76.38</v>
      </c>
      <c r="K38" s="21">
        <f t="shared" si="0"/>
        <v>6.2219470670174894E-2</v>
      </c>
    </row>
    <row r="39" spans="7:11" x14ac:dyDescent="0.3">
      <c r="G39" s="7" t="s">
        <v>8</v>
      </c>
      <c r="H39" s="8" t="s">
        <v>2034</v>
      </c>
      <c r="I39" s="8" t="s">
        <v>1979</v>
      </c>
      <c r="J39" s="9">
        <v>79.900000000000006</v>
      </c>
      <c r="K39" s="21">
        <f t="shared" si="0"/>
        <v>6.5086877540546928E-2</v>
      </c>
    </row>
    <row r="40" spans="7:11" x14ac:dyDescent="0.3">
      <c r="G40" s="10" t="s">
        <v>13</v>
      </c>
      <c r="H40" s="11" t="s">
        <v>2035</v>
      </c>
      <c r="I40" s="11" t="s">
        <v>1979</v>
      </c>
      <c r="J40" s="12">
        <v>55.05</v>
      </c>
      <c r="K40" s="21">
        <f t="shared" si="0"/>
        <v>4.4843962560789839E-2</v>
      </c>
    </row>
    <row r="41" spans="7:11" x14ac:dyDescent="0.3">
      <c r="G41" s="7" t="s">
        <v>16</v>
      </c>
      <c r="H41" s="8" t="s">
        <v>2039</v>
      </c>
      <c r="I41" s="8" t="s">
        <v>1979</v>
      </c>
      <c r="J41" s="9">
        <v>60.9</v>
      </c>
      <c r="K41" s="21">
        <f t="shared" si="0"/>
        <v>4.960939727433427E-2</v>
      </c>
    </row>
    <row r="42" spans="7:11" x14ac:dyDescent="0.3">
      <c r="G42" s="7" t="s">
        <v>18</v>
      </c>
      <c r="H42" s="8" t="s">
        <v>2040</v>
      </c>
      <c r="I42" s="8" t="s">
        <v>1979</v>
      </c>
      <c r="J42" s="9">
        <v>44.81</v>
      </c>
      <c r="K42" s="21">
        <f t="shared" si="0"/>
        <v>3.6502415301525759E-2</v>
      </c>
    </row>
    <row r="43" spans="7:11" x14ac:dyDescent="0.3">
      <c r="G43" s="10" t="s">
        <v>19</v>
      </c>
      <c r="H43" s="11" t="s">
        <v>2035</v>
      </c>
      <c r="I43" s="11" t="s">
        <v>1979</v>
      </c>
      <c r="J43" s="12">
        <v>47.87</v>
      </c>
      <c r="K43" s="21">
        <f t="shared" si="0"/>
        <v>3.8995104228610529E-2</v>
      </c>
    </row>
    <row r="44" spans="7:11" x14ac:dyDescent="0.3">
      <c r="G44" s="10" t="s">
        <v>23</v>
      </c>
      <c r="H44" s="11" t="s">
        <v>2035</v>
      </c>
      <c r="I44" s="11" t="s">
        <v>1979</v>
      </c>
      <c r="J44" s="12">
        <v>51.74</v>
      </c>
      <c r="K44" s="21">
        <f t="shared" si="0"/>
        <v>4.2147622577570688E-2</v>
      </c>
    </row>
    <row r="45" spans="7:11" x14ac:dyDescent="0.3">
      <c r="G45" s="10" t="s">
        <v>25</v>
      </c>
      <c r="H45" s="11" t="s">
        <v>2034</v>
      </c>
      <c r="I45" s="11" t="s">
        <v>1979</v>
      </c>
      <c r="J45" s="12">
        <v>40.409999999999997</v>
      </c>
      <c r="K45" s="21">
        <f t="shared" si="0"/>
        <v>3.2918156713560714E-2</v>
      </c>
    </row>
    <row r="46" spans="7:11" x14ac:dyDescent="0.3">
      <c r="G46" s="10" t="s">
        <v>39</v>
      </c>
      <c r="H46" s="11" t="s">
        <v>2034</v>
      </c>
      <c r="I46" s="11" t="s">
        <v>1979</v>
      </c>
      <c r="J46" s="12">
        <v>35.909999999999997</v>
      </c>
      <c r="K46" s="21">
        <f t="shared" si="0"/>
        <v>2.9252437703141929E-2</v>
      </c>
    </row>
    <row r="47" spans="7:11" x14ac:dyDescent="0.3">
      <c r="G47" s="7" t="s">
        <v>40</v>
      </c>
      <c r="H47" s="8" t="s">
        <v>2036</v>
      </c>
      <c r="I47" s="8" t="s">
        <v>1979</v>
      </c>
      <c r="J47" s="9">
        <v>50.03</v>
      </c>
      <c r="K47" s="21">
        <f t="shared" si="0"/>
        <v>4.0754649353611554E-2</v>
      </c>
    </row>
    <row r="48" spans="7:11" x14ac:dyDescent="0.3">
      <c r="G48" s="7" t="s">
        <v>42</v>
      </c>
      <c r="H48" s="8" t="s">
        <v>2039</v>
      </c>
      <c r="I48" s="8" t="s">
        <v>1979</v>
      </c>
      <c r="J48" s="9">
        <v>49.68</v>
      </c>
      <c r="K48" s="21">
        <f t="shared" si="0"/>
        <v>4.0469537875023422E-2</v>
      </c>
    </row>
    <row r="49" spans="7:11" x14ac:dyDescent="0.3">
      <c r="G49" s="10" t="s">
        <v>43</v>
      </c>
      <c r="H49" s="11" t="s">
        <v>2038</v>
      </c>
      <c r="I49" s="11" t="s">
        <v>1979</v>
      </c>
      <c r="J49" s="12">
        <v>27.96</v>
      </c>
      <c r="K49" s="21">
        <f t="shared" si="0"/>
        <v>2.2776334118068738E-2</v>
      </c>
    </row>
    <row r="50" spans="7:11" x14ac:dyDescent="0.3">
      <c r="G50" s="10" t="s">
        <v>45</v>
      </c>
      <c r="H50" s="11" t="s">
        <v>2039</v>
      </c>
      <c r="I50" s="11" t="s">
        <v>1979</v>
      </c>
      <c r="J50" s="12">
        <v>81.099999999999994</v>
      </c>
      <c r="K50" s="21">
        <f t="shared" si="0"/>
        <v>6.606440260999194E-2</v>
      </c>
    </row>
    <row r="51" spans="7:11" x14ac:dyDescent="0.3">
      <c r="G51" s="7" t="s">
        <v>46</v>
      </c>
      <c r="H51" s="8" t="s">
        <v>2035</v>
      </c>
      <c r="I51" s="8" t="s">
        <v>1979</v>
      </c>
      <c r="J51" s="9">
        <v>52.38</v>
      </c>
      <c r="K51" s="21">
        <f t="shared" si="0"/>
        <v>4.2668969281274699E-2</v>
      </c>
    </row>
    <row r="52" spans="7:11" x14ac:dyDescent="0.3">
      <c r="G52" s="10" t="s">
        <v>57</v>
      </c>
      <c r="H52" s="11" t="s">
        <v>2040</v>
      </c>
      <c r="I52" s="11" t="s">
        <v>1979</v>
      </c>
      <c r="J52" s="12">
        <v>28.21</v>
      </c>
      <c r="K52" s="21">
        <f t="shared" si="0"/>
        <v>2.2979985174203115E-2</v>
      </c>
    </row>
    <row r="53" spans="7:11" x14ac:dyDescent="0.3">
      <c r="G53" s="10" t="s">
        <v>61</v>
      </c>
      <c r="H53" s="11" t="s">
        <v>2038</v>
      </c>
      <c r="I53" s="11" t="s">
        <v>1979</v>
      </c>
      <c r="J53" s="12">
        <v>23.5</v>
      </c>
      <c r="K53" s="21">
        <f t="shared" si="0"/>
        <v>1.914319927663145E-2</v>
      </c>
    </row>
    <row r="54" spans="7:11" hidden="1" x14ac:dyDescent="0.3">
      <c r="G54" s="7" t="s">
        <v>64</v>
      </c>
      <c r="H54" s="8" t="s">
        <v>2045</v>
      </c>
      <c r="I54" s="8" t="s">
        <v>1979</v>
      </c>
      <c r="J54" s="9">
        <v>19.399999999999999</v>
      </c>
    </row>
    <row r="55" spans="7:11" x14ac:dyDescent="0.3">
      <c r="G55" s="10" t="s">
        <v>83</v>
      </c>
      <c r="H55" s="11" t="s">
        <v>2047</v>
      </c>
      <c r="I55" s="11" t="s">
        <v>1979</v>
      </c>
      <c r="J55" s="12">
        <v>24.96</v>
      </c>
      <c r="K55" s="21">
        <f t="shared" ref="K55:K58" si="1">J55/$J$2018</f>
        <v>2.0332521444456214E-2</v>
      </c>
    </row>
    <row r="56" spans="7:11" x14ac:dyDescent="0.3">
      <c r="G56" s="7" t="s">
        <v>84</v>
      </c>
      <c r="H56" s="8" t="s">
        <v>2042</v>
      </c>
      <c r="I56" s="8" t="s">
        <v>1979</v>
      </c>
      <c r="J56" s="9">
        <v>21.02</v>
      </c>
      <c r="K56" s="21">
        <f t="shared" si="1"/>
        <v>1.7122980799778427E-2</v>
      </c>
    </row>
    <row r="57" spans="7:11" x14ac:dyDescent="0.3">
      <c r="G57" s="10" t="s">
        <v>85</v>
      </c>
      <c r="H57" s="11" t="s">
        <v>1975</v>
      </c>
      <c r="I57" s="11" t="s">
        <v>1979</v>
      </c>
      <c r="J57" s="12">
        <v>26.36</v>
      </c>
      <c r="K57" s="21">
        <f t="shared" si="1"/>
        <v>2.1472967358808725E-2</v>
      </c>
    </row>
    <row r="58" spans="7:11" x14ac:dyDescent="0.3">
      <c r="G58" s="10" t="s">
        <v>91</v>
      </c>
      <c r="H58" s="11" t="s">
        <v>2034</v>
      </c>
      <c r="I58" s="11" t="s">
        <v>1979</v>
      </c>
      <c r="J58" s="12">
        <v>21.23</v>
      </c>
      <c r="K58" s="21">
        <f t="shared" si="1"/>
        <v>1.7294047686931307E-2</v>
      </c>
    </row>
    <row r="59" spans="7:11" hidden="1" x14ac:dyDescent="0.3">
      <c r="G59" s="10" t="s">
        <v>101</v>
      </c>
      <c r="H59" s="11" t="s">
        <v>2034</v>
      </c>
      <c r="I59" s="11" t="s">
        <v>1979</v>
      </c>
      <c r="J59" s="12">
        <v>16.600000000000001</v>
      </c>
    </row>
    <row r="60" spans="7:11" x14ac:dyDescent="0.3">
      <c r="G60" s="10" t="s">
        <v>103</v>
      </c>
      <c r="H60" s="11" t="s">
        <v>2050</v>
      </c>
      <c r="I60" s="11" t="s">
        <v>1979</v>
      </c>
      <c r="J60" s="12">
        <v>24.48</v>
      </c>
      <c r="K60" s="21">
        <f>J60/$J$2018</f>
        <v>1.9941511416678208E-2</v>
      </c>
    </row>
    <row r="61" spans="7:11" hidden="1" x14ac:dyDescent="0.3">
      <c r="G61" s="10" t="s">
        <v>109</v>
      </c>
      <c r="H61" s="11" t="s">
        <v>2042</v>
      </c>
      <c r="I61" s="11" t="s">
        <v>1979</v>
      </c>
      <c r="J61" s="12">
        <v>19.809999999999999</v>
      </c>
    </row>
    <row r="62" spans="7:11" hidden="1" x14ac:dyDescent="0.3">
      <c r="G62" s="7" t="s">
        <v>112</v>
      </c>
      <c r="H62" s="8" t="s">
        <v>1975</v>
      </c>
      <c r="I62" s="8" t="s">
        <v>1979</v>
      </c>
      <c r="J62" s="9">
        <v>17.96</v>
      </c>
    </row>
    <row r="63" spans="7:11" x14ac:dyDescent="0.3">
      <c r="G63" s="7" t="s">
        <v>120</v>
      </c>
      <c r="H63" s="8" t="s">
        <v>2050</v>
      </c>
      <c r="I63" s="8" t="s">
        <v>1979</v>
      </c>
      <c r="J63" s="9">
        <v>22.14</v>
      </c>
      <c r="K63" s="21">
        <f>J63/$J$2018</f>
        <v>1.803533753126044E-2</v>
      </c>
    </row>
    <row r="64" spans="7:11" hidden="1" x14ac:dyDescent="0.3">
      <c r="G64" s="10" t="s">
        <v>133</v>
      </c>
      <c r="H64" s="11" t="s">
        <v>2047</v>
      </c>
      <c r="I64" s="11" t="s">
        <v>1979</v>
      </c>
      <c r="J64" s="12">
        <v>15.56</v>
      </c>
    </row>
    <row r="65" spans="7:11" hidden="1" x14ac:dyDescent="0.3">
      <c r="G65" s="7" t="s">
        <v>142</v>
      </c>
      <c r="H65" s="8" t="s">
        <v>2047</v>
      </c>
      <c r="I65" s="8" t="s">
        <v>1979</v>
      </c>
      <c r="J65" s="9">
        <v>15.84</v>
      </c>
    </row>
    <row r="66" spans="7:11" hidden="1" x14ac:dyDescent="0.3">
      <c r="G66" s="10" t="s">
        <v>1980</v>
      </c>
      <c r="H66" s="11" t="s">
        <v>1975</v>
      </c>
      <c r="I66" s="11" t="s">
        <v>1979</v>
      </c>
      <c r="J66" s="12">
        <v>15.87</v>
      </c>
    </row>
    <row r="67" spans="7:11" x14ac:dyDescent="0.3">
      <c r="G67" s="7" t="s">
        <v>147</v>
      </c>
      <c r="H67" s="8" t="s">
        <v>2054</v>
      </c>
      <c r="I67" s="8" t="s">
        <v>1979</v>
      </c>
      <c r="J67" s="9">
        <v>21.04</v>
      </c>
      <c r="K67" s="21">
        <f>J67/$J$2018</f>
        <v>1.7139272884269179E-2</v>
      </c>
    </row>
    <row r="68" spans="7:11" hidden="1" x14ac:dyDescent="0.3">
      <c r="G68" s="7" t="s">
        <v>151</v>
      </c>
      <c r="H68" s="8" t="s">
        <v>2042</v>
      </c>
      <c r="I68" s="8" t="s">
        <v>1979</v>
      </c>
      <c r="J68" s="9">
        <v>15.98</v>
      </c>
    </row>
    <row r="69" spans="7:11" hidden="1" x14ac:dyDescent="0.3">
      <c r="G69" s="7" t="s">
        <v>155</v>
      </c>
      <c r="H69" s="8" t="s">
        <v>2057</v>
      </c>
      <c r="I69" s="8" t="s">
        <v>1979</v>
      </c>
      <c r="J69" s="9">
        <v>13.7</v>
      </c>
    </row>
    <row r="70" spans="7:11" x14ac:dyDescent="0.3">
      <c r="G70" s="10" t="s">
        <v>156</v>
      </c>
      <c r="H70" s="11" t="s">
        <v>2041</v>
      </c>
      <c r="I70" s="11" t="s">
        <v>1979</v>
      </c>
      <c r="J70" s="12">
        <v>22.61</v>
      </c>
      <c r="K70" s="21">
        <f>J70/$J$2018</f>
        <v>1.8418201516793065E-2</v>
      </c>
    </row>
    <row r="71" spans="7:11" hidden="1" x14ac:dyDescent="0.3">
      <c r="G71" s="7" t="s">
        <v>1981</v>
      </c>
      <c r="H71" s="8" t="s">
        <v>1975</v>
      </c>
      <c r="I71" s="8" t="s">
        <v>1979</v>
      </c>
      <c r="J71" s="9">
        <v>14.23</v>
      </c>
    </row>
    <row r="72" spans="7:11" hidden="1" x14ac:dyDescent="0.3">
      <c r="G72" s="7" t="s">
        <v>166</v>
      </c>
      <c r="H72" s="8" t="s">
        <v>2047</v>
      </c>
      <c r="I72" s="8" t="s">
        <v>1979</v>
      </c>
      <c r="J72" s="9">
        <v>12.78</v>
      </c>
    </row>
    <row r="73" spans="7:11" hidden="1" x14ac:dyDescent="0.3">
      <c r="G73" s="10" t="s">
        <v>169</v>
      </c>
      <c r="H73" s="11" t="s">
        <v>2038</v>
      </c>
      <c r="I73" s="11" t="s">
        <v>1979</v>
      </c>
      <c r="J73" s="12">
        <v>9.39</v>
      </c>
    </row>
    <row r="74" spans="7:11" hidden="1" x14ac:dyDescent="0.3">
      <c r="G74" s="10" t="s">
        <v>173</v>
      </c>
      <c r="H74" s="11" t="s">
        <v>2044</v>
      </c>
      <c r="I74" s="11" t="s">
        <v>1979</v>
      </c>
      <c r="J74" s="12">
        <v>19.38</v>
      </c>
    </row>
    <row r="75" spans="7:11" hidden="1" x14ac:dyDescent="0.3">
      <c r="G75" s="7" t="s">
        <v>184</v>
      </c>
      <c r="H75" s="8" t="s">
        <v>2044</v>
      </c>
      <c r="I75" s="8" t="s">
        <v>1979</v>
      </c>
      <c r="J75" s="9">
        <v>17.38</v>
      </c>
    </row>
    <row r="76" spans="7:11" hidden="1" x14ac:dyDescent="0.3">
      <c r="G76" s="10" t="s">
        <v>193</v>
      </c>
      <c r="H76" s="11" t="s">
        <v>2034</v>
      </c>
      <c r="I76" s="11" t="s">
        <v>1979</v>
      </c>
      <c r="J76" s="12">
        <v>10.88</v>
      </c>
    </row>
    <row r="77" spans="7:11" hidden="1" x14ac:dyDescent="0.3">
      <c r="G77" s="7" t="s">
        <v>208</v>
      </c>
      <c r="H77" s="8" t="s">
        <v>2034</v>
      </c>
      <c r="I77" s="8" t="s">
        <v>1979</v>
      </c>
      <c r="J77" s="9">
        <v>11.04</v>
      </c>
    </row>
    <row r="78" spans="7:11" hidden="1" x14ac:dyDescent="0.3">
      <c r="G78" s="10" t="s">
        <v>229</v>
      </c>
      <c r="H78" s="11" t="s">
        <v>2035</v>
      </c>
      <c r="I78" s="11" t="s">
        <v>1979</v>
      </c>
      <c r="J78" s="12">
        <v>8.0500000000000007</v>
      </c>
    </row>
    <row r="79" spans="7:11" hidden="1" x14ac:dyDescent="0.3">
      <c r="G79" s="7" t="s">
        <v>244</v>
      </c>
      <c r="H79" s="8" t="s">
        <v>2034</v>
      </c>
      <c r="I79" s="8" t="s">
        <v>1979</v>
      </c>
      <c r="J79" s="9">
        <v>8.31</v>
      </c>
    </row>
    <row r="80" spans="7:11" hidden="1" x14ac:dyDescent="0.3">
      <c r="G80" s="7" t="s">
        <v>260</v>
      </c>
      <c r="H80" s="8" t="s">
        <v>2057</v>
      </c>
      <c r="I80" s="8" t="s">
        <v>1979</v>
      </c>
      <c r="J80" s="9">
        <v>9.01</v>
      </c>
    </row>
    <row r="81" spans="7:10" hidden="1" x14ac:dyDescent="0.3">
      <c r="G81" s="7" t="s">
        <v>262</v>
      </c>
      <c r="H81" s="8" t="s">
        <v>2057</v>
      </c>
      <c r="I81" s="8" t="s">
        <v>1979</v>
      </c>
      <c r="J81" s="9">
        <v>12.14</v>
      </c>
    </row>
    <row r="82" spans="7:10" hidden="1" x14ac:dyDescent="0.3">
      <c r="G82" s="10" t="s">
        <v>263</v>
      </c>
      <c r="H82" s="11" t="s">
        <v>2034</v>
      </c>
      <c r="I82" s="11" t="s">
        <v>1979</v>
      </c>
      <c r="J82" s="12">
        <v>7.83</v>
      </c>
    </row>
    <row r="83" spans="7:10" hidden="1" x14ac:dyDescent="0.3">
      <c r="G83" s="7" t="s">
        <v>264</v>
      </c>
      <c r="H83" s="8" t="s">
        <v>2062</v>
      </c>
      <c r="I83" s="8" t="s">
        <v>1979</v>
      </c>
      <c r="J83" s="9">
        <v>7.58</v>
      </c>
    </row>
    <row r="84" spans="7:10" hidden="1" x14ac:dyDescent="0.3">
      <c r="G84" s="7" t="s">
        <v>276</v>
      </c>
      <c r="H84" s="8" t="s">
        <v>2034</v>
      </c>
      <c r="I84" s="8" t="s">
        <v>1979</v>
      </c>
      <c r="J84" s="9">
        <v>7.5</v>
      </c>
    </row>
    <row r="85" spans="7:10" hidden="1" x14ac:dyDescent="0.3">
      <c r="G85" s="7" t="s">
        <v>282</v>
      </c>
      <c r="H85" s="8" t="s">
        <v>2063</v>
      </c>
      <c r="I85" s="8" t="s">
        <v>1979</v>
      </c>
      <c r="J85" s="9">
        <v>9.34</v>
      </c>
    </row>
    <row r="86" spans="7:10" hidden="1" x14ac:dyDescent="0.3">
      <c r="G86" s="10" t="s">
        <v>283</v>
      </c>
      <c r="H86" s="11" t="s">
        <v>2043</v>
      </c>
      <c r="I86" s="11" t="s">
        <v>1979</v>
      </c>
      <c r="J86" s="12">
        <v>13.21</v>
      </c>
    </row>
    <row r="87" spans="7:10" hidden="1" x14ac:dyDescent="0.3">
      <c r="G87" s="7" t="s">
        <v>288</v>
      </c>
      <c r="H87" s="8" t="s">
        <v>2034</v>
      </c>
      <c r="I87" s="8" t="s">
        <v>1979</v>
      </c>
      <c r="J87" s="9">
        <v>7.9</v>
      </c>
    </row>
    <row r="88" spans="7:10" hidden="1" x14ac:dyDescent="0.3">
      <c r="G88" s="10" t="s">
        <v>289</v>
      </c>
      <c r="H88" s="11" t="s">
        <v>2034</v>
      </c>
      <c r="I88" s="11" t="s">
        <v>1979</v>
      </c>
      <c r="J88" s="12">
        <v>6.66</v>
      </c>
    </row>
    <row r="89" spans="7:10" hidden="1" x14ac:dyDescent="0.3">
      <c r="G89" s="7" t="s">
        <v>292</v>
      </c>
      <c r="H89" s="8" t="s">
        <v>2062</v>
      </c>
      <c r="I89" s="8" t="s">
        <v>1979</v>
      </c>
      <c r="J89" s="9">
        <v>7.31</v>
      </c>
    </row>
    <row r="90" spans="7:10" hidden="1" x14ac:dyDescent="0.3">
      <c r="G90" s="10" t="s">
        <v>293</v>
      </c>
      <c r="H90" s="11" t="s">
        <v>2043</v>
      </c>
      <c r="I90" s="11" t="s">
        <v>1979</v>
      </c>
      <c r="J90" s="12">
        <v>8.68</v>
      </c>
    </row>
    <row r="91" spans="7:10" hidden="1" x14ac:dyDescent="0.3">
      <c r="G91" s="7" t="s">
        <v>303</v>
      </c>
      <c r="H91" s="8" t="s">
        <v>1977</v>
      </c>
      <c r="I91" s="8" t="s">
        <v>1979</v>
      </c>
      <c r="J91" s="9">
        <v>9.09</v>
      </c>
    </row>
    <row r="92" spans="7:10" hidden="1" x14ac:dyDescent="0.3">
      <c r="G92" s="10" t="s">
        <v>306</v>
      </c>
      <c r="H92" s="11" t="s">
        <v>2061</v>
      </c>
      <c r="I92" s="11" t="s">
        <v>1979</v>
      </c>
      <c r="J92" s="12">
        <v>12.47</v>
      </c>
    </row>
    <row r="93" spans="7:10" hidden="1" x14ac:dyDescent="0.3">
      <c r="G93" s="7" t="s">
        <v>315</v>
      </c>
      <c r="H93" s="8" t="s">
        <v>2064</v>
      </c>
      <c r="I93" s="8" t="s">
        <v>1979</v>
      </c>
      <c r="J93" s="9">
        <v>14.29</v>
      </c>
    </row>
    <row r="94" spans="7:10" hidden="1" x14ac:dyDescent="0.3">
      <c r="G94" s="7" t="s">
        <v>321</v>
      </c>
      <c r="H94" s="8" t="s">
        <v>2057</v>
      </c>
      <c r="I94" s="8" t="s">
        <v>1979</v>
      </c>
      <c r="J94" s="9">
        <v>7.99</v>
      </c>
    </row>
    <row r="95" spans="7:10" hidden="1" x14ac:dyDescent="0.3">
      <c r="G95" s="7" t="s">
        <v>329</v>
      </c>
      <c r="H95" s="8" t="s">
        <v>2046</v>
      </c>
      <c r="I95" s="8" t="s">
        <v>1979</v>
      </c>
      <c r="J95" s="9">
        <v>7.84</v>
      </c>
    </row>
    <row r="96" spans="7:10" hidden="1" x14ac:dyDescent="0.3">
      <c r="G96" s="10" t="s">
        <v>334</v>
      </c>
      <c r="H96" s="11" t="s">
        <v>2043</v>
      </c>
      <c r="I96" s="11" t="s">
        <v>1979</v>
      </c>
      <c r="J96" s="12">
        <v>9.36</v>
      </c>
    </row>
    <row r="97" spans="7:11" hidden="1" x14ac:dyDescent="0.3">
      <c r="G97" s="10" t="s">
        <v>338</v>
      </c>
      <c r="H97" s="11" t="s">
        <v>2049</v>
      </c>
      <c r="I97" s="11" t="s">
        <v>1979</v>
      </c>
      <c r="J97" s="12">
        <v>6.53</v>
      </c>
    </row>
    <row r="98" spans="7:11" hidden="1" x14ac:dyDescent="0.3">
      <c r="G98" s="7" t="s">
        <v>345</v>
      </c>
      <c r="H98" s="8" t="s">
        <v>2042</v>
      </c>
      <c r="I98" s="8" t="s">
        <v>1979</v>
      </c>
      <c r="J98" s="9">
        <v>8.84</v>
      </c>
    </row>
    <row r="99" spans="7:11" hidden="1" x14ac:dyDescent="0.3">
      <c r="G99" s="10" t="s">
        <v>346</v>
      </c>
      <c r="H99" s="11" t="s">
        <v>2034</v>
      </c>
      <c r="I99" s="11" t="s">
        <v>1979</v>
      </c>
      <c r="J99" s="12">
        <v>7.5</v>
      </c>
    </row>
    <row r="100" spans="7:11" hidden="1" x14ac:dyDescent="0.3">
      <c r="G100" s="7" t="s">
        <v>355</v>
      </c>
      <c r="H100" s="8" t="s">
        <v>2034</v>
      </c>
      <c r="I100" s="8" t="s">
        <v>1979</v>
      </c>
      <c r="J100" s="9">
        <v>6.7</v>
      </c>
    </row>
    <row r="101" spans="7:11" hidden="1" x14ac:dyDescent="0.3">
      <c r="G101" s="7" t="s">
        <v>357</v>
      </c>
      <c r="H101" s="8" t="s">
        <v>2063</v>
      </c>
      <c r="I101" s="8" t="s">
        <v>1979</v>
      </c>
      <c r="J101" s="9">
        <v>6.3</v>
      </c>
    </row>
    <row r="102" spans="7:11" hidden="1" x14ac:dyDescent="0.3">
      <c r="G102" s="7" t="s">
        <v>368</v>
      </c>
      <c r="H102" s="8" t="s">
        <v>2042</v>
      </c>
      <c r="I102" s="8" t="s">
        <v>1979</v>
      </c>
      <c r="J102" s="9">
        <v>9.7100000000000009</v>
      </c>
    </row>
    <row r="103" spans="7:11" hidden="1" x14ac:dyDescent="0.3">
      <c r="G103" s="7" t="s">
        <v>370</v>
      </c>
      <c r="H103" s="8" t="s">
        <v>2044</v>
      </c>
      <c r="I103" s="8" t="s">
        <v>1979</v>
      </c>
      <c r="J103" s="9">
        <v>10.17</v>
      </c>
    </row>
    <row r="104" spans="7:11" hidden="1" x14ac:dyDescent="0.3">
      <c r="G104" s="7" t="s">
        <v>372</v>
      </c>
      <c r="H104" s="8" t="s">
        <v>2039</v>
      </c>
      <c r="I104" s="8" t="s">
        <v>1979</v>
      </c>
      <c r="J104" s="9">
        <v>16.5</v>
      </c>
    </row>
    <row r="105" spans="7:11" hidden="1" x14ac:dyDescent="0.3">
      <c r="G105" s="7" t="s">
        <v>374</v>
      </c>
      <c r="H105" s="8" t="s">
        <v>2034</v>
      </c>
      <c r="I105" s="8" t="s">
        <v>1979</v>
      </c>
      <c r="J105" s="9">
        <v>6.12</v>
      </c>
    </row>
    <row r="106" spans="7:11" hidden="1" x14ac:dyDescent="0.3">
      <c r="G106" s="10" t="s">
        <v>379</v>
      </c>
      <c r="H106" s="11" t="s">
        <v>2039</v>
      </c>
      <c r="I106" s="11" t="s">
        <v>1979</v>
      </c>
      <c r="J106" s="12">
        <v>13.58</v>
      </c>
    </row>
    <row r="107" spans="7:11" hidden="1" x14ac:dyDescent="0.3">
      <c r="G107" s="10" t="s">
        <v>383</v>
      </c>
      <c r="H107" s="11" t="s">
        <v>2044</v>
      </c>
      <c r="I107" s="11" t="s">
        <v>1979</v>
      </c>
      <c r="J107" s="12">
        <v>9.86</v>
      </c>
    </row>
    <row r="108" spans="7:11" hidden="1" x14ac:dyDescent="0.3">
      <c r="G108" s="10" t="s">
        <v>385</v>
      </c>
      <c r="H108" s="11" t="s">
        <v>2041</v>
      </c>
      <c r="I108" s="11" t="s">
        <v>1979</v>
      </c>
      <c r="J108" s="12">
        <v>12.77</v>
      </c>
    </row>
    <row r="109" spans="7:11" hidden="1" x14ac:dyDescent="0.3">
      <c r="G109" s="7" t="s">
        <v>404</v>
      </c>
      <c r="H109" s="8" t="s">
        <v>2040</v>
      </c>
      <c r="I109" s="8" t="s">
        <v>1979</v>
      </c>
      <c r="J109" s="9">
        <v>4.59</v>
      </c>
    </row>
    <row r="110" spans="7:11" x14ac:dyDescent="0.3">
      <c r="G110" s="10" t="s">
        <v>409</v>
      </c>
      <c r="H110" s="11" t="s">
        <v>2038</v>
      </c>
      <c r="I110" s="11" t="s">
        <v>1979</v>
      </c>
      <c r="J110" s="12">
        <v>32.21</v>
      </c>
      <c r="K110" s="21">
        <f>J110/$J$2018</f>
        <v>2.6238402072353149E-2</v>
      </c>
    </row>
    <row r="111" spans="7:11" hidden="1" x14ac:dyDescent="0.3">
      <c r="G111" s="7" t="s">
        <v>1982</v>
      </c>
      <c r="H111" s="8" t="s">
        <v>2038</v>
      </c>
      <c r="I111" s="8" t="s">
        <v>1979</v>
      </c>
      <c r="J111" s="9">
        <v>4.37</v>
      </c>
    </row>
    <row r="112" spans="7:11" hidden="1" x14ac:dyDescent="0.3">
      <c r="G112" s="7" t="s">
        <v>451</v>
      </c>
      <c r="H112" s="8" t="s">
        <v>2069</v>
      </c>
      <c r="I112" s="8" t="s">
        <v>1979</v>
      </c>
      <c r="J112" s="9">
        <v>5.36</v>
      </c>
    </row>
    <row r="113" spans="7:10" hidden="1" x14ac:dyDescent="0.3">
      <c r="G113" s="7" t="s">
        <v>461</v>
      </c>
      <c r="H113" s="8" t="s">
        <v>2043</v>
      </c>
      <c r="I113" s="8" t="s">
        <v>1979</v>
      </c>
      <c r="J113" s="9">
        <v>5.14</v>
      </c>
    </row>
    <row r="114" spans="7:10" hidden="1" x14ac:dyDescent="0.3">
      <c r="G114" s="7" t="s">
        <v>471</v>
      </c>
      <c r="H114" s="8" t="s">
        <v>2066</v>
      </c>
      <c r="I114" s="8" t="s">
        <v>1979</v>
      </c>
      <c r="J114" s="9">
        <v>3.79</v>
      </c>
    </row>
    <row r="115" spans="7:10" hidden="1" x14ac:dyDescent="0.3">
      <c r="G115" s="10" t="s">
        <v>474</v>
      </c>
      <c r="H115" s="11" t="s">
        <v>2035</v>
      </c>
      <c r="I115" s="11" t="s">
        <v>1979</v>
      </c>
      <c r="J115" s="12">
        <v>7.24</v>
      </c>
    </row>
    <row r="116" spans="7:10" hidden="1" x14ac:dyDescent="0.3">
      <c r="G116" s="7" t="s">
        <v>481</v>
      </c>
      <c r="H116" s="8" t="s">
        <v>2038</v>
      </c>
      <c r="I116" s="8" t="s">
        <v>1979</v>
      </c>
      <c r="J116" s="9">
        <v>4.28</v>
      </c>
    </row>
    <row r="117" spans="7:10" hidden="1" x14ac:dyDescent="0.3">
      <c r="G117" s="7" t="s">
        <v>489</v>
      </c>
      <c r="H117" s="8" t="s">
        <v>2052</v>
      </c>
      <c r="I117" s="8" t="s">
        <v>1979</v>
      </c>
      <c r="J117" s="9">
        <v>2.76</v>
      </c>
    </row>
    <row r="118" spans="7:10" hidden="1" x14ac:dyDescent="0.3">
      <c r="G118" s="10" t="s">
        <v>510</v>
      </c>
      <c r="H118" s="11" t="s">
        <v>2070</v>
      </c>
      <c r="I118" s="11" t="s">
        <v>1979</v>
      </c>
      <c r="J118" s="12">
        <v>4.4800000000000004</v>
      </c>
    </row>
    <row r="119" spans="7:10" hidden="1" x14ac:dyDescent="0.3">
      <c r="G119" s="7" t="s">
        <v>513</v>
      </c>
      <c r="H119" s="8" t="s">
        <v>2035</v>
      </c>
      <c r="I119" s="8" t="s">
        <v>1979</v>
      </c>
      <c r="J119" s="9">
        <v>5.58</v>
      </c>
    </row>
    <row r="120" spans="7:10" hidden="1" x14ac:dyDescent="0.3">
      <c r="G120" s="10" t="s">
        <v>522</v>
      </c>
      <c r="H120" s="11" t="s">
        <v>2066</v>
      </c>
      <c r="I120" s="11" t="s">
        <v>1979</v>
      </c>
      <c r="J120" s="12">
        <v>4.3499999999999996</v>
      </c>
    </row>
    <row r="121" spans="7:10" hidden="1" x14ac:dyDescent="0.3">
      <c r="G121" s="7" t="s">
        <v>523</v>
      </c>
      <c r="H121" s="8" t="s">
        <v>2047</v>
      </c>
      <c r="I121" s="8" t="s">
        <v>1979</v>
      </c>
      <c r="J121" s="9">
        <v>15.84</v>
      </c>
    </row>
    <row r="122" spans="7:10" hidden="1" x14ac:dyDescent="0.3">
      <c r="G122" s="7" t="s">
        <v>525</v>
      </c>
      <c r="H122" s="8" t="s">
        <v>2064</v>
      </c>
      <c r="I122" s="8" t="s">
        <v>1979</v>
      </c>
      <c r="J122" s="9">
        <v>4.0999999999999996</v>
      </c>
    </row>
    <row r="123" spans="7:10" hidden="1" x14ac:dyDescent="0.3">
      <c r="G123" s="10" t="s">
        <v>526</v>
      </c>
      <c r="H123" s="11" t="s">
        <v>1975</v>
      </c>
      <c r="I123" s="11" t="s">
        <v>1979</v>
      </c>
      <c r="J123" s="12">
        <v>4.37</v>
      </c>
    </row>
    <row r="124" spans="7:10" hidden="1" x14ac:dyDescent="0.3">
      <c r="G124" s="10" t="s">
        <v>531</v>
      </c>
      <c r="H124" s="11" t="s">
        <v>2047</v>
      </c>
      <c r="I124" s="11" t="s">
        <v>1979</v>
      </c>
      <c r="J124" s="12">
        <v>4.5199999999999996</v>
      </c>
    </row>
    <row r="125" spans="7:10" hidden="1" x14ac:dyDescent="0.3">
      <c r="G125" s="10" t="s">
        <v>539</v>
      </c>
      <c r="H125" s="11" t="s">
        <v>2034</v>
      </c>
      <c r="I125" s="11" t="s">
        <v>1979</v>
      </c>
      <c r="J125" s="12">
        <v>3.74</v>
      </c>
    </row>
    <row r="126" spans="7:10" hidden="1" x14ac:dyDescent="0.3">
      <c r="G126" s="7" t="s">
        <v>542</v>
      </c>
      <c r="H126" s="8" t="s">
        <v>2034</v>
      </c>
      <c r="I126" s="8" t="s">
        <v>1979</v>
      </c>
      <c r="J126" s="9">
        <v>3.48</v>
      </c>
    </row>
    <row r="127" spans="7:10" hidden="1" x14ac:dyDescent="0.3">
      <c r="G127" s="7" t="s">
        <v>589</v>
      </c>
      <c r="H127" s="8" t="s">
        <v>2034</v>
      </c>
      <c r="I127" s="8" t="s">
        <v>1979</v>
      </c>
      <c r="J127" s="9">
        <v>3.67</v>
      </c>
    </row>
    <row r="128" spans="7:10" hidden="1" x14ac:dyDescent="0.3">
      <c r="G128" s="7" t="s">
        <v>599</v>
      </c>
      <c r="H128" s="8" t="s">
        <v>2034</v>
      </c>
      <c r="I128" s="8" t="s">
        <v>1979</v>
      </c>
      <c r="J128" s="9">
        <v>3.62</v>
      </c>
    </row>
    <row r="129" spans="7:10" hidden="1" x14ac:dyDescent="0.3">
      <c r="G129" s="10" t="s">
        <v>602</v>
      </c>
      <c r="H129" s="11" t="s">
        <v>2043</v>
      </c>
      <c r="I129" s="11" t="s">
        <v>1979</v>
      </c>
      <c r="J129" s="12">
        <v>4.63</v>
      </c>
    </row>
    <row r="130" spans="7:10" hidden="1" x14ac:dyDescent="0.3">
      <c r="G130" s="7" t="s">
        <v>605</v>
      </c>
      <c r="H130" s="8" t="s">
        <v>2042</v>
      </c>
      <c r="I130" s="8" t="s">
        <v>1979</v>
      </c>
      <c r="J130" s="9">
        <v>4.2300000000000004</v>
      </c>
    </row>
    <row r="131" spans="7:10" hidden="1" x14ac:dyDescent="0.3">
      <c r="G131" s="7" t="s">
        <v>607</v>
      </c>
      <c r="H131" s="8" t="s">
        <v>2045</v>
      </c>
      <c r="I131" s="8" t="s">
        <v>1979</v>
      </c>
      <c r="J131" s="9">
        <v>4.9800000000000004</v>
      </c>
    </row>
    <row r="132" spans="7:10" hidden="1" x14ac:dyDescent="0.3">
      <c r="G132" s="10" t="s">
        <v>620</v>
      </c>
      <c r="H132" s="11" t="s">
        <v>2034</v>
      </c>
      <c r="I132" s="11" t="s">
        <v>1979</v>
      </c>
      <c r="J132" s="12">
        <v>3.4</v>
      </c>
    </row>
    <row r="133" spans="7:10" hidden="1" x14ac:dyDescent="0.3">
      <c r="G133" s="10" t="s">
        <v>624</v>
      </c>
      <c r="H133" s="11" t="s">
        <v>2042</v>
      </c>
      <c r="I133" s="11" t="s">
        <v>1979</v>
      </c>
      <c r="J133" s="12">
        <v>4.8499999999999996</v>
      </c>
    </row>
    <row r="134" spans="7:10" hidden="1" x14ac:dyDescent="0.3">
      <c r="G134" s="10" t="s">
        <v>628</v>
      </c>
      <c r="H134" s="11" t="s">
        <v>2055</v>
      </c>
      <c r="I134" s="11" t="s">
        <v>1979</v>
      </c>
      <c r="J134" s="12">
        <v>1.38</v>
      </c>
    </row>
    <row r="135" spans="7:10" hidden="1" x14ac:dyDescent="0.3">
      <c r="G135" s="10" t="s">
        <v>634</v>
      </c>
      <c r="H135" s="11" t="s">
        <v>2070</v>
      </c>
      <c r="I135" s="11" t="s">
        <v>1979</v>
      </c>
      <c r="J135" s="12">
        <v>3.56</v>
      </c>
    </row>
    <row r="136" spans="7:10" hidden="1" x14ac:dyDescent="0.3">
      <c r="G136" s="7" t="s">
        <v>637</v>
      </c>
      <c r="H136" s="8" t="s">
        <v>2034</v>
      </c>
      <c r="I136" s="8" t="s">
        <v>1979</v>
      </c>
      <c r="J136" s="9">
        <v>3.57</v>
      </c>
    </row>
    <row r="137" spans="7:10" hidden="1" x14ac:dyDescent="0.3">
      <c r="G137" s="10" t="s">
        <v>648</v>
      </c>
      <c r="H137" s="11" t="s">
        <v>2061</v>
      </c>
      <c r="I137" s="11" t="s">
        <v>1979</v>
      </c>
      <c r="J137" s="12">
        <v>3.9</v>
      </c>
    </row>
    <row r="138" spans="7:10" hidden="1" x14ac:dyDescent="0.3">
      <c r="G138" s="10" t="s">
        <v>658</v>
      </c>
      <c r="H138" s="11" t="s">
        <v>2034</v>
      </c>
      <c r="I138" s="11" t="s">
        <v>1979</v>
      </c>
      <c r="J138" s="12">
        <v>3.01</v>
      </c>
    </row>
    <row r="139" spans="7:10" hidden="1" x14ac:dyDescent="0.3">
      <c r="G139" s="7" t="s">
        <v>670</v>
      </c>
      <c r="H139" s="8" t="s">
        <v>2042</v>
      </c>
      <c r="I139" s="8" t="s">
        <v>1979</v>
      </c>
      <c r="J139" s="9">
        <v>4.0999999999999996</v>
      </c>
    </row>
    <row r="140" spans="7:10" hidden="1" x14ac:dyDescent="0.3">
      <c r="G140" s="7" t="s">
        <v>1983</v>
      </c>
      <c r="H140" s="8" t="s">
        <v>2066</v>
      </c>
      <c r="I140" s="8" t="s">
        <v>1979</v>
      </c>
      <c r="J140" s="9">
        <v>2.2599999999999998</v>
      </c>
    </row>
    <row r="141" spans="7:10" hidden="1" x14ac:dyDescent="0.3">
      <c r="G141" s="7" t="s">
        <v>682</v>
      </c>
      <c r="H141" s="8" t="s">
        <v>2062</v>
      </c>
      <c r="I141" s="8" t="s">
        <v>1979</v>
      </c>
      <c r="J141" s="9">
        <v>2.83</v>
      </c>
    </row>
    <row r="142" spans="7:10" hidden="1" x14ac:dyDescent="0.3">
      <c r="G142" s="10" t="s">
        <v>683</v>
      </c>
      <c r="H142" s="11" t="s">
        <v>2043</v>
      </c>
      <c r="I142" s="11" t="s">
        <v>1979</v>
      </c>
      <c r="J142" s="12">
        <v>5.13</v>
      </c>
    </row>
    <row r="143" spans="7:10" hidden="1" x14ac:dyDescent="0.3">
      <c r="G143" s="10" t="s">
        <v>1984</v>
      </c>
      <c r="H143" s="11" t="s">
        <v>2074</v>
      </c>
      <c r="I143" s="11" t="s">
        <v>1979</v>
      </c>
      <c r="J143" s="12">
        <v>2.71</v>
      </c>
    </row>
    <row r="144" spans="7:10" hidden="1" x14ac:dyDescent="0.3">
      <c r="G144" s="7" t="s">
        <v>697</v>
      </c>
      <c r="H144" s="8" t="s">
        <v>2071</v>
      </c>
      <c r="I144" s="8" t="s">
        <v>1979</v>
      </c>
      <c r="J144" s="9">
        <v>3.17</v>
      </c>
    </row>
    <row r="145" spans="7:10" hidden="1" x14ac:dyDescent="0.3">
      <c r="G145" s="7" t="s">
        <v>713</v>
      </c>
      <c r="H145" s="8" t="s">
        <v>2076</v>
      </c>
      <c r="I145" s="8" t="s">
        <v>1979</v>
      </c>
      <c r="J145" s="9">
        <v>4.17</v>
      </c>
    </row>
    <row r="146" spans="7:10" hidden="1" x14ac:dyDescent="0.3">
      <c r="G146" s="10" t="s">
        <v>714</v>
      </c>
      <c r="H146" s="11" t="s">
        <v>2070</v>
      </c>
      <c r="I146" s="11" t="s">
        <v>1979</v>
      </c>
      <c r="J146" s="12">
        <v>2.73</v>
      </c>
    </row>
    <row r="147" spans="7:10" hidden="1" x14ac:dyDescent="0.3">
      <c r="G147" s="7" t="s">
        <v>715</v>
      </c>
      <c r="H147" s="8" t="s">
        <v>2040</v>
      </c>
      <c r="I147" s="8" t="s">
        <v>1979</v>
      </c>
      <c r="J147" s="9">
        <v>2.93</v>
      </c>
    </row>
    <row r="148" spans="7:10" hidden="1" x14ac:dyDescent="0.3">
      <c r="G148" s="7" t="s">
        <v>723</v>
      </c>
      <c r="H148" s="8" t="s">
        <v>2038</v>
      </c>
      <c r="I148" s="8" t="s">
        <v>1979</v>
      </c>
      <c r="J148" s="9">
        <v>2.25</v>
      </c>
    </row>
    <row r="149" spans="7:10" hidden="1" x14ac:dyDescent="0.3">
      <c r="G149" s="10" t="s">
        <v>740</v>
      </c>
      <c r="H149" s="11" t="s">
        <v>2034</v>
      </c>
      <c r="I149" s="11" t="s">
        <v>1979</v>
      </c>
      <c r="J149" s="12">
        <v>3.42</v>
      </c>
    </row>
    <row r="150" spans="7:10" hidden="1" x14ac:dyDescent="0.3">
      <c r="G150" s="7" t="s">
        <v>741</v>
      </c>
      <c r="H150" s="8" t="s">
        <v>2055</v>
      </c>
      <c r="I150" s="8" t="s">
        <v>1979</v>
      </c>
      <c r="J150" s="9">
        <v>1.1000000000000001</v>
      </c>
    </row>
    <row r="151" spans="7:10" hidden="1" x14ac:dyDescent="0.3">
      <c r="G151" s="7" t="s">
        <v>743</v>
      </c>
      <c r="H151" s="8" t="s">
        <v>2038</v>
      </c>
      <c r="I151" s="8" t="s">
        <v>1979</v>
      </c>
      <c r="J151" s="9">
        <v>2.06</v>
      </c>
    </row>
    <row r="152" spans="7:10" hidden="1" x14ac:dyDescent="0.3">
      <c r="G152" s="10" t="s">
        <v>771</v>
      </c>
      <c r="H152" s="11" t="s">
        <v>2034</v>
      </c>
      <c r="I152" s="11" t="s">
        <v>1979</v>
      </c>
      <c r="J152" s="12">
        <v>3.45</v>
      </c>
    </row>
    <row r="153" spans="7:10" hidden="1" x14ac:dyDescent="0.3">
      <c r="G153" s="10" t="s">
        <v>775</v>
      </c>
      <c r="H153" s="11" t="s">
        <v>1977</v>
      </c>
      <c r="I153" s="11" t="s">
        <v>1979</v>
      </c>
      <c r="J153" s="12">
        <v>3.24</v>
      </c>
    </row>
    <row r="154" spans="7:10" hidden="1" x14ac:dyDescent="0.3">
      <c r="G154" s="7" t="s">
        <v>776</v>
      </c>
      <c r="H154" s="8" t="s">
        <v>2042</v>
      </c>
      <c r="I154" s="8" t="s">
        <v>1979</v>
      </c>
      <c r="J154" s="9">
        <v>5.98</v>
      </c>
    </row>
    <row r="155" spans="7:10" hidden="1" x14ac:dyDescent="0.3">
      <c r="G155" s="7" t="s">
        <v>780</v>
      </c>
      <c r="H155" s="8" t="s">
        <v>2076</v>
      </c>
      <c r="I155" s="8" t="s">
        <v>1979</v>
      </c>
      <c r="J155" s="9">
        <v>3.85</v>
      </c>
    </row>
    <row r="156" spans="7:10" hidden="1" x14ac:dyDescent="0.3">
      <c r="G156" s="7" t="s">
        <v>781</v>
      </c>
      <c r="H156" s="8" t="s">
        <v>2045</v>
      </c>
      <c r="I156" s="8" t="s">
        <v>1979</v>
      </c>
      <c r="J156" s="9">
        <v>2.74</v>
      </c>
    </row>
    <row r="157" spans="7:10" hidden="1" x14ac:dyDescent="0.3">
      <c r="G157" s="10" t="s">
        <v>786</v>
      </c>
      <c r="H157" s="11" t="s">
        <v>2075</v>
      </c>
      <c r="I157" s="11" t="s">
        <v>1979</v>
      </c>
      <c r="J157" s="12">
        <v>2.61</v>
      </c>
    </row>
    <row r="158" spans="7:10" hidden="1" x14ac:dyDescent="0.3">
      <c r="G158" s="7" t="s">
        <v>807</v>
      </c>
      <c r="H158" s="8" t="s">
        <v>2041</v>
      </c>
      <c r="I158" s="8" t="s">
        <v>1979</v>
      </c>
      <c r="J158" s="9">
        <v>8.7799999999999994</v>
      </c>
    </row>
    <row r="159" spans="7:10" hidden="1" x14ac:dyDescent="0.3">
      <c r="G159" s="10" t="s">
        <v>825</v>
      </c>
      <c r="H159" s="11" t="s">
        <v>2034</v>
      </c>
      <c r="I159" s="11" t="s">
        <v>1979</v>
      </c>
      <c r="J159" s="12">
        <v>2.35</v>
      </c>
    </row>
    <row r="160" spans="7:10" hidden="1" x14ac:dyDescent="0.3">
      <c r="G160" s="7" t="s">
        <v>844</v>
      </c>
      <c r="H160" s="8" t="s">
        <v>2078</v>
      </c>
      <c r="I160" s="8" t="s">
        <v>1979</v>
      </c>
      <c r="J160" s="9">
        <v>1.45</v>
      </c>
    </row>
    <row r="161" spans="7:10" hidden="1" x14ac:dyDescent="0.3">
      <c r="G161" s="10" t="s">
        <v>855</v>
      </c>
      <c r="H161" s="11" t="s">
        <v>2060</v>
      </c>
      <c r="I161" s="11" t="s">
        <v>1979</v>
      </c>
      <c r="J161" s="12">
        <v>3.91</v>
      </c>
    </row>
    <row r="162" spans="7:10" hidden="1" x14ac:dyDescent="0.3">
      <c r="G162" s="10" t="s">
        <v>867</v>
      </c>
      <c r="H162" s="11" t="s">
        <v>2034</v>
      </c>
      <c r="I162" s="11" t="s">
        <v>1979</v>
      </c>
      <c r="J162" s="12">
        <v>3.24</v>
      </c>
    </row>
    <row r="163" spans="7:10" hidden="1" x14ac:dyDescent="0.3">
      <c r="G163" s="10" t="s">
        <v>883</v>
      </c>
      <c r="H163" s="11" t="s">
        <v>2038</v>
      </c>
      <c r="I163" s="11" t="s">
        <v>1979</v>
      </c>
      <c r="J163" s="12">
        <v>1.93</v>
      </c>
    </row>
    <row r="164" spans="7:10" hidden="1" x14ac:dyDescent="0.3">
      <c r="G164" s="7" t="s">
        <v>898</v>
      </c>
      <c r="H164" s="8" t="s">
        <v>2065</v>
      </c>
      <c r="I164" s="8" t="s">
        <v>1979</v>
      </c>
      <c r="J164" s="9">
        <v>2.39</v>
      </c>
    </row>
    <row r="165" spans="7:10" hidden="1" x14ac:dyDescent="0.3">
      <c r="G165" s="7" t="s">
        <v>904</v>
      </c>
      <c r="H165" s="8" t="s">
        <v>2038</v>
      </c>
      <c r="I165" s="8" t="s">
        <v>1979</v>
      </c>
      <c r="J165" s="9">
        <v>1.6</v>
      </c>
    </row>
    <row r="166" spans="7:10" hidden="1" x14ac:dyDescent="0.3">
      <c r="G166" s="10" t="s">
        <v>911</v>
      </c>
      <c r="H166" s="11" t="s">
        <v>2042</v>
      </c>
      <c r="I166" s="11" t="s">
        <v>1979</v>
      </c>
      <c r="J166" s="12">
        <v>3.68</v>
      </c>
    </row>
    <row r="167" spans="7:10" hidden="1" x14ac:dyDescent="0.3">
      <c r="G167" s="10" t="s">
        <v>929</v>
      </c>
      <c r="H167" s="11" t="s">
        <v>2067</v>
      </c>
      <c r="I167" s="11" t="s">
        <v>1979</v>
      </c>
      <c r="J167" s="12">
        <v>1.72</v>
      </c>
    </row>
    <row r="168" spans="7:10" hidden="1" x14ac:dyDescent="0.3">
      <c r="G168" s="7" t="s">
        <v>936</v>
      </c>
      <c r="H168" s="8" t="s">
        <v>2064</v>
      </c>
      <c r="I168" s="8" t="s">
        <v>1979</v>
      </c>
      <c r="J168" s="9">
        <v>3.45</v>
      </c>
    </row>
    <row r="169" spans="7:10" hidden="1" x14ac:dyDescent="0.3">
      <c r="G169" s="7" t="s">
        <v>948</v>
      </c>
      <c r="H169" s="8" t="s">
        <v>2034</v>
      </c>
      <c r="I169" s="8" t="s">
        <v>1979</v>
      </c>
      <c r="J169" s="9">
        <v>2.2000000000000002</v>
      </c>
    </row>
    <row r="170" spans="7:10" hidden="1" x14ac:dyDescent="0.3">
      <c r="G170" s="7" t="s">
        <v>966</v>
      </c>
      <c r="H170" s="8" t="s">
        <v>2074</v>
      </c>
      <c r="I170" s="8" t="s">
        <v>1979</v>
      </c>
      <c r="J170" s="9">
        <v>1.56</v>
      </c>
    </row>
    <row r="171" spans="7:10" hidden="1" x14ac:dyDescent="0.3">
      <c r="G171" s="7" t="s">
        <v>968</v>
      </c>
      <c r="H171" s="8" t="s">
        <v>2034</v>
      </c>
      <c r="I171" s="8" t="s">
        <v>1979</v>
      </c>
      <c r="J171" s="9">
        <v>2.27</v>
      </c>
    </row>
    <row r="172" spans="7:10" hidden="1" x14ac:dyDescent="0.3">
      <c r="G172" s="10" t="s">
        <v>988</v>
      </c>
      <c r="H172" s="11" t="s">
        <v>2081</v>
      </c>
      <c r="I172" s="11" t="s">
        <v>1979</v>
      </c>
      <c r="J172" s="12">
        <v>1.38</v>
      </c>
    </row>
    <row r="173" spans="7:10" hidden="1" x14ac:dyDescent="0.3">
      <c r="G173" s="7" t="s">
        <v>997</v>
      </c>
      <c r="H173" s="8" t="s">
        <v>2034</v>
      </c>
      <c r="I173" s="8" t="s">
        <v>1979</v>
      </c>
      <c r="J173" s="9">
        <v>1.19</v>
      </c>
    </row>
    <row r="174" spans="7:10" hidden="1" x14ac:dyDescent="0.3">
      <c r="G174" s="10" t="s">
        <v>1008</v>
      </c>
      <c r="H174" s="11" t="s">
        <v>2052</v>
      </c>
      <c r="I174" s="11" t="s">
        <v>1979</v>
      </c>
      <c r="J174" s="12">
        <v>1.01</v>
      </c>
    </row>
    <row r="175" spans="7:10" hidden="1" x14ac:dyDescent="0.3">
      <c r="G175" s="10" t="s">
        <v>1010</v>
      </c>
      <c r="H175" s="11" t="s">
        <v>2038</v>
      </c>
      <c r="I175" s="11" t="s">
        <v>1979</v>
      </c>
      <c r="J175" s="12">
        <v>1.51</v>
      </c>
    </row>
    <row r="176" spans="7:10" hidden="1" x14ac:dyDescent="0.3">
      <c r="G176" s="10" t="s">
        <v>1014</v>
      </c>
      <c r="H176" s="11" t="s">
        <v>2034</v>
      </c>
      <c r="I176" s="11" t="s">
        <v>1979</v>
      </c>
      <c r="J176" s="12">
        <v>2.11</v>
      </c>
    </row>
    <row r="177" spans="7:10" hidden="1" x14ac:dyDescent="0.3">
      <c r="G177" s="7" t="s">
        <v>1023</v>
      </c>
      <c r="H177" s="8" t="s">
        <v>2065</v>
      </c>
      <c r="I177" s="8" t="s">
        <v>1979</v>
      </c>
      <c r="J177" s="9">
        <v>2.12</v>
      </c>
    </row>
    <row r="178" spans="7:10" hidden="1" x14ac:dyDescent="0.3">
      <c r="G178" s="7" t="s">
        <v>1025</v>
      </c>
      <c r="H178" s="8" t="s">
        <v>2038</v>
      </c>
      <c r="I178" s="8" t="s">
        <v>1979</v>
      </c>
      <c r="J178" s="9">
        <v>1.37</v>
      </c>
    </row>
    <row r="179" spans="7:10" hidden="1" x14ac:dyDescent="0.3">
      <c r="G179" s="10" t="s">
        <v>1028</v>
      </c>
      <c r="H179" s="11" t="s">
        <v>2041</v>
      </c>
      <c r="I179" s="11" t="s">
        <v>1979</v>
      </c>
      <c r="J179" s="12">
        <v>5.73</v>
      </c>
    </row>
    <row r="180" spans="7:10" hidden="1" x14ac:dyDescent="0.3">
      <c r="G180" s="10" t="s">
        <v>1036</v>
      </c>
      <c r="H180" s="11" t="s">
        <v>2042</v>
      </c>
      <c r="I180" s="11" t="s">
        <v>1979</v>
      </c>
      <c r="J180" s="12">
        <v>3.25</v>
      </c>
    </row>
    <row r="181" spans="7:10" hidden="1" x14ac:dyDescent="0.3">
      <c r="G181" s="7" t="s">
        <v>1045</v>
      </c>
      <c r="H181" s="8" t="s">
        <v>2079</v>
      </c>
      <c r="I181" s="8" t="s">
        <v>1979</v>
      </c>
      <c r="J181" s="9">
        <v>2.33</v>
      </c>
    </row>
    <row r="182" spans="7:10" hidden="1" x14ac:dyDescent="0.3">
      <c r="G182" s="7" t="s">
        <v>1055</v>
      </c>
      <c r="H182" s="8" t="s">
        <v>2042</v>
      </c>
      <c r="I182" s="8" t="s">
        <v>1979</v>
      </c>
      <c r="J182" s="9">
        <v>2.71</v>
      </c>
    </row>
    <row r="183" spans="7:10" hidden="1" x14ac:dyDescent="0.3">
      <c r="G183" s="10" t="s">
        <v>1985</v>
      </c>
      <c r="H183" s="11" t="s">
        <v>2045</v>
      </c>
      <c r="I183" s="11" t="s">
        <v>1979</v>
      </c>
      <c r="J183" s="12">
        <v>2.17</v>
      </c>
    </row>
    <row r="184" spans="7:10" hidden="1" x14ac:dyDescent="0.3">
      <c r="G184" s="7" t="s">
        <v>1080</v>
      </c>
      <c r="H184" s="8" t="s">
        <v>2040</v>
      </c>
      <c r="I184" s="8" t="s">
        <v>1979</v>
      </c>
      <c r="J184" s="9">
        <v>1.7</v>
      </c>
    </row>
    <row r="185" spans="7:10" hidden="1" x14ac:dyDescent="0.3">
      <c r="G185" s="7" t="s">
        <v>1088</v>
      </c>
      <c r="H185" s="8" t="s">
        <v>2042</v>
      </c>
      <c r="I185" s="8" t="s">
        <v>1979</v>
      </c>
      <c r="J185" s="9">
        <v>3.18</v>
      </c>
    </row>
    <row r="186" spans="7:10" hidden="1" x14ac:dyDescent="0.3">
      <c r="G186" s="10" t="s">
        <v>1109</v>
      </c>
      <c r="H186" s="11" t="s">
        <v>2034</v>
      </c>
      <c r="I186" s="11" t="s">
        <v>1979</v>
      </c>
      <c r="J186" s="12">
        <v>1.28</v>
      </c>
    </row>
    <row r="187" spans="7:10" hidden="1" x14ac:dyDescent="0.3">
      <c r="G187" s="7" t="s">
        <v>1114</v>
      </c>
      <c r="H187" s="8" t="s">
        <v>2034</v>
      </c>
      <c r="I187" s="8" t="s">
        <v>1979</v>
      </c>
      <c r="J187" s="9">
        <v>1.39</v>
      </c>
    </row>
    <row r="188" spans="7:10" hidden="1" x14ac:dyDescent="0.3">
      <c r="G188" s="10" t="s">
        <v>1117</v>
      </c>
      <c r="H188" s="11" t="s">
        <v>2079</v>
      </c>
      <c r="I188" s="11" t="s">
        <v>1979</v>
      </c>
      <c r="J188" s="12">
        <v>1.43</v>
      </c>
    </row>
    <row r="189" spans="7:10" hidden="1" x14ac:dyDescent="0.3">
      <c r="G189" s="10" t="s">
        <v>1127</v>
      </c>
      <c r="H189" s="11" t="s">
        <v>2038</v>
      </c>
      <c r="I189" s="11" t="s">
        <v>1979</v>
      </c>
      <c r="J189" s="12">
        <v>1.56</v>
      </c>
    </row>
    <row r="190" spans="7:10" hidden="1" x14ac:dyDescent="0.3">
      <c r="G190" s="7" t="s">
        <v>1134</v>
      </c>
      <c r="H190" s="8" t="s">
        <v>2067</v>
      </c>
      <c r="I190" s="8" t="s">
        <v>1979</v>
      </c>
      <c r="J190" s="9">
        <v>1.19</v>
      </c>
    </row>
    <row r="191" spans="7:10" hidden="1" x14ac:dyDescent="0.3">
      <c r="G191" s="7" t="s">
        <v>1164</v>
      </c>
      <c r="H191" s="8" t="s">
        <v>2070</v>
      </c>
      <c r="I191" s="8" t="s">
        <v>1979</v>
      </c>
      <c r="J191" s="9">
        <v>1.4</v>
      </c>
    </row>
    <row r="192" spans="7:10" hidden="1" x14ac:dyDescent="0.3">
      <c r="G192" s="7" t="s">
        <v>1172</v>
      </c>
      <c r="H192" s="8" t="s">
        <v>2038</v>
      </c>
      <c r="I192" s="8" t="s">
        <v>1979</v>
      </c>
      <c r="J192" s="9">
        <v>0.94</v>
      </c>
    </row>
    <row r="193" spans="7:10" hidden="1" x14ac:dyDescent="0.3">
      <c r="G193" s="10" t="s">
        <v>1173</v>
      </c>
      <c r="H193" s="11" t="s">
        <v>2038</v>
      </c>
      <c r="I193" s="11" t="s">
        <v>1979</v>
      </c>
      <c r="J193" s="12">
        <v>1.79</v>
      </c>
    </row>
    <row r="194" spans="7:10" hidden="1" x14ac:dyDescent="0.3">
      <c r="G194" s="7" t="s">
        <v>1180</v>
      </c>
      <c r="H194" s="8" t="s">
        <v>2034</v>
      </c>
      <c r="I194" s="8" t="s">
        <v>1979</v>
      </c>
      <c r="J194" s="9">
        <v>1.06</v>
      </c>
    </row>
    <row r="195" spans="7:10" hidden="1" x14ac:dyDescent="0.3">
      <c r="G195" s="7" t="s">
        <v>1192</v>
      </c>
      <c r="H195" s="8" t="s">
        <v>2067</v>
      </c>
      <c r="I195" s="8" t="s">
        <v>1979</v>
      </c>
      <c r="J195" s="9">
        <v>1.24</v>
      </c>
    </row>
    <row r="196" spans="7:10" hidden="1" x14ac:dyDescent="0.3">
      <c r="G196" s="7" t="s">
        <v>1198</v>
      </c>
      <c r="H196" s="8" t="s">
        <v>2067</v>
      </c>
      <c r="I196" s="8" t="s">
        <v>1979</v>
      </c>
      <c r="J196" s="9">
        <v>1.39</v>
      </c>
    </row>
    <row r="197" spans="7:10" hidden="1" x14ac:dyDescent="0.3">
      <c r="G197" s="10" t="s">
        <v>1199</v>
      </c>
      <c r="H197" s="11" t="s">
        <v>2038</v>
      </c>
      <c r="I197" s="11" t="s">
        <v>1979</v>
      </c>
      <c r="J197" s="12">
        <v>1.54</v>
      </c>
    </row>
    <row r="198" spans="7:10" hidden="1" x14ac:dyDescent="0.3">
      <c r="G198" s="10" t="s">
        <v>1201</v>
      </c>
      <c r="H198" s="11" t="s">
        <v>2053</v>
      </c>
      <c r="I198" s="11" t="s">
        <v>1979</v>
      </c>
      <c r="J198" s="12">
        <v>1.18</v>
      </c>
    </row>
    <row r="199" spans="7:10" hidden="1" x14ac:dyDescent="0.3">
      <c r="G199" s="10" t="s">
        <v>1221</v>
      </c>
      <c r="H199" s="11" t="s">
        <v>2079</v>
      </c>
      <c r="I199" s="11" t="s">
        <v>1979</v>
      </c>
      <c r="J199" s="12">
        <v>1.83</v>
      </c>
    </row>
    <row r="200" spans="7:10" hidden="1" x14ac:dyDescent="0.3">
      <c r="G200" s="10" t="s">
        <v>1225</v>
      </c>
      <c r="H200" s="11" t="s">
        <v>2061</v>
      </c>
      <c r="I200" s="11" t="s">
        <v>1979</v>
      </c>
      <c r="J200" s="12">
        <v>2.38</v>
      </c>
    </row>
    <row r="201" spans="7:10" hidden="1" x14ac:dyDescent="0.3">
      <c r="G201" s="7" t="s">
        <v>1230</v>
      </c>
      <c r="H201" s="8" t="s">
        <v>2074</v>
      </c>
      <c r="I201" s="8" t="s">
        <v>1979</v>
      </c>
      <c r="J201" s="9">
        <v>1.76</v>
      </c>
    </row>
    <row r="202" spans="7:10" hidden="1" x14ac:dyDescent="0.3">
      <c r="G202" s="7" t="s">
        <v>1263</v>
      </c>
      <c r="H202" s="8" t="s">
        <v>2070</v>
      </c>
      <c r="I202" s="8" t="s">
        <v>1979</v>
      </c>
      <c r="J202" s="9">
        <v>1.29</v>
      </c>
    </row>
    <row r="203" spans="7:10" hidden="1" x14ac:dyDescent="0.3">
      <c r="G203" s="7" t="s">
        <v>1266</v>
      </c>
      <c r="H203" s="8" t="s">
        <v>2050</v>
      </c>
      <c r="I203" s="8" t="s">
        <v>1979</v>
      </c>
      <c r="J203" s="9">
        <v>1.25</v>
      </c>
    </row>
    <row r="204" spans="7:10" hidden="1" x14ac:dyDescent="0.3">
      <c r="G204" s="10" t="s">
        <v>1277</v>
      </c>
      <c r="H204" s="11" t="s">
        <v>2034</v>
      </c>
      <c r="I204" s="11" t="s">
        <v>1979</v>
      </c>
      <c r="J204" s="12">
        <v>0.89</v>
      </c>
    </row>
    <row r="205" spans="7:10" hidden="1" x14ac:dyDescent="0.3">
      <c r="G205" s="7" t="s">
        <v>1278</v>
      </c>
      <c r="H205" s="8" t="s">
        <v>2061</v>
      </c>
      <c r="I205" s="8" t="s">
        <v>1979</v>
      </c>
      <c r="J205" s="9">
        <v>2.16</v>
      </c>
    </row>
    <row r="206" spans="7:10" hidden="1" x14ac:dyDescent="0.3">
      <c r="G206" s="10" t="s">
        <v>1283</v>
      </c>
      <c r="H206" s="11" t="s">
        <v>2064</v>
      </c>
      <c r="I206" s="11" t="s">
        <v>1979</v>
      </c>
      <c r="J206" s="12">
        <v>3.31</v>
      </c>
    </row>
    <row r="207" spans="7:10" hidden="1" x14ac:dyDescent="0.3">
      <c r="G207" s="7" t="s">
        <v>1284</v>
      </c>
      <c r="H207" s="8" t="s">
        <v>2037</v>
      </c>
      <c r="I207" s="8" t="s">
        <v>1979</v>
      </c>
      <c r="J207" s="9">
        <v>1.26</v>
      </c>
    </row>
    <row r="208" spans="7:10" hidden="1" x14ac:dyDescent="0.3">
      <c r="G208" s="7" t="s">
        <v>1298</v>
      </c>
      <c r="H208" s="8" t="s">
        <v>2054</v>
      </c>
      <c r="I208" s="8" t="s">
        <v>1979</v>
      </c>
      <c r="J208" s="9">
        <v>1.1399999999999999</v>
      </c>
    </row>
    <row r="209" spans="7:10" hidden="1" x14ac:dyDescent="0.3">
      <c r="G209" s="10" t="s">
        <v>1310</v>
      </c>
      <c r="H209" s="11" t="s">
        <v>2056</v>
      </c>
      <c r="I209" s="11" t="s">
        <v>1979</v>
      </c>
      <c r="J209" s="12">
        <v>3.4</v>
      </c>
    </row>
    <row r="210" spans="7:10" hidden="1" x14ac:dyDescent="0.3">
      <c r="G210" s="7" t="s">
        <v>1333</v>
      </c>
      <c r="H210" s="8" t="s">
        <v>2034</v>
      </c>
      <c r="I210" s="8" t="s">
        <v>1979</v>
      </c>
      <c r="J210" s="9">
        <v>1.78</v>
      </c>
    </row>
    <row r="211" spans="7:10" hidden="1" x14ac:dyDescent="0.3">
      <c r="G211" s="10" t="s">
        <v>1342</v>
      </c>
      <c r="H211" s="11" t="s">
        <v>2042</v>
      </c>
      <c r="I211" s="11" t="s">
        <v>1979</v>
      </c>
      <c r="J211" s="12">
        <v>1.58</v>
      </c>
    </row>
    <row r="212" spans="7:10" hidden="1" x14ac:dyDescent="0.3">
      <c r="G212" s="10" t="s">
        <v>1346</v>
      </c>
      <c r="H212" s="11" t="s">
        <v>2064</v>
      </c>
      <c r="I212" s="11" t="s">
        <v>1979</v>
      </c>
      <c r="J212" s="12">
        <v>1.36</v>
      </c>
    </row>
    <row r="213" spans="7:10" hidden="1" x14ac:dyDescent="0.3">
      <c r="G213" s="10" t="s">
        <v>1351</v>
      </c>
      <c r="H213" s="11" t="s">
        <v>2038</v>
      </c>
      <c r="I213" s="11" t="s">
        <v>1979</v>
      </c>
      <c r="J213" s="12">
        <v>1.1100000000000001</v>
      </c>
    </row>
    <row r="214" spans="7:10" hidden="1" x14ac:dyDescent="0.3">
      <c r="G214" s="10" t="s">
        <v>1367</v>
      </c>
      <c r="H214" s="11" t="s">
        <v>2038</v>
      </c>
      <c r="I214" s="11" t="s">
        <v>1979</v>
      </c>
      <c r="J214" s="12">
        <v>1.25</v>
      </c>
    </row>
    <row r="215" spans="7:10" hidden="1" x14ac:dyDescent="0.3">
      <c r="G215" s="10" t="s">
        <v>1375</v>
      </c>
      <c r="H215" s="11" t="s">
        <v>2034</v>
      </c>
      <c r="I215" s="11" t="s">
        <v>1979</v>
      </c>
      <c r="J215" s="12">
        <v>0.93</v>
      </c>
    </row>
    <row r="216" spans="7:10" hidden="1" x14ac:dyDescent="0.3">
      <c r="G216" s="10" t="s">
        <v>1377</v>
      </c>
      <c r="H216" s="11" t="s">
        <v>2042</v>
      </c>
      <c r="I216" s="11" t="s">
        <v>1979</v>
      </c>
      <c r="J216" s="12">
        <v>1.71</v>
      </c>
    </row>
    <row r="217" spans="7:10" hidden="1" x14ac:dyDescent="0.3">
      <c r="G217" s="7" t="s">
        <v>1388</v>
      </c>
      <c r="H217" s="8" t="s">
        <v>2038</v>
      </c>
      <c r="I217" s="8" t="s">
        <v>1979</v>
      </c>
      <c r="J217" s="9">
        <v>1.24</v>
      </c>
    </row>
    <row r="218" spans="7:10" hidden="1" x14ac:dyDescent="0.3">
      <c r="G218" s="10" t="s">
        <v>1393</v>
      </c>
      <c r="H218" s="11" t="s">
        <v>2060</v>
      </c>
      <c r="I218" s="11" t="s">
        <v>1979</v>
      </c>
      <c r="J218" s="12">
        <v>1.76</v>
      </c>
    </row>
    <row r="219" spans="7:10" hidden="1" x14ac:dyDescent="0.3">
      <c r="G219" s="10" t="s">
        <v>1401</v>
      </c>
      <c r="H219" s="11" t="s">
        <v>2038</v>
      </c>
      <c r="I219" s="11" t="s">
        <v>1979</v>
      </c>
      <c r="J219" s="12">
        <v>1.26</v>
      </c>
    </row>
    <row r="220" spans="7:10" hidden="1" x14ac:dyDescent="0.3">
      <c r="G220" s="10" t="s">
        <v>1407</v>
      </c>
      <c r="H220" s="11" t="s">
        <v>2081</v>
      </c>
      <c r="I220" s="11" t="s">
        <v>1979</v>
      </c>
      <c r="J220" s="12">
        <v>0.89</v>
      </c>
    </row>
    <row r="221" spans="7:10" hidden="1" x14ac:dyDescent="0.3">
      <c r="G221" s="7" t="s">
        <v>1408</v>
      </c>
      <c r="H221" s="8" t="s">
        <v>2070</v>
      </c>
      <c r="I221" s="8" t="s">
        <v>1979</v>
      </c>
      <c r="J221" s="9">
        <v>1.57</v>
      </c>
    </row>
    <row r="222" spans="7:10" hidden="1" x14ac:dyDescent="0.3">
      <c r="G222" s="10" t="s">
        <v>1409</v>
      </c>
      <c r="H222" s="11" t="s">
        <v>2034</v>
      </c>
      <c r="I222" s="11" t="s">
        <v>1979</v>
      </c>
      <c r="J222" s="12">
        <v>1.19</v>
      </c>
    </row>
    <row r="223" spans="7:10" hidden="1" x14ac:dyDescent="0.3">
      <c r="G223" s="7" t="s">
        <v>1420</v>
      </c>
      <c r="H223" s="8" t="s">
        <v>2034</v>
      </c>
      <c r="I223" s="8" t="s">
        <v>1979</v>
      </c>
      <c r="J223" s="9">
        <v>0.96</v>
      </c>
    </row>
    <row r="224" spans="7:10" hidden="1" x14ac:dyDescent="0.3">
      <c r="G224" s="7" t="s">
        <v>1422</v>
      </c>
      <c r="H224" s="8" t="s">
        <v>2087</v>
      </c>
      <c r="I224" s="8" t="s">
        <v>1979</v>
      </c>
      <c r="J224" s="9">
        <v>0.99</v>
      </c>
    </row>
    <row r="225" spans="7:10" hidden="1" x14ac:dyDescent="0.3">
      <c r="G225" s="10" t="s">
        <v>1425</v>
      </c>
      <c r="H225" s="11" t="s">
        <v>2038</v>
      </c>
      <c r="I225" s="11" t="s">
        <v>1979</v>
      </c>
      <c r="J225" s="12">
        <v>0.95</v>
      </c>
    </row>
    <row r="226" spans="7:10" hidden="1" x14ac:dyDescent="0.3">
      <c r="G226" s="10" t="s">
        <v>1431</v>
      </c>
      <c r="H226" s="11" t="s">
        <v>2034</v>
      </c>
      <c r="I226" s="11" t="s">
        <v>1979</v>
      </c>
      <c r="J226" s="12">
        <v>1.21</v>
      </c>
    </row>
    <row r="227" spans="7:10" hidden="1" x14ac:dyDescent="0.3">
      <c r="G227" s="7" t="s">
        <v>1436</v>
      </c>
      <c r="H227" s="8" t="s">
        <v>2070</v>
      </c>
      <c r="I227" s="8" t="s">
        <v>1979</v>
      </c>
      <c r="J227" s="9">
        <v>0.81</v>
      </c>
    </row>
    <row r="228" spans="7:10" hidden="1" x14ac:dyDescent="0.3">
      <c r="G228" s="7" t="s">
        <v>1446</v>
      </c>
      <c r="H228" s="8" t="s">
        <v>2042</v>
      </c>
      <c r="I228" s="8" t="s">
        <v>1979</v>
      </c>
      <c r="J228" s="9">
        <v>2.09</v>
      </c>
    </row>
    <row r="229" spans="7:10" hidden="1" x14ac:dyDescent="0.3">
      <c r="G229" s="10" t="s">
        <v>1453</v>
      </c>
      <c r="H229" s="11" t="s">
        <v>2034</v>
      </c>
      <c r="I229" s="11" t="s">
        <v>1979</v>
      </c>
      <c r="J229" s="12">
        <v>1.04</v>
      </c>
    </row>
    <row r="230" spans="7:10" hidden="1" x14ac:dyDescent="0.3">
      <c r="G230" s="10" t="s">
        <v>1469</v>
      </c>
      <c r="H230" s="11" t="s">
        <v>2037</v>
      </c>
      <c r="I230" s="11" t="s">
        <v>1979</v>
      </c>
      <c r="J230" s="12">
        <v>0.82</v>
      </c>
    </row>
    <row r="231" spans="7:10" hidden="1" x14ac:dyDescent="0.3">
      <c r="G231" s="7" t="s">
        <v>1492</v>
      </c>
      <c r="H231" s="8" t="s">
        <v>2051</v>
      </c>
      <c r="I231" s="8" t="s">
        <v>1979</v>
      </c>
      <c r="J231" s="9">
        <v>1.91</v>
      </c>
    </row>
    <row r="232" spans="7:10" hidden="1" x14ac:dyDescent="0.3">
      <c r="G232" s="10" t="s">
        <v>1507</v>
      </c>
      <c r="H232" s="11" t="s">
        <v>2061</v>
      </c>
      <c r="I232" s="11" t="s">
        <v>1979</v>
      </c>
      <c r="J232" s="12">
        <v>0.86</v>
      </c>
    </row>
    <row r="233" spans="7:10" hidden="1" x14ac:dyDescent="0.3">
      <c r="G233" s="10" t="s">
        <v>1511</v>
      </c>
      <c r="H233" s="11" t="s">
        <v>2034</v>
      </c>
      <c r="I233" s="11" t="s">
        <v>1979</v>
      </c>
      <c r="J233" s="12">
        <v>0.74</v>
      </c>
    </row>
    <row r="234" spans="7:10" hidden="1" x14ac:dyDescent="0.3">
      <c r="G234" s="7" t="s">
        <v>1512</v>
      </c>
      <c r="H234" s="8" t="s">
        <v>2034</v>
      </c>
      <c r="I234" s="8" t="s">
        <v>1979</v>
      </c>
      <c r="J234" s="9">
        <v>0.9</v>
      </c>
    </row>
    <row r="235" spans="7:10" hidden="1" x14ac:dyDescent="0.3">
      <c r="G235" s="10" t="s">
        <v>1515</v>
      </c>
      <c r="H235" s="11" t="s">
        <v>2040</v>
      </c>
      <c r="I235" s="11" t="s">
        <v>1979</v>
      </c>
      <c r="J235" s="12">
        <v>1.05</v>
      </c>
    </row>
    <row r="236" spans="7:10" hidden="1" x14ac:dyDescent="0.3">
      <c r="G236" s="10" t="s">
        <v>1521</v>
      </c>
      <c r="H236" s="11" t="s">
        <v>2034</v>
      </c>
      <c r="I236" s="11" t="s">
        <v>1979</v>
      </c>
      <c r="J236" s="12">
        <v>1.03</v>
      </c>
    </row>
    <row r="237" spans="7:10" hidden="1" x14ac:dyDescent="0.3">
      <c r="G237" s="10" t="s">
        <v>1523</v>
      </c>
      <c r="H237" s="11" t="s">
        <v>2065</v>
      </c>
      <c r="I237" s="11" t="s">
        <v>1979</v>
      </c>
      <c r="J237" s="12">
        <v>1.46</v>
      </c>
    </row>
    <row r="238" spans="7:10" hidden="1" x14ac:dyDescent="0.3">
      <c r="G238" s="10" t="s">
        <v>1539</v>
      </c>
      <c r="H238" s="11" t="s">
        <v>2081</v>
      </c>
      <c r="I238" s="11" t="s">
        <v>1979</v>
      </c>
      <c r="J238" s="12">
        <v>0.9</v>
      </c>
    </row>
    <row r="239" spans="7:10" hidden="1" x14ac:dyDescent="0.3">
      <c r="G239" s="10" t="s">
        <v>1547</v>
      </c>
      <c r="H239" s="11" t="s">
        <v>2038</v>
      </c>
      <c r="I239" s="11" t="s">
        <v>1979</v>
      </c>
      <c r="J239" s="12">
        <v>1.04</v>
      </c>
    </row>
    <row r="240" spans="7:10" hidden="1" x14ac:dyDescent="0.3">
      <c r="G240" s="7" t="s">
        <v>1548</v>
      </c>
      <c r="H240" s="8" t="s">
        <v>2038</v>
      </c>
      <c r="I240" s="8" t="s">
        <v>1979</v>
      </c>
      <c r="J240" s="9">
        <v>0.83</v>
      </c>
    </row>
    <row r="241" spans="7:10" hidden="1" x14ac:dyDescent="0.3">
      <c r="G241" s="10" t="s">
        <v>1555</v>
      </c>
      <c r="H241" s="11" t="s">
        <v>2065</v>
      </c>
      <c r="I241" s="11" t="s">
        <v>1979</v>
      </c>
      <c r="J241" s="12">
        <v>0.98</v>
      </c>
    </row>
    <row r="242" spans="7:10" hidden="1" x14ac:dyDescent="0.3">
      <c r="G242" s="10" t="s">
        <v>1565</v>
      </c>
      <c r="H242" s="11" t="s">
        <v>2034</v>
      </c>
      <c r="I242" s="11" t="s">
        <v>1979</v>
      </c>
      <c r="J242" s="12">
        <v>1.1200000000000001</v>
      </c>
    </row>
    <row r="243" spans="7:10" hidden="1" x14ac:dyDescent="0.3">
      <c r="G243" s="10" t="s">
        <v>1573</v>
      </c>
      <c r="H243" s="11" t="s">
        <v>2038</v>
      </c>
      <c r="I243" s="11" t="s">
        <v>1979</v>
      </c>
      <c r="J243" s="12">
        <v>0.8</v>
      </c>
    </row>
    <row r="244" spans="7:10" hidden="1" x14ac:dyDescent="0.3">
      <c r="G244" s="10" t="s">
        <v>1577</v>
      </c>
      <c r="H244" s="11" t="s">
        <v>2065</v>
      </c>
      <c r="I244" s="11" t="s">
        <v>1979</v>
      </c>
      <c r="J244" s="12">
        <v>1.07</v>
      </c>
    </row>
    <row r="245" spans="7:10" hidden="1" x14ac:dyDescent="0.3">
      <c r="G245" s="7" t="s">
        <v>1578</v>
      </c>
      <c r="H245" s="8" t="s">
        <v>2061</v>
      </c>
      <c r="I245" s="8" t="s">
        <v>1979</v>
      </c>
      <c r="J245" s="9">
        <v>1.84</v>
      </c>
    </row>
    <row r="246" spans="7:10" hidden="1" x14ac:dyDescent="0.3">
      <c r="G246" s="7" t="s">
        <v>1586</v>
      </c>
      <c r="H246" s="8" t="s">
        <v>2038</v>
      </c>
      <c r="I246" s="8" t="s">
        <v>1979</v>
      </c>
      <c r="J246" s="9">
        <v>0.92</v>
      </c>
    </row>
    <row r="247" spans="7:10" hidden="1" x14ac:dyDescent="0.3">
      <c r="G247" s="10" t="s">
        <v>1589</v>
      </c>
      <c r="H247" s="11" t="s">
        <v>2038</v>
      </c>
      <c r="I247" s="11" t="s">
        <v>1979</v>
      </c>
      <c r="J247" s="12">
        <v>0.75</v>
      </c>
    </row>
    <row r="248" spans="7:10" hidden="1" x14ac:dyDescent="0.3">
      <c r="G248" s="10" t="s">
        <v>1591</v>
      </c>
      <c r="H248" s="11" t="s">
        <v>2038</v>
      </c>
      <c r="I248" s="11" t="s">
        <v>1979</v>
      </c>
      <c r="J248" s="12">
        <v>0.77</v>
      </c>
    </row>
    <row r="249" spans="7:10" hidden="1" x14ac:dyDescent="0.3">
      <c r="G249" s="7" t="s">
        <v>1592</v>
      </c>
      <c r="H249" s="8" t="s">
        <v>2038</v>
      </c>
      <c r="I249" s="8" t="s">
        <v>1979</v>
      </c>
      <c r="J249" s="9">
        <v>0.94</v>
      </c>
    </row>
    <row r="250" spans="7:10" hidden="1" x14ac:dyDescent="0.3">
      <c r="G250" s="7" t="s">
        <v>1596</v>
      </c>
      <c r="H250" s="8" t="s">
        <v>2034</v>
      </c>
      <c r="I250" s="8" t="s">
        <v>1979</v>
      </c>
      <c r="J250" s="9">
        <v>1.0900000000000001</v>
      </c>
    </row>
    <row r="251" spans="7:10" hidden="1" x14ac:dyDescent="0.3">
      <c r="G251" s="7" t="s">
        <v>1598</v>
      </c>
      <c r="H251" s="8" t="s">
        <v>2080</v>
      </c>
      <c r="I251" s="8" t="s">
        <v>1979</v>
      </c>
      <c r="J251" s="9">
        <v>1.1499999999999999</v>
      </c>
    </row>
    <row r="252" spans="7:10" hidden="1" x14ac:dyDescent="0.3">
      <c r="G252" s="10" t="s">
        <v>1603</v>
      </c>
      <c r="H252" s="11" t="s">
        <v>2038</v>
      </c>
      <c r="I252" s="11" t="s">
        <v>1979</v>
      </c>
      <c r="J252" s="12">
        <v>0.8</v>
      </c>
    </row>
    <row r="253" spans="7:10" hidden="1" x14ac:dyDescent="0.3">
      <c r="G253" s="7" t="s">
        <v>1612</v>
      </c>
      <c r="H253" s="8" t="s">
        <v>2038</v>
      </c>
      <c r="I253" s="8" t="s">
        <v>1979</v>
      </c>
      <c r="J253" s="9">
        <v>0.91</v>
      </c>
    </row>
    <row r="254" spans="7:10" hidden="1" x14ac:dyDescent="0.3">
      <c r="G254" s="10" t="s">
        <v>1615</v>
      </c>
      <c r="H254" s="11" t="s">
        <v>2076</v>
      </c>
      <c r="I254" s="11" t="s">
        <v>1979</v>
      </c>
      <c r="J254" s="12">
        <v>2.12</v>
      </c>
    </row>
    <row r="255" spans="7:10" hidden="1" x14ac:dyDescent="0.3">
      <c r="G255" s="10" t="s">
        <v>1617</v>
      </c>
      <c r="H255" s="11" t="s">
        <v>2038</v>
      </c>
      <c r="I255" s="11" t="s">
        <v>1979</v>
      </c>
      <c r="J255" s="12">
        <v>0.64</v>
      </c>
    </row>
    <row r="256" spans="7:10" hidden="1" x14ac:dyDescent="0.3">
      <c r="G256" s="7" t="s">
        <v>1620</v>
      </c>
      <c r="H256" s="8" t="s">
        <v>2065</v>
      </c>
      <c r="I256" s="8" t="s">
        <v>1979</v>
      </c>
      <c r="J256" s="9">
        <v>0.9</v>
      </c>
    </row>
    <row r="257" spans="7:10" hidden="1" x14ac:dyDescent="0.3">
      <c r="G257" s="7" t="s">
        <v>1622</v>
      </c>
      <c r="H257" s="8" t="s">
        <v>2038</v>
      </c>
      <c r="I257" s="8" t="s">
        <v>1979</v>
      </c>
      <c r="J257" s="9">
        <v>0.62</v>
      </c>
    </row>
    <row r="258" spans="7:10" hidden="1" x14ac:dyDescent="0.3">
      <c r="G258" s="10" t="s">
        <v>1623</v>
      </c>
      <c r="H258" s="11" t="s">
        <v>2038</v>
      </c>
      <c r="I258" s="11" t="s">
        <v>1979</v>
      </c>
      <c r="J258" s="12">
        <v>0.61</v>
      </c>
    </row>
    <row r="259" spans="7:10" hidden="1" x14ac:dyDescent="0.3">
      <c r="G259" s="7" t="s">
        <v>1638</v>
      </c>
      <c r="H259" s="8" t="s">
        <v>2042</v>
      </c>
      <c r="I259" s="8" t="s">
        <v>1979</v>
      </c>
      <c r="J259" s="9">
        <v>0.82</v>
      </c>
    </row>
    <row r="260" spans="7:10" hidden="1" x14ac:dyDescent="0.3">
      <c r="G260" s="10" t="s">
        <v>1639</v>
      </c>
      <c r="H260" s="11" t="s">
        <v>2038</v>
      </c>
      <c r="I260" s="11" t="s">
        <v>1979</v>
      </c>
      <c r="J260" s="12">
        <v>0.68</v>
      </c>
    </row>
    <row r="261" spans="7:10" hidden="1" x14ac:dyDescent="0.3">
      <c r="G261" s="10" t="s">
        <v>1641</v>
      </c>
      <c r="H261" s="11" t="s">
        <v>2034</v>
      </c>
      <c r="I261" s="11" t="s">
        <v>1979</v>
      </c>
      <c r="J261" s="12">
        <v>1.04</v>
      </c>
    </row>
    <row r="262" spans="7:10" hidden="1" x14ac:dyDescent="0.3">
      <c r="G262" s="7" t="s">
        <v>1642</v>
      </c>
      <c r="H262" s="8" t="s">
        <v>2038</v>
      </c>
      <c r="I262" s="8" t="s">
        <v>1979</v>
      </c>
      <c r="J262" s="9">
        <v>0.57999999999999996</v>
      </c>
    </row>
    <row r="263" spans="7:10" hidden="1" x14ac:dyDescent="0.3">
      <c r="G263" s="10" t="s">
        <v>1649</v>
      </c>
      <c r="H263" s="11" t="s">
        <v>2052</v>
      </c>
      <c r="I263" s="11" t="s">
        <v>1979</v>
      </c>
      <c r="J263" s="12">
        <v>0.39</v>
      </c>
    </row>
    <row r="264" spans="7:10" hidden="1" x14ac:dyDescent="0.3">
      <c r="G264" s="7" t="s">
        <v>1650</v>
      </c>
      <c r="H264" s="8" t="s">
        <v>2038</v>
      </c>
      <c r="I264" s="8" t="s">
        <v>1979</v>
      </c>
      <c r="J264" s="9">
        <v>0.63</v>
      </c>
    </row>
    <row r="265" spans="7:10" hidden="1" x14ac:dyDescent="0.3">
      <c r="G265" s="10" t="s">
        <v>1651</v>
      </c>
      <c r="H265" s="11" t="s">
        <v>2034</v>
      </c>
      <c r="I265" s="11" t="s">
        <v>1979</v>
      </c>
      <c r="J265" s="12">
        <v>0.78</v>
      </c>
    </row>
    <row r="266" spans="7:10" hidden="1" x14ac:dyDescent="0.3">
      <c r="G266" s="10" t="s">
        <v>1653</v>
      </c>
      <c r="H266" s="11" t="s">
        <v>2038</v>
      </c>
      <c r="I266" s="11" t="s">
        <v>1979</v>
      </c>
      <c r="J266" s="12">
        <v>0.66</v>
      </c>
    </row>
    <row r="267" spans="7:10" hidden="1" x14ac:dyDescent="0.3">
      <c r="G267" s="10" t="s">
        <v>1657</v>
      </c>
      <c r="H267" s="11" t="s">
        <v>2038</v>
      </c>
      <c r="I267" s="11" t="s">
        <v>1979</v>
      </c>
      <c r="J267" s="12">
        <v>0.61</v>
      </c>
    </row>
    <row r="268" spans="7:10" hidden="1" x14ac:dyDescent="0.3">
      <c r="G268" s="7" t="s">
        <v>1660</v>
      </c>
      <c r="H268" s="8" t="s">
        <v>2038</v>
      </c>
      <c r="I268" s="8" t="s">
        <v>1979</v>
      </c>
      <c r="J268" s="9">
        <v>0.59</v>
      </c>
    </row>
    <row r="269" spans="7:10" hidden="1" x14ac:dyDescent="0.3">
      <c r="G269" s="7" t="s">
        <v>1664</v>
      </c>
      <c r="H269" s="8" t="s">
        <v>2038</v>
      </c>
      <c r="I269" s="8" t="s">
        <v>1979</v>
      </c>
      <c r="J269" s="9">
        <v>0.6</v>
      </c>
    </row>
    <row r="270" spans="7:10" hidden="1" x14ac:dyDescent="0.3">
      <c r="G270" s="10" t="s">
        <v>1665</v>
      </c>
      <c r="H270" s="11" t="s">
        <v>2034</v>
      </c>
      <c r="I270" s="11" t="s">
        <v>1979</v>
      </c>
      <c r="J270" s="12">
        <v>0.68</v>
      </c>
    </row>
    <row r="271" spans="7:10" hidden="1" x14ac:dyDescent="0.3">
      <c r="G271" s="7" t="s">
        <v>1672</v>
      </c>
      <c r="H271" s="8" t="s">
        <v>2038</v>
      </c>
      <c r="I271" s="8" t="s">
        <v>1979</v>
      </c>
      <c r="J271" s="9">
        <v>0.75</v>
      </c>
    </row>
    <row r="272" spans="7:10" hidden="1" x14ac:dyDescent="0.3">
      <c r="G272" s="7" t="s">
        <v>1676</v>
      </c>
      <c r="H272" s="8" t="s">
        <v>2045</v>
      </c>
      <c r="I272" s="8" t="s">
        <v>1979</v>
      </c>
      <c r="J272" s="9">
        <v>1.1399999999999999</v>
      </c>
    </row>
    <row r="273" spans="7:10" hidden="1" x14ac:dyDescent="0.3">
      <c r="G273" s="10" t="s">
        <v>1679</v>
      </c>
      <c r="H273" s="11" t="s">
        <v>2038</v>
      </c>
      <c r="I273" s="11" t="s">
        <v>1979</v>
      </c>
      <c r="J273" s="12">
        <v>0.56000000000000005</v>
      </c>
    </row>
    <row r="274" spans="7:10" hidden="1" x14ac:dyDescent="0.3">
      <c r="G274" s="10" t="s">
        <v>1681</v>
      </c>
      <c r="H274" s="11" t="s">
        <v>2038</v>
      </c>
      <c r="I274" s="11" t="s">
        <v>1979</v>
      </c>
      <c r="J274" s="12">
        <v>0.48</v>
      </c>
    </row>
    <row r="275" spans="7:10" hidden="1" x14ac:dyDescent="0.3">
      <c r="G275" s="7" t="s">
        <v>1682</v>
      </c>
      <c r="H275" s="8" t="s">
        <v>2038</v>
      </c>
      <c r="I275" s="8" t="s">
        <v>1979</v>
      </c>
      <c r="J275" s="9">
        <v>0.59</v>
      </c>
    </row>
    <row r="276" spans="7:10" hidden="1" x14ac:dyDescent="0.3">
      <c r="G276" s="10" t="s">
        <v>1685</v>
      </c>
      <c r="H276" s="11" t="s">
        <v>2038</v>
      </c>
      <c r="I276" s="11" t="s">
        <v>1979</v>
      </c>
      <c r="J276" s="12">
        <v>0.63</v>
      </c>
    </row>
    <row r="277" spans="7:10" hidden="1" x14ac:dyDescent="0.3">
      <c r="G277" s="7" t="s">
        <v>1686</v>
      </c>
      <c r="H277" s="8" t="s">
        <v>2038</v>
      </c>
      <c r="I277" s="8" t="s">
        <v>1979</v>
      </c>
      <c r="J277" s="9">
        <v>0.49</v>
      </c>
    </row>
    <row r="278" spans="7:10" hidden="1" x14ac:dyDescent="0.3">
      <c r="G278" s="10" t="s">
        <v>1687</v>
      </c>
      <c r="H278" s="11" t="s">
        <v>2061</v>
      </c>
      <c r="I278" s="11" t="s">
        <v>1979</v>
      </c>
      <c r="J278" s="12">
        <v>1.31</v>
      </c>
    </row>
    <row r="279" spans="7:10" hidden="1" x14ac:dyDescent="0.3">
      <c r="G279" s="10" t="s">
        <v>1693</v>
      </c>
      <c r="H279" s="11" t="s">
        <v>2040</v>
      </c>
      <c r="I279" s="11" t="s">
        <v>1979</v>
      </c>
      <c r="J279" s="12">
        <v>0.56999999999999995</v>
      </c>
    </row>
    <row r="280" spans="7:10" hidden="1" x14ac:dyDescent="0.3">
      <c r="G280" s="10" t="s">
        <v>1695</v>
      </c>
      <c r="H280" s="11" t="s">
        <v>2038</v>
      </c>
      <c r="I280" s="11" t="s">
        <v>1979</v>
      </c>
      <c r="J280" s="12">
        <v>0.48</v>
      </c>
    </row>
    <row r="281" spans="7:10" hidden="1" x14ac:dyDescent="0.3">
      <c r="G281" s="7" t="s">
        <v>1696</v>
      </c>
      <c r="H281" s="8" t="s">
        <v>2038</v>
      </c>
      <c r="I281" s="8" t="s">
        <v>1979</v>
      </c>
      <c r="J281" s="9">
        <v>0.65</v>
      </c>
    </row>
    <row r="282" spans="7:10" hidden="1" x14ac:dyDescent="0.3">
      <c r="G282" s="7" t="s">
        <v>1706</v>
      </c>
      <c r="H282" s="8" t="s">
        <v>2038</v>
      </c>
      <c r="I282" s="8" t="s">
        <v>1979</v>
      </c>
      <c r="J282" s="9">
        <v>0.53</v>
      </c>
    </row>
    <row r="283" spans="7:10" hidden="1" x14ac:dyDescent="0.3">
      <c r="G283" s="10" t="s">
        <v>1707</v>
      </c>
      <c r="H283" s="11" t="s">
        <v>2038</v>
      </c>
      <c r="I283" s="11" t="s">
        <v>1979</v>
      </c>
      <c r="J283" s="12">
        <v>0.41</v>
      </c>
    </row>
    <row r="284" spans="7:10" hidden="1" x14ac:dyDescent="0.3">
      <c r="G284" s="10" t="s">
        <v>1713</v>
      </c>
      <c r="H284" s="11" t="s">
        <v>2061</v>
      </c>
      <c r="I284" s="11" t="s">
        <v>1979</v>
      </c>
      <c r="J284" s="12">
        <v>1.64</v>
      </c>
    </row>
    <row r="285" spans="7:10" hidden="1" x14ac:dyDescent="0.3">
      <c r="G285" s="7" t="s">
        <v>1714</v>
      </c>
      <c r="H285" s="8" t="s">
        <v>2074</v>
      </c>
      <c r="I285" s="8" t="s">
        <v>1979</v>
      </c>
      <c r="J285" s="9">
        <v>0.98</v>
      </c>
    </row>
    <row r="286" spans="7:10" hidden="1" x14ac:dyDescent="0.3">
      <c r="G286" s="10" t="s">
        <v>1719</v>
      </c>
      <c r="H286" s="11" t="s">
        <v>2038</v>
      </c>
      <c r="I286" s="11" t="s">
        <v>1979</v>
      </c>
      <c r="J286" s="12">
        <v>0.43</v>
      </c>
    </row>
    <row r="287" spans="7:10" hidden="1" x14ac:dyDescent="0.3">
      <c r="G287" s="10" t="s">
        <v>1723</v>
      </c>
      <c r="H287" s="11" t="s">
        <v>2038</v>
      </c>
      <c r="I287" s="11" t="s">
        <v>1979</v>
      </c>
      <c r="J287" s="12">
        <v>0.56999999999999995</v>
      </c>
    </row>
    <row r="288" spans="7:10" hidden="1" x14ac:dyDescent="0.3">
      <c r="G288" s="10" t="s">
        <v>1731</v>
      </c>
      <c r="H288" s="11" t="s">
        <v>2038</v>
      </c>
      <c r="I288" s="11" t="s">
        <v>1979</v>
      </c>
      <c r="J288" s="12">
        <v>0.44</v>
      </c>
    </row>
    <row r="289" spans="7:10" hidden="1" x14ac:dyDescent="0.3">
      <c r="G289" s="7" t="s">
        <v>1732</v>
      </c>
      <c r="H289" s="8" t="s">
        <v>2038</v>
      </c>
      <c r="I289" s="8" t="s">
        <v>1979</v>
      </c>
      <c r="J289" s="9">
        <v>0.39</v>
      </c>
    </row>
    <row r="290" spans="7:10" hidden="1" x14ac:dyDescent="0.3">
      <c r="G290" s="7" t="s">
        <v>1736</v>
      </c>
      <c r="H290" s="8" t="s">
        <v>2061</v>
      </c>
      <c r="I290" s="8" t="s">
        <v>1979</v>
      </c>
      <c r="J290" s="9">
        <v>1.53</v>
      </c>
    </row>
    <row r="291" spans="7:10" hidden="1" x14ac:dyDescent="0.3">
      <c r="G291" s="10" t="s">
        <v>1737</v>
      </c>
      <c r="H291" s="11" t="s">
        <v>2038</v>
      </c>
      <c r="I291" s="11" t="s">
        <v>1979</v>
      </c>
      <c r="J291" s="12">
        <v>0.44</v>
      </c>
    </row>
    <row r="292" spans="7:10" hidden="1" x14ac:dyDescent="0.3">
      <c r="G292" s="10" t="s">
        <v>1742</v>
      </c>
      <c r="H292" s="11" t="s">
        <v>2089</v>
      </c>
      <c r="I292" s="11" t="s">
        <v>1979</v>
      </c>
      <c r="J292" s="12">
        <v>0.93</v>
      </c>
    </row>
    <row r="293" spans="7:10" hidden="1" x14ac:dyDescent="0.3">
      <c r="G293" s="7" t="s">
        <v>1745</v>
      </c>
      <c r="H293" s="8" t="s">
        <v>2038</v>
      </c>
      <c r="I293" s="8" t="s">
        <v>1979</v>
      </c>
      <c r="J293" s="9">
        <v>0.43</v>
      </c>
    </row>
    <row r="294" spans="7:10" hidden="1" x14ac:dyDescent="0.3">
      <c r="G294" s="10" t="s">
        <v>1748</v>
      </c>
      <c r="H294" s="11" t="s">
        <v>2076</v>
      </c>
      <c r="I294" s="11" t="s">
        <v>1979</v>
      </c>
      <c r="J294" s="12">
        <v>1.33</v>
      </c>
    </row>
    <row r="295" spans="7:10" hidden="1" x14ac:dyDescent="0.3">
      <c r="G295" s="7" t="s">
        <v>1756</v>
      </c>
      <c r="H295" s="8" t="s">
        <v>2043</v>
      </c>
      <c r="I295" s="8" t="s">
        <v>1979</v>
      </c>
      <c r="J295" s="9">
        <v>1.17</v>
      </c>
    </row>
    <row r="296" spans="7:10" hidden="1" x14ac:dyDescent="0.3">
      <c r="G296" s="10" t="s">
        <v>1761</v>
      </c>
      <c r="H296" s="11" t="s">
        <v>2038</v>
      </c>
      <c r="I296" s="11" t="s">
        <v>1979</v>
      </c>
      <c r="J296" s="12">
        <v>0.43</v>
      </c>
    </row>
    <row r="297" spans="7:10" hidden="1" x14ac:dyDescent="0.3">
      <c r="G297" s="7" t="s">
        <v>1764</v>
      </c>
      <c r="H297" s="8" t="s">
        <v>2065</v>
      </c>
      <c r="I297" s="8" t="s">
        <v>1979</v>
      </c>
      <c r="J297" s="9">
        <v>0.43</v>
      </c>
    </row>
    <row r="298" spans="7:10" hidden="1" x14ac:dyDescent="0.3">
      <c r="G298" s="10" t="s">
        <v>1765</v>
      </c>
      <c r="H298" s="11" t="s">
        <v>2038</v>
      </c>
      <c r="I298" s="11" t="s">
        <v>1979</v>
      </c>
      <c r="J298" s="12">
        <v>0.38</v>
      </c>
    </row>
    <row r="299" spans="7:10" hidden="1" x14ac:dyDescent="0.3">
      <c r="G299" s="10" t="s">
        <v>1769</v>
      </c>
      <c r="H299" s="11" t="s">
        <v>2061</v>
      </c>
      <c r="I299" s="11" t="s">
        <v>1979</v>
      </c>
      <c r="J299" s="12">
        <v>0.93</v>
      </c>
    </row>
    <row r="300" spans="7:10" hidden="1" x14ac:dyDescent="0.3">
      <c r="G300" s="10" t="s">
        <v>1775</v>
      </c>
      <c r="H300" s="11" t="s">
        <v>2065</v>
      </c>
      <c r="I300" s="11" t="s">
        <v>1979</v>
      </c>
      <c r="J300" s="12">
        <v>0.63</v>
      </c>
    </row>
    <row r="301" spans="7:10" hidden="1" x14ac:dyDescent="0.3">
      <c r="G301" s="10" t="s">
        <v>1777</v>
      </c>
      <c r="H301" s="11" t="s">
        <v>2037</v>
      </c>
      <c r="I301" s="11" t="s">
        <v>1979</v>
      </c>
      <c r="J301" s="12">
        <v>0.62</v>
      </c>
    </row>
    <row r="302" spans="7:10" hidden="1" x14ac:dyDescent="0.3">
      <c r="G302" s="7" t="s">
        <v>1783</v>
      </c>
      <c r="H302" s="8" t="s">
        <v>2038</v>
      </c>
      <c r="I302" s="8" t="s">
        <v>1979</v>
      </c>
      <c r="J302" s="9">
        <v>0.38</v>
      </c>
    </row>
    <row r="303" spans="7:10" hidden="1" x14ac:dyDescent="0.3">
      <c r="G303" s="10" t="s">
        <v>1790</v>
      </c>
      <c r="H303" s="11" t="s">
        <v>2080</v>
      </c>
      <c r="I303" s="11" t="s">
        <v>1979</v>
      </c>
      <c r="J303" s="12">
        <v>1.35</v>
      </c>
    </row>
    <row r="304" spans="7:10" hidden="1" x14ac:dyDescent="0.3">
      <c r="G304" s="7" t="s">
        <v>1793</v>
      </c>
      <c r="H304" s="8" t="s">
        <v>2067</v>
      </c>
      <c r="I304" s="8" t="s">
        <v>1979</v>
      </c>
      <c r="J304" s="9">
        <v>0.56999999999999995</v>
      </c>
    </row>
    <row r="305" spans="7:10" hidden="1" x14ac:dyDescent="0.3">
      <c r="G305" s="7" t="s">
        <v>1798</v>
      </c>
      <c r="H305" s="8" t="s">
        <v>2038</v>
      </c>
      <c r="I305" s="8" t="s">
        <v>1979</v>
      </c>
      <c r="J305" s="9">
        <v>0.4</v>
      </c>
    </row>
    <row r="306" spans="7:10" hidden="1" x14ac:dyDescent="0.3">
      <c r="G306" s="10" t="s">
        <v>1799</v>
      </c>
      <c r="H306" s="11" t="s">
        <v>2043</v>
      </c>
      <c r="I306" s="11" t="s">
        <v>1979</v>
      </c>
      <c r="J306" s="12">
        <v>1.07</v>
      </c>
    </row>
    <row r="307" spans="7:10" hidden="1" x14ac:dyDescent="0.3">
      <c r="G307" s="7" t="s">
        <v>1804</v>
      </c>
      <c r="H307" s="8" t="s">
        <v>2038</v>
      </c>
      <c r="I307" s="8" t="s">
        <v>1979</v>
      </c>
      <c r="J307" s="9">
        <v>0.37</v>
      </c>
    </row>
    <row r="308" spans="7:10" hidden="1" x14ac:dyDescent="0.3">
      <c r="G308" s="10" t="s">
        <v>1807</v>
      </c>
      <c r="H308" s="11" t="s">
        <v>2034</v>
      </c>
      <c r="I308" s="11" t="s">
        <v>1979</v>
      </c>
      <c r="J308" s="12">
        <v>0.77</v>
      </c>
    </row>
    <row r="309" spans="7:10" hidden="1" x14ac:dyDescent="0.3">
      <c r="G309" s="7" t="s">
        <v>1808</v>
      </c>
      <c r="H309" s="8" t="s">
        <v>2038</v>
      </c>
      <c r="I309" s="8" t="s">
        <v>1979</v>
      </c>
      <c r="J309" s="9">
        <v>0.4</v>
      </c>
    </row>
    <row r="310" spans="7:10" hidden="1" x14ac:dyDescent="0.3">
      <c r="G310" s="7" t="s">
        <v>1812</v>
      </c>
      <c r="H310" s="8" t="s">
        <v>2037</v>
      </c>
      <c r="I310" s="8" t="s">
        <v>1979</v>
      </c>
      <c r="J310" s="9">
        <v>0.4</v>
      </c>
    </row>
    <row r="311" spans="7:10" hidden="1" x14ac:dyDescent="0.3">
      <c r="G311" s="10" t="s">
        <v>1813</v>
      </c>
      <c r="H311" s="11" t="s">
        <v>2037</v>
      </c>
      <c r="I311" s="11" t="s">
        <v>1979</v>
      </c>
      <c r="J311" s="12">
        <v>0.54</v>
      </c>
    </row>
    <row r="312" spans="7:10" hidden="1" x14ac:dyDescent="0.3">
      <c r="G312" s="7" t="s">
        <v>1824</v>
      </c>
      <c r="H312" s="8" t="s">
        <v>2038</v>
      </c>
      <c r="I312" s="8" t="s">
        <v>1979</v>
      </c>
      <c r="J312" s="9">
        <v>0.41</v>
      </c>
    </row>
    <row r="313" spans="7:10" hidden="1" x14ac:dyDescent="0.3">
      <c r="G313" s="7" t="s">
        <v>1826</v>
      </c>
      <c r="H313" s="8" t="s">
        <v>2034</v>
      </c>
      <c r="I313" s="8" t="s">
        <v>1979</v>
      </c>
      <c r="J313" s="9">
        <v>0.7</v>
      </c>
    </row>
    <row r="314" spans="7:10" hidden="1" x14ac:dyDescent="0.3">
      <c r="G314" s="10" t="s">
        <v>1827</v>
      </c>
      <c r="H314" s="11" t="s">
        <v>2076</v>
      </c>
      <c r="I314" s="11" t="s">
        <v>1979</v>
      </c>
      <c r="J314" s="12">
        <v>1.01</v>
      </c>
    </row>
    <row r="315" spans="7:10" hidden="1" x14ac:dyDescent="0.3">
      <c r="G315" s="10" t="s">
        <v>1835</v>
      </c>
      <c r="H315" s="11" t="s">
        <v>2067</v>
      </c>
      <c r="I315" s="11" t="s">
        <v>1979</v>
      </c>
      <c r="J315" s="12">
        <v>0.54</v>
      </c>
    </row>
    <row r="316" spans="7:10" hidden="1" x14ac:dyDescent="0.3">
      <c r="G316" s="10" t="s">
        <v>1837</v>
      </c>
      <c r="H316" s="11" t="s">
        <v>2034</v>
      </c>
      <c r="I316" s="11" t="s">
        <v>1979</v>
      </c>
      <c r="J316" s="12">
        <v>0.74</v>
      </c>
    </row>
    <row r="317" spans="7:10" hidden="1" x14ac:dyDescent="0.3">
      <c r="G317" s="10" t="s">
        <v>1840</v>
      </c>
      <c r="H317" s="11" t="s">
        <v>2042</v>
      </c>
      <c r="I317" s="11" t="s">
        <v>1979</v>
      </c>
      <c r="J317" s="12">
        <v>0.89</v>
      </c>
    </row>
    <row r="318" spans="7:10" hidden="1" x14ac:dyDescent="0.3">
      <c r="G318" s="10" t="s">
        <v>1844</v>
      </c>
      <c r="H318" s="11" t="s">
        <v>2038</v>
      </c>
      <c r="I318" s="11" t="s">
        <v>1979</v>
      </c>
      <c r="J318" s="12">
        <v>0.36</v>
      </c>
    </row>
    <row r="319" spans="7:10" hidden="1" x14ac:dyDescent="0.3">
      <c r="G319" s="7" t="s">
        <v>1847</v>
      </c>
      <c r="H319" s="8" t="s">
        <v>2034</v>
      </c>
      <c r="I319" s="8" t="s">
        <v>1979</v>
      </c>
      <c r="J319" s="9">
        <v>0.72</v>
      </c>
    </row>
    <row r="320" spans="7:10" hidden="1" x14ac:dyDescent="0.3">
      <c r="G320" s="10" t="s">
        <v>1852</v>
      </c>
      <c r="H320" s="11" t="s">
        <v>2037</v>
      </c>
      <c r="I320" s="11" t="s">
        <v>1979</v>
      </c>
      <c r="J320" s="12">
        <v>0.54</v>
      </c>
    </row>
    <row r="321" spans="7:10" hidden="1" x14ac:dyDescent="0.3">
      <c r="G321" s="7" t="s">
        <v>1853</v>
      </c>
      <c r="H321" s="8" t="s">
        <v>2034</v>
      </c>
      <c r="I321" s="8" t="s">
        <v>1979</v>
      </c>
      <c r="J321" s="9">
        <v>0.9</v>
      </c>
    </row>
    <row r="322" spans="7:10" hidden="1" x14ac:dyDescent="0.3">
      <c r="G322" s="10" t="s">
        <v>1854</v>
      </c>
      <c r="H322" s="11" t="s">
        <v>1977</v>
      </c>
      <c r="I322" s="11" t="s">
        <v>1979</v>
      </c>
      <c r="J322" s="12">
        <v>0.65</v>
      </c>
    </row>
    <row r="323" spans="7:10" hidden="1" x14ac:dyDescent="0.3">
      <c r="G323" s="7" t="s">
        <v>1857</v>
      </c>
      <c r="H323" s="8" t="s">
        <v>2038</v>
      </c>
      <c r="I323" s="8" t="s">
        <v>1979</v>
      </c>
      <c r="J323" s="9">
        <v>0.33</v>
      </c>
    </row>
    <row r="324" spans="7:10" hidden="1" x14ac:dyDescent="0.3">
      <c r="G324" s="7" t="s">
        <v>1861</v>
      </c>
      <c r="H324" s="8" t="s">
        <v>2067</v>
      </c>
      <c r="I324" s="8" t="s">
        <v>1979</v>
      </c>
      <c r="J324" s="9">
        <v>0.66</v>
      </c>
    </row>
    <row r="325" spans="7:10" hidden="1" x14ac:dyDescent="0.3">
      <c r="G325" s="10" t="s">
        <v>1862</v>
      </c>
      <c r="H325" s="11" t="s">
        <v>2038</v>
      </c>
      <c r="I325" s="11" t="s">
        <v>1979</v>
      </c>
      <c r="J325" s="12">
        <v>0.37</v>
      </c>
    </row>
    <row r="326" spans="7:10" hidden="1" x14ac:dyDescent="0.3">
      <c r="G326" s="7" t="s">
        <v>1867</v>
      </c>
      <c r="H326" s="8" t="s">
        <v>2034</v>
      </c>
      <c r="I326" s="8" t="s">
        <v>1979</v>
      </c>
      <c r="J326" s="9">
        <v>0.93</v>
      </c>
    </row>
    <row r="327" spans="7:10" hidden="1" x14ac:dyDescent="0.3">
      <c r="G327" s="7" t="s">
        <v>1869</v>
      </c>
      <c r="H327" s="8" t="s">
        <v>2079</v>
      </c>
      <c r="I327" s="8" t="s">
        <v>1979</v>
      </c>
      <c r="J327" s="9">
        <v>0.83</v>
      </c>
    </row>
    <row r="328" spans="7:10" hidden="1" x14ac:dyDescent="0.3">
      <c r="G328" s="7" t="s">
        <v>1875</v>
      </c>
      <c r="H328" s="8" t="s">
        <v>2034</v>
      </c>
      <c r="I328" s="8" t="s">
        <v>1979</v>
      </c>
      <c r="J328" s="9">
        <v>0.82</v>
      </c>
    </row>
    <row r="329" spans="7:10" hidden="1" x14ac:dyDescent="0.3">
      <c r="G329" s="7" t="s">
        <v>1879</v>
      </c>
      <c r="H329" s="8" t="s">
        <v>2054</v>
      </c>
      <c r="I329" s="8" t="s">
        <v>1979</v>
      </c>
      <c r="J329" s="9">
        <v>0.74</v>
      </c>
    </row>
    <row r="330" spans="7:10" hidden="1" x14ac:dyDescent="0.3">
      <c r="G330" s="10" t="s">
        <v>1886</v>
      </c>
      <c r="H330" s="11" t="s">
        <v>2065</v>
      </c>
      <c r="I330" s="11" t="s">
        <v>1979</v>
      </c>
      <c r="J330" s="12">
        <v>0.47</v>
      </c>
    </row>
    <row r="331" spans="7:10" hidden="1" x14ac:dyDescent="0.3">
      <c r="G331" s="10" t="s">
        <v>1890</v>
      </c>
      <c r="H331" s="11" t="s">
        <v>2034</v>
      </c>
      <c r="I331" s="11" t="s">
        <v>1979</v>
      </c>
      <c r="J331" s="12">
        <v>0.83</v>
      </c>
    </row>
    <row r="332" spans="7:10" hidden="1" x14ac:dyDescent="0.3">
      <c r="G332" s="7" t="s">
        <v>1891</v>
      </c>
      <c r="H332" s="8" t="s">
        <v>2038</v>
      </c>
      <c r="I332" s="8" t="s">
        <v>1979</v>
      </c>
      <c r="J332" s="9">
        <v>0.41</v>
      </c>
    </row>
    <row r="333" spans="7:10" hidden="1" x14ac:dyDescent="0.3">
      <c r="G333" s="7" t="s">
        <v>1897</v>
      </c>
      <c r="H333" s="8" t="s">
        <v>2047</v>
      </c>
      <c r="I333" s="8" t="s">
        <v>1979</v>
      </c>
      <c r="J333" s="9">
        <v>0.79</v>
      </c>
    </row>
    <row r="334" spans="7:10" hidden="1" x14ac:dyDescent="0.3">
      <c r="G334" s="10" t="s">
        <v>1920</v>
      </c>
      <c r="H334" s="11" t="s">
        <v>2038</v>
      </c>
      <c r="I334" s="11" t="s">
        <v>1979</v>
      </c>
      <c r="J334" s="12">
        <v>0.49</v>
      </c>
    </row>
    <row r="335" spans="7:10" hidden="1" x14ac:dyDescent="0.3">
      <c r="G335" s="7" t="s">
        <v>1921</v>
      </c>
      <c r="H335" s="8" t="s">
        <v>2052</v>
      </c>
      <c r="I335" s="8" t="s">
        <v>1979</v>
      </c>
      <c r="J335" s="9">
        <v>0.46</v>
      </c>
    </row>
    <row r="336" spans="7:10" hidden="1" x14ac:dyDescent="0.3">
      <c r="G336" s="7" t="s">
        <v>1932</v>
      </c>
      <c r="H336" s="8" t="s">
        <v>2052</v>
      </c>
      <c r="I336" s="8" t="s">
        <v>1979</v>
      </c>
      <c r="J336" s="9">
        <v>0.35</v>
      </c>
    </row>
    <row r="337" spans="7:10" hidden="1" x14ac:dyDescent="0.3">
      <c r="G337" s="10" t="s">
        <v>1935</v>
      </c>
      <c r="H337" s="11" t="s">
        <v>2037</v>
      </c>
      <c r="I337" s="11" t="s">
        <v>1979</v>
      </c>
      <c r="J337" s="12">
        <v>0.47</v>
      </c>
    </row>
    <row r="338" spans="7:10" hidden="1" x14ac:dyDescent="0.3">
      <c r="G338" s="10" t="s">
        <v>1939</v>
      </c>
      <c r="H338" s="11" t="s">
        <v>2038</v>
      </c>
      <c r="I338" s="11" t="s">
        <v>1979</v>
      </c>
      <c r="J338" s="12">
        <v>0.24</v>
      </c>
    </row>
    <row r="339" spans="7:10" hidden="1" x14ac:dyDescent="0.3">
      <c r="G339" s="10" t="s">
        <v>1945</v>
      </c>
      <c r="H339" s="11" t="s">
        <v>2038</v>
      </c>
      <c r="I339" s="11" t="s">
        <v>1979</v>
      </c>
      <c r="J339" s="12">
        <v>0.28000000000000003</v>
      </c>
    </row>
    <row r="340" spans="7:10" hidden="1" x14ac:dyDescent="0.3">
      <c r="G340" s="7" t="s">
        <v>1946</v>
      </c>
      <c r="H340" s="8" t="s">
        <v>2041</v>
      </c>
      <c r="I340" s="8" t="s">
        <v>1979</v>
      </c>
      <c r="J340" s="9">
        <v>0.64</v>
      </c>
    </row>
    <row r="341" spans="7:10" hidden="1" x14ac:dyDescent="0.3">
      <c r="G341" s="10" t="s">
        <v>1947</v>
      </c>
      <c r="H341" s="11" t="s">
        <v>2061</v>
      </c>
      <c r="I341" s="11" t="s">
        <v>1979</v>
      </c>
      <c r="J341" s="12">
        <v>0.93</v>
      </c>
    </row>
    <row r="342" spans="7:10" hidden="1" x14ac:dyDescent="0.3">
      <c r="G342" s="10" t="s">
        <v>1949</v>
      </c>
      <c r="H342" s="11" t="s">
        <v>2061</v>
      </c>
      <c r="I342" s="11" t="s">
        <v>1979</v>
      </c>
      <c r="J342" s="12">
        <v>1.05</v>
      </c>
    </row>
    <row r="343" spans="7:10" hidden="1" x14ac:dyDescent="0.3">
      <c r="G343" s="10" t="s">
        <v>1960</v>
      </c>
      <c r="H343" s="11" t="s">
        <v>2065</v>
      </c>
      <c r="I343" s="11" t="s">
        <v>1979</v>
      </c>
      <c r="J343" s="12">
        <v>0.44</v>
      </c>
    </row>
    <row r="344" spans="7:10" hidden="1" x14ac:dyDescent="0.3">
      <c r="G344" s="10" t="s">
        <v>1964</v>
      </c>
      <c r="H344" s="11" t="s">
        <v>2038</v>
      </c>
      <c r="I344" s="11" t="s">
        <v>1979</v>
      </c>
      <c r="J344" s="12">
        <v>0.44</v>
      </c>
    </row>
    <row r="345" spans="7:10" hidden="1" x14ac:dyDescent="0.3">
      <c r="G345" s="7" t="s">
        <v>1967</v>
      </c>
      <c r="H345" s="8" t="s">
        <v>2037</v>
      </c>
      <c r="I345" s="8" t="s">
        <v>1979</v>
      </c>
      <c r="J345" s="9">
        <v>0.45</v>
      </c>
    </row>
    <row r="346" spans="7:10" hidden="1" x14ac:dyDescent="0.3">
      <c r="G346" s="10" t="s">
        <v>139</v>
      </c>
      <c r="H346" s="11" t="s">
        <v>2038</v>
      </c>
      <c r="I346" s="11" t="s">
        <v>1986</v>
      </c>
      <c r="J346" s="12">
        <v>31.8</v>
      </c>
    </row>
    <row r="347" spans="7:10" hidden="1" x14ac:dyDescent="0.3">
      <c r="G347" s="10" t="s">
        <v>239</v>
      </c>
      <c r="H347" s="11" t="s">
        <v>2034</v>
      </c>
      <c r="I347" s="11" t="s">
        <v>1986</v>
      </c>
      <c r="J347" s="12">
        <v>18.239999999999998</v>
      </c>
    </row>
    <row r="348" spans="7:10" hidden="1" x14ac:dyDescent="0.3">
      <c r="G348" s="7" t="s">
        <v>323</v>
      </c>
      <c r="H348" s="8" t="s">
        <v>2034</v>
      </c>
      <c r="I348" s="8" t="s">
        <v>1986</v>
      </c>
      <c r="J348" s="9">
        <v>8.83</v>
      </c>
    </row>
    <row r="349" spans="7:10" hidden="1" x14ac:dyDescent="0.3">
      <c r="G349" s="10" t="s">
        <v>340</v>
      </c>
      <c r="H349" s="11" t="s">
        <v>2034</v>
      </c>
      <c r="I349" s="11" t="s">
        <v>1986</v>
      </c>
      <c r="J349" s="12">
        <v>13.07</v>
      </c>
    </row>
    <row r="350" spans="7:10" hidden="1" x14ac:dyDescent="0.3">
      <c r="G350" s="10" t="s">
        <v>362</v>
      </c>
      <c r="H350" s="11" t="s">
        <v>2034</v>
      </c>
      <c r="I350" s="11" t="s">
        <v>1986</v>
      </c>
      <c r="J350" s="12">
        <v>15.7</v>
      </c>
    </row>
    <row r="351" spans="7:10" hidden="1" x14ac:dyDescent="0.3">
      <c r="G351" s="7" t="s">
        <v>390</v>
      </c>
      <c r="H351" s="8" t="s">
        <v>2038</v>
      </c>
      <c r="I351" s="8" t="s">
        <v>1986</v>
      </c>
      <c r="J351" s="9">
        <v>16.93</v>
      </c>
    </row>
    <row r="352" spans="7:10" hidden="1" x14ac:dyDescent="0.3">
      <c r="G352" s="10" t="s">
        <v>508</v>
      </c>
      <c r="H352" s="11" t="s">
        <v>2038</v>
      </c>
      <c r="I352" s="11" t="s">
        <v>1986</v>
      </c>
      <c r="J352" s="12">
        <v>11.02</v>
      </c>
    </row>
    <row r="353" spans="7:10" hidden="1" x14ac:dyDescent="0.3">
      <c r="G353" s="7" t="s">
        <v>611</v>
      </c>
      <c r="H353" s="8" t="s">
        <v>2037</v>
      </c>
      <c r="I353" s="8" t="s">
        <v>1986</v>
      </c>
      <c r="J353" s="9">
        <v>23.35</v>
      </c>
    </row>
    <row r="354" spans="7:10" hidden="1" x14ac:dyDescent="0.3">
      <c r="G354" s="7" t="s">
        <v>747</v>
      </c>
      <c r="H354" s="8" t="s">
        <v>2034</v>
      </c>
      <c r="I354" s="8" t="s">
        <v>1986</v>
      </c>
      <c r="J354" s="9">
        <v>5.49</v>
      </c>
    </row>
    <row r="355" spans="7:10" hidden="1" x14ac:dyDescent="0.3">
      <c r="G355" s="7" t="s">
        <v>770</v>
      </c>
      <c r="H355" s="8" t="s">
        <v>2038</v>
      </c>
      <c r="I355" s="8" t="s">
        <v>1986</v>
      </c>
      <c r="J355" s="9">
        <v>5.1100000000000003</v>
      </c>
    </row>
    <row r="356" spans="7:10" hidden="1" x14ac:dyDescent="0.3">
      <c r="G356" s="7" t="s">
        <v>789</v>
      </c>
      <c r="H356" s="8" t="s">
        <v>2047</v>
      </c>
      <c r="I356" s="8" t="s">
        <v>1986</v>
      </c>
      <c r="J356" s="9">
        <v>14.24</v>
      </c>
    </row>
    <row r="357" spans="7:10" hidden="1" x14ac:dyDescent="0.3">
      <c r="G357" s="10" t="s">
        <v>814</v>
      </c>
      <c r="H357" s="11" t="s">
        <v>1976</v>
      </c>
      <c r="I357" s="11" t="s">
        <v>1986</v>
      </c>
      <c r="J357" s="12">
        <v>6.03</v>
      </c>
    </row>
    <row r="358" spans="7:10" hidden="1" x14ac:dyDescent="0.3">
      <c r="G358" s="10" t="s">
        <v>843</v>
      </c>
      <c r="H358" s="11" t="s">
        <v>2038</v>
      </c>
      <c r="I358" s="11" t="s">
        <v>1986</v>
      </c>
      <c r="J358" s="12">
        <v>3.96</v>
      </c>
    </row>
    <row r="359" spans="7:10" hidden="1" x14ac:dyDescent="0.3">
      <c r="G359" s="10" t="s">
        <v>887</v>
      </c>
      <c r="H359" s="11" t="s">
        <v>2034</v>
      </c>
      <c r="I359" s="11" t="s">
        <v>1986</v>
      </c>
      <c r="J359" s="12">
        <v>4.7300000000000004</v>
      </c>
    </row>
    <row r="360" spans="7:10" hidden="1" x14ac:dyDescent="0.3">
      <c r="G360" s="7" t="s">
        <v>888</v>
      </c>
      <c r="H360" s="8" t="s">
        <v>2038</v>
      </c>
      <c r="I360" s="8" t="s">
        <v>1986</v>
      </c>
      <c r="J360" s="9">
        <v>6.14</v>
      </c>
    </row>
    <row r="361" spans="7:10" hidden="1" x14ac:dyDescent="0.3">
      <c r="G361" s="7" t="s">
        <v>890</v>
      </c>
      <c r="H361" s="8" t="s">
        <v>2043</v>
      </c>
      <c r="I361" s="8" t="s">
        <v>1986</v>
      </c>
      <c r="J361" s="9">
        <v>9</v>
      </c>
    </row>
    <row r="362" spans="7:10" hidden="1" x14ac:dyDescent="0.3">
      <c r="G362" s="7" t="s">
        <v>900</v>
      </c>
      <c r="H362" s="8" t="s">
        <v>2066</v>
      </c>
      <c r="I362" s="8" t="s">
        <v>1986</v>
      </c>
      <c r="J362" s="9">
        <v>15.58</v>
      </c>
    </row>
    <row r="363" spans="7:10" hidden="1" x14ac:dyDescent="0.3">
      <c r="G363" s="7" t="s">
        <v>926</v>
      </c>
      <c r="H363" s="8" t="s">
        <v>2057</v>
      </c>
      <c r="I363" s="8" t="s">
        <v>1986</v>
      </c>
      <c r="J363" s="9">
        <v>8.3000000000000007</v>
      </c>
    </row>
    <row r="364" spans="7:10" hidden="1" x14ac:dyDescent="0.3">
      <c r="G364" s="10" t="s">
        <v>996</v>
      </c>
      <c r="H364" s="11" t="s">
        <v>2034</v>
      </c>
      <c r="I364" s="11" t="s">
        <v>1986</v>
      </c>
      <c r="J364" s="12">
        <v>16.079999999999998</v>
      </c>
    </row>
    <row r="365" spans="7:10" hidden="1" x14ac:dyDescent="0.3">
      <c r="G365" s="10" t="s">
        <v>998</v>
      </c>
      <c r="H365" s="11" t="s">
        <v>2034</v>
      </c>
      <c r="I365" s="11" t="s">
        <v>1986</v>
      </c>
      <c r="J365" s="12">
        <v>11.16</v>
      </c>
    </row>
    <row r="366" spans="7:10" hidden="1" x14ac:dyDescent="0.3">
      <c r="G366" s="7" t="s">
        <v>1084</v>
      </c>
      <c r="H366" s="8" t="s">
        <v>2036</v>
      </c>
      <c r="I366" s="8" t="s">
        <v>1986</v>
      </c>
      <c r="J366" s="9">
        <v>7.85</v>
      </c>
    </row>
    <row r="367" spans="7:10" hidden="1" x14ac:dyDescent="0.3">
      <c r="G367" s="10" t="s">
        <v>1085</v>
      </c>
      <c r="H367" s="11" t="s">
        <v>2038</v>
      </c>
      <c r="I367" s="11" t="s">
        <v>1986</v>
      </c>
      <c r="J367" s="12">
        <v>5.68</v>
      </c>
    </row>
    <row r="368" spans="7:10" hidden="1" x14ac:dyDescent="0.3">
      <c r="G368" s="10" t="s">
        <v>1087</v>
      </c>
      <c r="H368" s="11" t="s">
        <v>2034</v>
      </c>
      <c r="I368" s="11" t="s">
        <v>1986</v>
      </c>
      <c r="J368" s="12">
        <v>1.73</v>
      </c>
    </row>
    <row r="369" spans="7:10" hidden="1" x14ac:dyDescent="0.3">
      <c r="G369" s="10" t="s">
        <v>1119</v>
      </c>
      <c r="H369" s="11" t="s">
        <v>2034</v>
      </c>
      <c r="I369" s="11" t="s">
        <v>1986</v>
      </c>
      <c r="J369" s="12">
        <v>5.73</v>
      </c>
    </row>
    <row r="370" spans="7:10" hidden="1" x14ac:dyDescent="0.3">
      <c r="G370" s="7" t="s">
        <v>1144</v>
      </c>
      <c r="H370" s="8" t="s">
        <v>2061</v>
      </c>
      <c r="I370" s="8" t="s">
        <v>1986</v>
      </c>
      <c r="J370" s="9">
        <v>2.23</v>
      </c>
    </row>
    <row r="371" spans="7:10" hidden="1" x14ac:dyDescent="0.3">
      <c r="G371" s="7" t="s">
        <v>1158</v>
      </c>
      <c r="H371" s="8" t="s">
        <v>2061</v>
      </c>
      <c r="I371" s="8" t="s">
        <v>1986</v>
      </c>
      <c r="J371" s="9">
        <v>1.63</v>
      </c>
    </row>
    <row r="372" spans="7:10" hidden="1" x14ac:dyDescent="0.3">
      <c r="G372" s="7" t="s">
        <v>1162</v>
      </c>
      <c r="H372" s="8" t="s">
        <v>2034</v>
      </c>
      <c r="I372" s="8" t="s">
        <v>1986</v>
      </c>
      <c r="J372" s="9">
        <v>5.22</v>
      </c>
    </row>
    <row r="373" spans="7:10" hidden="1" x14ac:dyDescent="0.3">
      <c r="G373" s="10" t="s">
        <v>1181</v>
      </c>
      <c r="H373" s="11" t="s">
        <v>2035</v>
      </c>
      <c r="I373" s="11" t="s">
        <v>1986</v>
      </c>
      <c r="J373" s="12">
        <v>3.95</v>
      </c>
    </row>
    <row r="374" spans="7:10" hidden="1" x14ac:dyDescent="0.3">
      <c r="G374" s="7" t="s">
        <v>1184</v>
      </c>
      <c r="H374" s="8" t="s">
        <v>2034</v>
      </c>
      <c r="I374" s="8" t="s">
        <v>1986</v>
      </c>
      <c r="J374" s="9">
        <v>1.56</v>
      </c>
    </row>
    <row r="375" spans="7:10" hidden="1" x14ac:dyDescent="0.3">
      <c r="G375" s="7" t="s">
        <v>1190</v>
      </c>
      <c r="H375" s="8" t="s">
        <v>2038</v>
      </c>
      <c r="I375" s="8" t="s">
        <v>1986</v>
      </c>
      <c r="J375" s="9">
        <v>1.1000000000000001</v>
      </c>
    </row>
    <row r="376" spans="7:10" hidden="1" x14ac:dyDescent="0.3">
      <c r="G376" s="7" t="s">
        <v>1206</v>
      </c>
      <c r="H376" s="8" t="s">
        <v>2061</v>
      </c>
      <c r="I376" s="8" t="s">
        <v>1986</v>
      </c>
      <c r="J376" s="9">
        <v>1.87</v>
      </c>
    </row>
    <row r="377" spans="7:10" hidden="1" x14ac:dyDescent="0.3">
      <c r="G377" s="10" t="s">
        <v>1252</v>
      </c>
      <c r="H377" s="11" t="s">
        <v>2034</v>
      </c>
      <c r="I377" s="11" t="s">
        <v>1986</v>
      </c>
      <c r="J377" s="12">
        <v>5.47</v>
      </c>
    </row>
    <row r="378" spans="7:10" hidden="1" x14ac:dyDescent="0.3">
      <c r="G378" s="7" t="s">
        <v>1268</v>
      </c>
      <c r="H378" s="8" t="s">
        <v>2039</v>
      </c>
      <c r="I378" s="8" t="s">
        <v>1986</v>
      </c>
      <c r="J378" s="9">
        <v>7.19</v>
      </c>
    </row>
    <row r="379" spans="7:10" hidden="1" x14ac:dyDescent="0.3">
      <c r="G379" s="7" t="s">
        <v>1313</v>
      </c>
      <c r="H379" s="8" t="s">
        <v>2034</v>
      </c>
      <c r="I379" s="8" t="s">
        <v>1986</v>
      </c>
      <c r="J379" s="9">
        <v>2.35</v>
      </c>
    </row>
    <row r="380" spans="7:10" hidden="1" x14ac:dyDescent="0.3">
      <c r="G380" s="7" t="s">
        <v>1331</v>
      </c>
      <c r="H380" s="8" t="s">
        <v>2034</v>
      </c>
      <c r="I380" s="8" t="s">
        <v>1986</v>
      </c>
      <c r="J380" s="9">
        <v>3.22</v>
      </c>
    </row>
    <row r="381" spans="7:10" hidden="1" x14ac:dyDescent="0.3">
      <c r="G381" s="10" t="s">
        <v>1365</v>
      </c>
      <c r="H381" s="11" t="s">
        <v>2034</v>
      </c>
      <c r="I381" s="11" t="s">
        <v>1986</v>
      </c>
      <c r="J381" s="12">
        <v>2.12</v>
      </c>
    </row>
    <row r="382" spans="7:10" hidden="1" x14ac:dyDescent="0.3">
      <c r="G382" s="7" t="s">
        <v>1410</v>
      </c>
      <c r="H382" s="8" t="s">
        <v>2034</v>
      </c>
      <c r="I382" s="8" t="s">
        <v>1986</v>
      </c>
      <c r="J382" s="9">
        <v>5.74</v>
      </c>
    </row>
    <row r="383" spans="7:10" hidden="1" x14ac:dyDescent="0.3">
      <c r="G383" s="10" t="s">
        <v>1457</v>
      </c>
      <c r="H383" s="11" t="s">
        <v>2034</v>
      </c>
      <c r="I383" s="11" t="s">
        <v>1986</v>
      </c>
      <c r="J383" s="12">
        <v>3.34</v>
      </c>
    </row>
    <row r="384" spans="7:10" hidden="1" x14ac:dyDescent="0.3">
      <c r="G384" s="10" t="s">
        <v>1519</v>
      </c>
      <c r="H384" s="11" t="s">
        <v>2034</v>
      </c>
      <c r="I384" s="11" t="s">
        <v>1986</v>
      </c>
      <c r="J384" s="12">
        <v>2.86</v>
      </c>
    </row>
    <row r="385" spans="7:10" hidden="1" x14ac:dyDescent="0.3">
      <c r="G385" s="10" t="s">
        <v>1525</v>
      </c>
      <c r="H385" s="11" t="s">
        <v>2037</v>
      </c>
      <c r="I385" s="11" t="s">
        <v>1986</v>
      </c>
      <c r="J385" s="12">
        <v>2.5099999999999998</v>
      </c>
    </row>
    <row r="386" spans="7:10" hidden="1" x14ac:dyDescent="0.3">
      <c r="G386" s="7" t="s">
        <v>1546</v>
      </c>
      <c r="H386" s="8" t="s">
        <v>2035</v>
      </c>
      <c r="I386" s="8" t="s">
        <v>1986</v>
      </c>
      <c r="J386" s="9">
        <v>2.16</v>
      </c>
    </row>
    <row r="387" spans="7:10" hidden="1" x14ac:dyDescent="0.3">
      <c r="G387" s="10" t="s">
        <v>1563</v>
      </c>
      <c r="H387" s="11" t="s">
        <v>2035</v>
      </c>
      <c r="I387" s="11" t="s">
        <v>1986</v>
      </c>
      <c r="J387" s="12">
        <v>6.09</v>
      </c>
    </row>
    <row r="388" spans="7:10" hidden="1" x14ac:dyDescent="0.3">
      <c r="G388" s="10" t="s">
        <v>1587</v>
      </c>
      <c r="H388" s="11" t="s">
        <v>2036</v>
      </c>
      <c r="I388" s="11" t="s">
        <v>1986</v>
      </c>
      <c r="J388" s="12">
        <v>8.1</v>
      </c>
    </row>
    <row r="389" spans="7:10" hidden="1" x14ac:dyDescent="0.3">
      <c r="G389" s="10" t="s">
        <v>1669</v>
      </c>
      <c r="H389" s="11" t="s">
        <v>2038</v>
      </c>
      <c r="I389" s="11" t="s">
        <v>1986</v>
      </c>
      <c r="J389" s="12">
        <v>6.42</v>
      </c>
    </row>
    <row r="390" spans="7:10" hidden="1" x14ac:dyDescent="0.3">
      <c r="G390" s="10" t="s">
        <v>1673</v>
      </c>
      <c r="H390" s="11" t="s">
        <v>2034</v>
      </c>
      <c r="I390" s="11" t="s">
        <v>1986</v>
      </c>
      <c r="J390" s="12">
        <v>2.91</v>
      </c>
    </row>
    <row r="391" spans="7:10" hidden="1" x14ac:dyDescent="0.3">
      <c r="G391" s="10" t="s">
        <v>1689</v>
      </c>
      <c r="H391" s="11" t="s">
        <v>2038</v>
      </c>
      <c r="I391" s="11" t="s">
        <v>1986</v>
      </c>
      <c r="J391" s="12">
        <v>2.89</v>
      </c>
    </row>
    <row r="392" spans="7:10" hidden="1" x14ac:dyDescent="0.3">
      <c r="G392" s="10" t="s">
        <v>1735</v>
      </c>
      <c r="H392" s="11" t="s">
        <v>2036</v>
      </c>
      <c r="I392" s="11" t="s">
        <v>1986</v>
      </c>
      <c r="J392" s="12">
        <v>6.96</v>
      </c>
    </row>
    <row r="393" spans="7:10" hidden="1" x14ac:dyDescent="0.3">
      <c r="G393" s="10" t="s">
        <v>1752</v>
      </c>
      <c r="H393" s="11" t="s">
        <v>2038</v>
      </c>
      <c r="I393" s="11" t="s">
        <v>1986</v>
      </c>
      <c r="J393" s="12">
        <v>6.01</v>
      </c>
    </row>
    <row r="394" spans="7:10" hidden="1" x14ac:dyDescent="0.3">
      <c r="G394" s="7" t="s">
        <v>1791</v>
      </c>
      <c r="H394" s="8" t="s">
        <v>2035</v>
      </c>
      <c r="I394" s="8" t="s">
        <v>1986</v>
      </c>
      <c r="J394" s="9">
        <v>2.94</v>
      </c>
    </row>
    <row r="395" spans="7:10" hidden="1" x14ac:dyDescent="0.3">
      <c r="G395" s="10" t="s">
        <v>1794</v>
      </c>
      <c r="H395" s="11" t="s">
        <v>2034</v>
      </c>
      <c r="I395" s="11" t="s">
        <v>1986</v>
      </c>
      <c r="J395" s="12">
        <v>0.89</v>
      </c>
    </row>
    <row r="396" spans="7:10" hidden="1" x14ac:dyDescent="0.3">
      <c r="G396" s="10" t="s">
        <v>1797</v>
      </c>
      <c r="H396" s="11" t="s">
        <v>2034</v>
      </c>
      <c r="I396" s="11" t="s">
        <v>1986</v>
      </c>
      <c r="J396" s="12">
        <v>1.44</v>
      </c>
    </row>
    <row r="397" spans="7:10" hidden="1" x14ac:dyDescent="0.3">
      <c r="G397" s="10" t="s">
        <v>1805</v>
      </c>
      <c r="H397" s="11" t="s">
        <v>2034</v>
      </c>
      <c r="I397" s="11" t="s">
        <v>1986</v>
      </c>
      <c r="J397" s="12">
        <v>7.99</v>
      </c>
    </row>
    <row r="398" spans="7:10" hidden="1" x14ac:dyDescent="0.3">
      <c r="G398" s="7" t="s">
        <v>1816</v>
      </c>
      <c r="H398" s="8" t="s">
        <v>2034</v>
      </c>
      <c r="I398" s="8" t="s">
        <v>1986</v>
      </c>
      <c r="J398" s="9">
        <v>3.24</v>
      </c>
    </row>
    <row r="399" spans="7:10" hidden="1" x14ac:dyDescent="0.3">
      <c r="G399" s="7" t="s">
        <v>1859</v>
      </c>
      <c r="H399" s="8" t="s">
        <v>2034</v>
      </c>
      <c r="I399" s="8" t="s">
        <v>1986</v>
      </c>
      <c r="J399" s="9">
        <v>1.44</v>
      </c>
    </row>
    <row r="400" spans="7:10" hidden="1" x14ac:dyDescent="0.3">
      <c r="G400" s="7" t="s">
        <v>1893</v>
      </c>
      <c r="H400" s="8" t="s">
        <v>2035</v>
      </c>
      <c r="I400" s="8" t="s">
        <v>1986</v>
      </c>
      <c r="J400" s="9">
        <v>2.4700000000000002</v>
      </c>
    </row>
    <row r="401" spans="7:10" hidden="1" x14ac:dyDescent="0.3">
      <c r="G401" s="10" t="s">
        <v>1902</v>
      </c>
      <c r="H401" s="11" t="s">
        <v>2038</v>
      </c>
      <c r="I401" s="11" t="s">
        <v>1986</v>
      </c>
      <c r="J401" s="12">
        <v>3.61</v>
      </c>
    </row>
    <row r="402" spans="7:10" hidden="1" x14ac:dyDescent="0.3">
      <c r="G402" s="7" t="s">
        <v>1942</v>
      </c>
      <c r="H402" s="8" t="s">
        <v>2042</v>
      </c>
      <c r="I402" s="8" t="s">
        <v>1986</v>
      </c>
      <c r="J402" s="9">
        <v>1.91</v>
      </c>
    </row>
    <row r="403" spans="7:10" hidden="1" x14ac:dyDescent="0.3">
      <c r="G403" s="7" t="s">
        <v>1953</v>
      </c>
      <c r="H403" s="8" t="s">
        <v>2038</v>
      </c>
      <c r="I403" s="8" t="s">
        <v>1986</v>
      </c>
      <c r="J403" s="9">
        <v>4.09</v>
      </c>
    </row>
    <row r="404" spans="7:10" hidden="1" x14ac:dyDescent="0.3">
      <c r="G404" s="7" t="s">
        <v>26</v>
      </c>
      <c r="H404" s="8" t="s">
        <v>2034</v>
      </c>
      <c r="I404" s="8" t="s">
        <v>2001</v>
      </c>
      <c r="J404" s="9">
        <v>68.92</v>
      </c>
    </row>
    <row r="405" spans="7:10" hidden="1" x14ac:dyDescent="0.3">
      <c r="G405" s="10" t="s">
        <v>49</v>
      </c>
      <c r="H405" s="11" t="s">
        <v>2037</v>
      </c>
      <c r="I405" s="11" t="s">
        <v>2001</v>
      </c>
      <c r="J405" s="12">
        <v>76.11</v>
      </c>
    </row>
    <row r="406" spans="7:10" hidden="1" x14ac:dyDescent="0.3">
      <c r="G406" s="7" t="s">
        <v>86</v>
      </c>
      <c r="H406" s="8" t="s">
        <v>2048</v>
      </c>
      <c r="I406" s="8" t="s">
        <v>2001</v>
      </c>
      <c r="J406" s="9">
        <v>49.35</v>
      </c>
    </row>
    <row r="407" spans="7:10" hidden="1" x14ac:dyDescent="0.3">
      <c r="G407" s="10" t="s">
        <v>127</v>
      </c>
      <c r="H407" s="11" t="s">
        <v>2034</v>
      </c>
      <c r="I407" s="11" t="s">
        <v>2001</v>
      </c>
      <c r="J407" s="12">
        <v>32.56</v>
      </c>
    </row>
    <row r="408" spans="7:10" hidden="1" x14ac:dyDescent="0.3">
      <c r="G408" s="10" t="s">
        <v>143</v>
      </c>
      <c r="H408" s="11" t="s">
        <v>2034</v>
      </c>
      <c r="I408" s="11" t="s">
        <v>2001</v>
      </c>
      <c r="J408" s="12">
        <v>23.1</v>
      </c>
    </row>
    <row r="409" spans="7:10" hidden="1" x14ac:dyDescent="0.3">
      <c r="G409" s="10" t="s">
        <v>171</v>
      </c>
      <c r="H409" s="11" t="s">
        <v>2035</v>
      </c>
      <c r="I409" s="11" t="s">
        <v>2001</v>
      </c>
      <c r="J409" s="12">
        <v>20.66</v>
      </c>
    </row>
    <row r="410" spans="7:10" hidden="1" x14ac:dyDescent="0.3">
      <c r="G410" s="7" t="s">
        <v>242</v>
      </c>
      <c r="H410" s="8" t="s">
        <v>2035</v>
      </c>
      <c r="I410" s="8" t="s">
        <v>2001</v>
      </c>
      <c r="J410" s="9">
        <v>12.06</v>
      </c>
    </row>
    <row r="411" spans="7:10" hidden="1" x14ac:dyDescent="0.3">
      <c r="G411" s="7" t="s">
        <v>272</v>
      </c>
      <c r="H411" s="8" t="s">
        <v>2039</v>
      </c>
      <c r="I411" s="8" t="s">
        <v>2001</v>
      </c>
      <c r="J411" s="9">
        <v>15.39</v>
      </c>
    </row>
    <row r="412" spans="7:10" hidden="1" x14ac:dyDescent="0.3">
      <c r="G412" s="7" t="s">
        <v>274</v>
      </c>
      <c r="H412" s="8" t="s">
        <v>2034</v>
      </c>
      <c r="I412" s="8" t="s">
        <v>2001</v>
      </c>
      <c r="J412" s="9">
        <v>35.83</v>
      </c>
    </row>
    <row r="413" spans="7:10" hidden="1" x14ac:dyDescent="0.3">
      <c r="G413" s="7" t="s">
        <v>278</v>
      </c>
      <c r="H413" s="8" t="s">
        <v>2034</v>
      </c>
      <c r="I413" s="8" t="s">
        <v>2001</v>
      </c>
      <c r="J413" s="9">
        <v>15.04</v>
      </c>
    </row>
    <row r="414" spans="7:10" hidden="1" x14ac:dyDescent="0.3">
      <c r="G414" s="10" t="s">
        <v>308</v>
      </c>
      <c r="H414" s="11" t="s">
        <v>2038</v>
      </c>
      <c r="I414" s="11" t="s">
        <v>2001</v>
      </c>
      <c r="J414" s="12">
        <v>18.75</v>
      </c>
    </row>
    <row r="415" spans="7:10" hidden="1" x14ac:dyDescent="0.3">
      <c r="G415" s="7" t="s">
        <v>313</v>
      </c>
      <c r="H415" s="8" t="s">
        <v>2050</v>
      </c>
      <c r="I415" s="8" t="s">
        <v>2001</v>
      </c>
      <c r="J415" s="9">
        <v>11.63</v>
      </c>
    </row>
    <row r="416" spans="7:10" hidden="1" x14ac:dyDescent="0.3">
      <c r="G416" s="7" t="s">
        <v>347</v>
      </c>
      <c r="H416" s="8" t="s">
        <v>2035</v>
      </c>
      <c r="I416" s="8" t="s">
        <v>2001</v>
      </c>
      <c r="J416" s="9">
        <v>11.18</v>
      </c>
    </row>
    <row r="417" spans="7:10" hidden="1" x14ac:dyDescent="0.3">
      <c r="G417" s="7" t="s">
        <v>363</v>
      </c>
      <c r="H417" s="8" t="s">
        <v>2034</v>
      </c>
      <c r="I417" s="8" t="s">
        <v>2001</v>
      </c>
      <c r="J417" s="9">
        <v>11.43</v>
      </c>
    </row>
    <row r="418" spans="7:10" hidden="1" x14ac:dyDescent="0.3">
      <c r="G418" s="7" t="s">
        <v>366</v>
      </c>
      <c r="H418" s="8" t="s">
        <v>2035</v>
      </c>
      <c r="I418" s="8" t="s">
        <v>2001</v>
      </c>
      <c r="J418" s="9">
        <v>10.61</v>
      </c>
    </row>
    <row r="419" spans="7:10" hidden="1" x14ac:dyDescent="0.3">
      <c r="G419" s="10" t="s">
        <v>450</v>
      </c>
      <c r="H419" s="11" t="s">
        <v>2034</v>
      </c>
      <c r="I419" s="11" t="s">
        <v>2001</v>
      </c>
      <c r="J419" s="12">
        <v>19.13</v>
      </c>
    </row>
    <row r="420" spans="7:10" hidden="1" x14ac:dyDescent="0.3">
      <c r="G420" s="10" t="s">
        <v>456</v>
      </c>
      <c r="H420" s="11" t="s">
        <v>2034</v>
      </c>
      <c r="I420" s="11" t="s">
        <v>2001</v>
      </c>
      <c r="J420" s="12">
        <v>18.71</v>
      </c>
    </row>
    <row r="421" spans="7:10" hidden="1" x14ac:dyDescent="0.3">
      <c r="G421" s="7" t="s">
        <v>459</v>
      </c>
      <c r="H421" s="8" t="s">
        <v>2034</v>
      </c>
      <c r="I421" s="8" t="s">
        <v>2001</v>
      </c>
      <c r="J421" s="9">
        <v>8.26</v>
      </c>
    </row>
    <row r="422" spans="7:10" hidden="1" x14ac:dyDescent="0.3">
      <c r="G422" s="10" t="s">
        <v>464</v>
      </c>
      <c r="H422" s="11" t="s">
        <v>2034</v>
      </c>
      <c r="I422" s="11" t="s">
        <v>2001</v>
      </c>
      <c r="J422" s="12">
        <v>10.18</v>
      </c>
    </row>
    <row r="423" spans="7:10" hidden="1" x14ac:dyDescent="0.3">
      <c r="G423" s="10" t="s">
        <v>488</v>
      </c>
      <c r="H423" s="11" t="s">
        <v>2034</v>
      </c>
      <c r="I423" s="11" t="s">
        <v>2001</v>
      </c>
      <c r="J423" s="12">
        <v>14.35</v>
      </c>
    </row>
    <row r="424" spans="7:10" hidden="1" x14ac:dyDescent="0.3">
      <c r="G424" s="10" t="s">
        <v>496</v>
      </c>
      <c r="H424" s="11" t="s">
        <v>2040</v>
      </c>
      <c r="I424" s="11" t="s">
        <v>2001</v>
      </c>
      <c r="J424" s="12">
        <v>15.02</v>
      </c>
    </row>
    <row r="425" spans="7:10" hidden="1" x14ac:dyDescent="0.3">
      <c r="G425" s="10" t="s">
        <v>549</v>
      </c>
      <c r="H425" s="11" t="s">
        <v>2035</v>
      </c>
      <c r="I425" s="11" t="s">
        <v>2001</v>
      </c>
      <c r="J425" s="12">
        <v>5.55</v>
      </c>
    </row>
    <row r="426" spans="7:10" hidden="1" x14ac:dyDescent="0.3">
      <c r="G426" s="7" t="s">
        <v>558</v>
      </c>
      <c r="H426" s="8" t="s">
        <v>2038</v>
      </c>
      <c r="I426" s="8" t="s">
        <v>2001</v>
      </c>
      <c r="J426" s="9">
        <v>10.23</v>
      </c>
    </row>
    <row r="427" spans="7:10" hidden="1" x14ac:dyDescent="0.3">
      <c r="G427" s="10" t="s">
        <v>568</v>
      </c>
      <c r="H427" s="11" t="s">
        <v>2034</v>
      </c>
      <c r="I427" s="11" t="s">
        <v>2001</v>
      </c>
      <c r="J427" s="12">
        <v>8.69</v>
      </c>
    </row>
    <row r="428" spans="7:10" hidden="1" x14ac:dyDescent="0.3">
      <c r="G428" s="10" t="s">
        <v>594</v>
      </c>
      <c r="H428" s="11" t="s">
        <v>2035</v>
      </c>
      <c r="I428" s="11" t="s">
        <v>2001</v>
      </c>
      <c r="J428" s="12">
        <v>9.92</v>
      </c>
    </row>
    <row r="429" spans="7:10" hidden="1" x14ac:dyDescent="0.3">
      <c r="G429" s="10" t="s">
        <v>610</v>
      </c>
      <c r="H429" s="11" t="s">
        <v>2049</v>
      </c>
      <c r="I429" s="11" t="s">
        <v>2001</v>
      </c>
      <c r="J429" s="12">
        <v>8.19</v>
      </c>
    </row>
    <row r="430" spans="7:10" hidden="1" x14ac:dyDescent="0.3">
      <c r="G430" s="7" t="s">
        <v>613</v>
      </c>
      <c r="H430" s="8" t="s">
        <v>2051</v>
      </c>
      <c r="I430" s="8" t="s">
        <v>2001</v>
      </c>
      <c r="J430" s="9">
        <v>24.28</v>
      </c>
    </row>
    <row r="431" spans="7:10" hidden="1" x14ac:dyDescent="0.3">
      <c r="G431" s="7" t="s">
        <v>617</v>
      </c>
      <c r="H431" s="8" t="s">
        <v>2036</v>
      </c>
      <c r="I431" s="8" t="s">
        <v>2001</v>
      </c>
      <c r="J431" s="9">
        <v>12.76</v>
      </c>
    </row>
    <row r="432" spans="7:10" hidden="1" x14ac:dyDescent="0.3">
      <c r="G432" s="7" t="s">
        <v>653</v>
      </c>
      <c r="H432" s="8" t="s">
        <v>2034</v>
      </c>
      <c r="I432" s="8" t="s">
        <v>2001</v>
      </c>
      <c r="J432" s="9">
        <v>7.63</v>
      </c>
    </row>
    <row r="433" spans="7:10" hidden="1" x14ac:dyDescent="0.3">
      <c r="G433" s="10" t="s">
        <v>662</v>
      </c>
      <c r="H433" s="11" t="s">
        <v>2060</v>
      </c>
      <c r="I433" s="11" t="s">
        <v>2001</v>
      </c>
      <c r="J433" s="12">
        <v>8.4</v>
      </c>
    </row>
    <row r="434" spans="7:10" hidden="1" x14ac:dyDescent="0.3">
      <c r="G434" s="7" t="s">
        <v>684</v>
      </c>
      <c r="H434" s="8" t="s">
        <v>2034</v>
      </c>
      <c r="I434" s="8" t="s">
        <v>2001</v>
      </c>
      <c r="J434" s="9">
        <v>11.89</v>
      </c>
    </row>
    <row r="435" spans="7:10" hidden="1" x14ac:dyDescent="0.3">
      <c r="G435" s="10" t="s">
        <v>736</v>
      </c>
      <c r="H435" s="11" t="s">
        <v>2039</v>
      </c>
      <c r="I435" s="11" t="s">
        <v>2001</v>
      </c>
      <c r="J435" s="12">
        <v>4.45</v>
      </c>
    </row>
    <row r="436" spans="7:10" hidden="1" x14ac:dyDescent="0.3">
      <c r="G436" s="7" t="s">
        <v>745</v>
      </c>
      <c r="H436" s="8" t="s">
        <v>2034</v>
      </c>
      <c r="I436" s="8" t="s">
        <v>2001</v>
      </c>
      <c r="J436" s="9">
        <v>26.01</v>
      </c>
    </row>
    <row r="437" spans="7:10" hidden="1" x14ac:dyDescent="0.3">
      <c r="G437" s="10" t="s">
        <v>779</v>
      </c>
      <c r="H437" s="11" t="s">
        <v>2038</v>
      </c>
      <c r="I437" s="11" t="s">
        <v>2001</v>
      </c>
      <c r="J437" s="12">
        <v>10.01</v>
      </c>
    </row>
    <row r="438" spans="7:10" hidden="1" x14ac:dyDescent="0.3">
      <c r="G438" s="7" t="s">
        <v>793</v>
      </c>
      <c r="H438" s="8" t="s">
        <v>2035</v>
      </c>
      <c r="I438" s="8" t="s">
        <v>2001</v>
      </c>
      <c r="J438" s="9">
        <v>5.6</v>
      </c>
    </row>
    <row r="439" spans="7:10" hidden="1" x14ac:dyDescent="0.3">
      <c r="G439" s="10" t="s">
        <v>806</v>
      </c>
      <c r="H439" s="11" t="s">
        <v>2035</v>
      </c>
      <c r="I439" s="11" t="s">
        <v>2001</v>
      </c>
      <c r="J439" s="12">
        <v>4.8899999999999997</v>
      </c>
    </row>
    <row r="440" spans="7:10" hidden="1" x14ac:dyDescent="0.3">
      <c r="G440" s="10" t="s">
        <v>824</v>
      </c>
      <c r="H440" s="11" t="s">
        <v>2038</v>
      </c>
      <c r="I440" s="11" t="s">
        <v>2001</v>
      </c>
      <c r="J440" s="12">
        <v>8.0399999999999991</v>
      </c>
    </row>
    <row r="441" spans="7:10" hidden="1" x14ac:dyDescent="0.3">
      <c r="G441" s="7" t="s">
        <v>876</v>
      </c>
      <c r="H441" s="8" t="s">
        <v>2060</v>
      </c>
      <c r="I441" s="8" t="s">
        <v>2001</v>
      </c>
      <c r="J441" s="9">
        <v>4.0199999999999996</v>
      </c>
    </row>
    <row r="442" spans="7:10" hidden="1" x14ac:dyDescent="0.3">
      <c r="G442" s="7" t="s">
        <v>902</v>
      </c>
      <c r="H442" s="8" t="s">
        <v>2034</v>
      </c>
      <c r="I442" s="8" t="s">
        <v>2001</v>
      </c>
      <c r="J442" s="9">
        <v>10.51</v>
      </c>
    </row>
    <row r="443" spans="7:10" hidden="1" x14ac:dyDescent="0.3">
      <c r="G443" s="7" t="s">
        <v>910</v>
      </c>
      <c r="H443" s="8" t="s">
        <v>2041</v>
      </c>
      <c r="I443" s="8" t="s">
        <v>2001</v>
      </c>
      <c r="J443" s="9">
        <v>6.39</v>
      </c>
    </row>
    <row r="444" spans="7:10" hidden="1" x14ac:dyDescent="0.3">
      <c r="G444" s="10" t="s">
        <v>913</v>
      </c>
      <c r="H444" s="11" t="s">
        <v>1975</v>
      </c>
      <c r="I444" s="11" t="s">
        <v>2001</v>
      </c>
      <c r="J444" s="12">
        <v>3.02</v>
      </c>
    </row>
    <row r="445" spans="7:10" hidden="1" x14ac:dyDescent="0.3">
      <c r="G445" s="10" t="s">
        <v>945</v>
      </c>
      <c r="H445" s="11" t="s">
        <v>2034</v>
      </c>
      <c r="I445" s="11" t="s">
        <v>2001</v>
      </c>
      <c r="J445" s="12">
        <v>4.16</v>
      </c>
    </row>
    <row r="446" spans="7:10" hidden="1" x14ac:dyDescent="0.3">
      <c r="G446" s="7" t="s">
        <v>946</v>
      </c>
      <c r="H446" s="8" t="s">
        <v>2034</v>
      </c>
      <c r="I446" s="8" t="s">
        <v>2001</v>
      </c>
      <c r="J446" s="9">
        <v>4.84</v>
      </c>
    </row>
    <row r="447" spans="7:10" hidden="1" x14ac:dyDescent="0.3">
      <c r="G447" s="10" t="s">
        <v>1026</v>
      </c>
      <c r="H447" s="11" t="s">
        <v>2034</v>
      </c>
      <c r="I447" s="11" t="s">
        <v>2001</v>
      </c>
      <c r="J447" s="12">
        <v>4.59</v>
      </c>
    </row>
    <row r="448" spans="7:10" hidden="1" x14ac:dyDescent="0.3">
      <c r="G448" s="10" t="s">
        <v>1040</v>
      </c>
      <c r="H448" s="11" t="s">
        <v>2060</v>
      </c>
      <c r="I448" s="11" t="s">
        <v>2001</v>
      </c>
      <c r="J448" s="12">
        <v>4.18</v>
      </c>
    </row>
    <row r="449" spans="7:10" hidden="1" x14ac:dyDescent="0.3">
      <c r="G449" s="10" t="s">
        <v>1133</v>
      </c>
      <c r="H449" s="11" t="s">
        <v>2034</v>
      </c>
      <c r="I449" s="11" t="s">
        <v>2001</v>
      </c>
      <c r="J449" s="12">
        <v>5.51</v>
      </c>
    </row>
    <row r="450" spans="7:10" hidden="1" x14ac:dyDescent="0.3">
      <c r="G450" s="7" t="s">
        <v>1152</v>
      </c>
      <c r="H450" s="8" t="s">
        <v>2061</v>
      </c>
      <c r="I450" s="8" t="s">
        <v>2001</v>
      </c>
      <c r="J450" s="9">
        <v>1.84</v>
      </c>
    </row>
    <row r="451" spans="7:10" hidden="1" x14ac:dyDescent="0.3">
      <c r="G451" s="10" t="s">
        <v>1153</v>
      </c>
      <c r="H451" s="11" t="s">
        <v>2034</v>
      </c>
      <c r="I451" s="11" t="s">
        <v>2001</v>
      </c>
      <c r="J451" s="12">
        <v>11.84</v>
      </c>
    </row>
    <row r="452" spans="7:10" hidden="1" x14ac:dyDescent="0.3">
      <c r="G452" s="10" t="s">
        <v>1161</v>
      </c>
      <c r="H452" s="11" t="s">
        <v>2054</v>
      </c>
      <c r="I452" s="11" t="s">
        <v>2001</v>
      </c>
      <c r="J452" s="12">
        <v>6.56</v>
      </c>
    </row>
    <row r="453" spans="7:10" hidden="1" x14ac:dyDescent="0.3">
      <c r="G453" s="7" t="s">
        <v>1168</v>
      </c>
      <c r="H453" s="8" t="s">
        <v>2070</v>
      </c>
      <c r="I453" s="8" t="s">
        <v>2001</v>
      </c>
      <c r="J453" s="9">
        <v>5.76</v>
      </c>
    </row>
    <row r="454" spans="7:10" hidden="1" x14ac:dyDescent="0.3">
      <c r="G454" s="10" t="s">
        <v>1175</v>
      </c>
      <c r="H454" s="11" t="s">
        <v>2043</v>
      </c>
      <c r="I454" s="11" t="s">
        <v>2001</v>
      </c>
      <c r="J454" s="12">
        <v>2.93</v>
      </c>
    </row>
    <row r="455" spans="7:10" hidden="1" x14ac:dyDescent="0.3">
      <c r="G455" s="7" t="s">
        <v>1176</v>
      </c>
      <c r="H455" s="8" t="s">
        <v>2035</v>
      </c>
      <c r="I455" s="8" t="s">
        <v>2001</v>
      </c>
      <c r="J455" s="9">
        <v>5.67</v>
      </c>
    </row>
    <row r="456" spans="7:10" hidden="1" x14ac:dyDescent="0.3">
      <c r="G456" s="10" t="s">
        <v>1324</v>
      </c>
      <c r="H456" s="11" t="s">
        <v>2034</v>
      </c>
      <c r="I456" s="11" t="s">
        <v>2001</v>
      </c>
      <c r="J456" s="12">
        <v>5.41</v>
      </c>
    </row>
    <row r="457" spans="7:10" hidden="1" x14ac:dyDescent="0.3">
      <c r="G457" s="7" t="s">
        <v>1358</v>
      </c>
      <c r="H457" s="8" t="s">
        <v>2034</v>
      </c>
      <c r="I457" s="8" t="s">
        <v>2001</v>
      </c>
      <c r="J457" s="9">
        <v>1.85</v>
      </c>
    </row>
    <row r="458" spans="7:10" hidden="1" x14ac:dyDescent="0.3">
      <c r="G458" s="10" t="s">
        <v>1369</v>
      </c>
      <c r="H458" s="11" t="s">
        <v>2060</v>
      </c>
      <c r="I458" s="11" t="s">
        <v>2001</v>
      </c>
      <c r="J458" s="12">
        <v>5.29</v>
      </c>
    </row>
    <row r="459" spans="7:10" hidden="1" x14ac:dyDescent="0.3">
      <c r="G459" s="10" t="s">
        <v>1371</v>
      </c>
      <c r="H459" s="11" t="s">
        <v>2034</v>
      </c>
      <c r="I459" s="11" t="s">
        <v>2001</v>
      </c>
      <c r="J459" s="12">
        <v>2.02</v>
      </c>
    </row>
    <row r="460" spans="7:10" hidden="1" x14ac:dyDescent="0.3">
      <c r="G460" s="7" t="s">
        <v>1426</v>
      </c>
      <c r="H460" s="8" t="s">
        <v>2062</v>
      </c>
      <c r="I460" s="8" t="s">
        <v>2001</v>
      </c>
      <c r="J460" s="9">
        <v>5.6</v>
      </c>
    </row>
    <row r="461" spans="7:10" hidden="1" x14ac:dyDescent="0.3">
      <c r="G461" s="7" t="s">
        <v>1562</v>
      </c>
      <c r="H461" s="8" t="s">
        <v>2042</v>
      </c>
      <c r="I461" s="8" t="s">
        <v>2001</v>
      </c>
      <c r="J461" s="9">
        <v>5.17</v>
      </c>
    </row>
    <row r="462" spans="7:10" hidden="1" x14ac:dyDescent="0.3">
      <c r="G462" s="10" t="s">
        <v>1569</v>
      </c>
      <c r="H462" s="11" t="s">
        <v>2036</v>
      </c>
      <c r="I462" s="11" t="s">
        <v>2001</v>
      </c>
      <c r="J462" s="12">
        <v>2.35</v>
      </c>
    </row>
    <row r="463" spans="7:10" hidden="1" x14ac:dyDescent="0.3">
      <c r="G463" s="7" t="s">
        <v>1572</v>
      </c>
      <c r="H463" s="8" t="s">
        <v>2038</v>
      </c>
      <c r="I463" s="8" t="s">
        <v>2001</v>
      </c>
      <c r="J463" s="9">
        <v>8.7200000000000006</v>
      </c>
    </row>
    <row r="464" spans="7:10" hidden="1" x14ac:dyDescent="0.3">
      <c r="G464" s="10" t="s">
        <v>1607</v>
      </c>
      <c r="H464" s="11" t="s">
        <v>2034</v>
      </c>
      <c r="I464" s="11" t="s">
        <v>2001</v>
      </c>
      <c r="J464" s="12">
        <v>5.64</v>
      </c>
    </row>
    <row r="465" spans="7:10" hidden="1" x14ac:dyDescent="0.3">
      <c r="G465" s="10" t="s">
        <v>1677</v>
      </c>
      <c r="H465" s="11" t="s">
        <v>2054</v>
      </c>
      <c r="I465" s="11" t="s">
        <v>2001</v>
      </c>
      <c r="J465" s="12">
        <v>3.08</v>
      </c>
    </row>
    <row r="466" spans="7:10" hidden="1" x14ac:dyDescent="0.3">
      <c r="G466" s="10" t="s">
        <v>1727</v>
      </c>
      <c r="H466" s="11" t="s">
        <v>1975</v>
      </c>
      <c r="I466" s="11" t="s">
        <v>2001</v>
      </c>
      <c r="J466" s="12">
        <v>1.96</v>
      </c>
    </row>
    <row r="467" spans="7:10" hidden="1" x14ac:dyDescent="0.3">
      <c r="G467" s="7" t="s">
        <v>1780</v>
      </c>
      <c r="H467" s="8" t="s">
        <v>2035</v>
      </c>
      <c r="I467" s="8" t="s">
        <v>2001</v>
      </c>
      <c r="J467" s="9">
        <v>3.13</v>
      </c>
    </row>
    <row r="468" spans="7:10" hidden="1" x14ac:dyDescent="0.3">
      <c r="G468" s="10" t="s">
        <v>1788</v>
      </c>
      <c r="H468" s="11" t="s">
        <v>2041</v>
      </c>
      <c r="I468" s="11" t="s">
        <v>2001</v>
      </c>
      <c r="J468" s="12">
        <v>8.2899999999999991</v>
      </c>
    </row>
    <row r="469" spans="7:10" hidden="1" x14ac:dyDescent="0.3">
      <c r="G469" s="10" t="s">
        <v>1801</v>
      </c>
      <c r="H469" s="11" t="s">
        <v>1975</v>
      </c>
      <c r="I469" s="11" t="s">
        <v>2001</v>
      </c>
      <c r="J469" s="12">
        <v>2.93</v>
      </c>
    </row>
    <row r="470" spans="7:10" hidden="1" x14ac:dyDescent="0.3">
      <c r="G470" s="7" t="s">
        <v>1834</v>
      </c>
      <c r="H470" s="8" t="s">
        <v>2043</v>
      </c>
      <c r="I470" s="8" t="s">
        <v>2001</v>
      </c>
      <c r="J470" s="9">
        <v>5.4</v>
      </c>
    </row>
    <row r="471" spans="7:10" hidden="1" x14ac:dyDescent="0.3">
      <c r="G471" s="7" t="s">
        <v>1871</v>
      </c>
      <c r="H471" s="8" t="s">
        <v>2038</v>
      </c>
      <c r="I471" s="8" t="s">
        <v>2001</v>
      </c>
      <c r="J471" s="9">
        <v>6.97</v>
      </c>
    </row>
    <row r="472" spans="7:10" hidden="1" x14ac:dyDescent="0.3">
      <c r="G472" s="10" t="s">
        <v>1882</v>
      </c>
      <c r="H472" s="11" t="s">
        <v>2034</v>
      </c>
      <c r="I472" s="11" t="s">
        <v>2001</v>
      </c>
      <c r="J472" s="12">
        <v>2.59</v>
      </c>
    </row>
    <row r="473" spans="7:10" hidden="1" x14ac:dyDescent="0.3">
      <c r="G473" s="10" t="s">
        <v>1884</v>
      </c>
      <c r="H473" s="11" t="s">
        <v>2038</v>
      </c>
      <c r="I473" s="11" t="s">
        <v>2001</v>
      </c>
      <c r="J473" s="12">
        <v>6.76</v>
      </c>
    </row>
    <row r="474" spans="7:10" hidden="1" x14ac:dyDescent="0.3">
      <c r="G474" s="7" t="s">
        <v>1913</v>
      </c>
      <c r="H474" s="8" t="s">
        <v>2074</v>
      </c>
      <c r="I474" s="8" t="s">
        <v>2001</v>
      </c>
      <c r="J474" s="9">
        <v>1.6</v>
      </c>
    </row>
    <row r="475" spans="7:10" hidden="1" x14ac:dyDescent="0.3">
      <c r="G475" s="10" t="s">
        <v>1914</v>
      </c>
      <c r="H475" s="11" t="s">
        <v>2038</v>
      </c>
      <c r="I475" s="11" t="s">
        <v>2001</v>
      </c>
      <c r="J475" s="12">
        <v>6.25</v>
      </c>
    </row>
    <row r="476" spans="7:10" hidden="1" x14ac:dyDescent="0.3">
      <c r="G476" s="7" t="s">
        <v>1917</v>
      </c>
      <c r="H476" s="8" t="s">
        <v>2034</v>
      </c>
      <c r="I476" s="8" t="s">
        <v>2001</v>
      </c>
      <c r="J476" s="9">
        <v>3.73</v>
      </c>
    </row>
    <row r="477" spans="7:10" hidden="1" x14ac:dyDescent="0.3">
      <c r="G477" s="7" t="s">
        <v>1959</v>
      </c>
      <c r="H477" s="8" t="s">
        <v>2063</v>
      </c>
      <c r="I477" s="8" t="s">
        <v>2001</v>
      </c>
      <c r="J477" s="9">
        <v>2.35</v>
      </c>
    </row>
    <row r="478" spans="7:10" hidden="1" x14ac:dyDescent="0.3">
      <c r="G478" s="7" t="s">
        <v>32</v>
      </c>
      <c r="H478" s="8" t="s">
        <v>2041</v>
      </c>
      <c r="I478" s="8" t="s">
        <v>2031</v>
      </c>
      <c r="J478" s="9">
        <v>66.67</v>
      </c>
    </row>
    <row r="479" spans="7:10" hidden="1" x14ac:dyDescent="0.3">
      <c r="G479" s="10" t="s">
        <v>63</v>
      </c>
      <c r="H479" s="11" t="s">
        <v>2039</v>
      </c>
      <c r="I479" s="11" t="s">
        <v>2031</v>
      </c>
      <c r="J479" s="12">
        <v>63.68</v>
      </c>
    </row>
    <row r="480" spans="7:10" hidden="1" x14ac:dyDescent="0.3">
      <c r="G480" s="10" t="s">
        <v>71</v>
      </c>
      <c r="H480" s="11" t="s">
        <v>2041</v>
      </c>
      <c r="I480" s="11" t="s">
        <v>2031</v>
      </c>
      <c r="J480" s="12">
        <v>55.63</v>
      </c>
    </row>
    <row r="481" spans="7:10" hidden="1" x14ac:dyDescent="0.3">
      <c r="G481" s="7" t="s">
        <v>78</v>
      </c>
      <c r="H481" s="8" t="s">
        <v>2042</v>
      </c>
      <c r="I481" s="8" t="s">
        <v>2031</v>
      </c>
      <c r="J481" s="9">
        <v>46.58</v>
      </c>
    </row>
    <row r="482" spans="7:10" hidden="1" x14ac:dyDescent="0.3">
      <c r="G482" s="10" t="s">
        <v>89</v>
      </c>
      <c r="H482" s="11" t="s">
        <v>2039</v>
      </c>
      <c r="I482" s="11" t="s">
        <v>2031</v>
      </c>
      <c r="J482" s="12">
        <v>55.28</v>
      </c>
    </row>
    <row r="483" spans="7:10" hidden="1" x14ac:dyDescent="0.3">
      <c r="G483" s="7" t="s">
        <v>98</v>
      </c>
      <c r="H483" s="8" t="s">
        <v>2038</v>
      </c>
      <c r="I483" s="8" t="s">
        <v>2031</v>
      </c>
      <c r="J483" s="9">
        <v>47.09</v>
      </c>
    </row>
    <row r="484" spans="7:10" hidden="1" x14ac:dyDescent="0.3">
      <c r="G484" s="7" t="s">
        <v>140</v>
      </c>
      <c r="H484" s="8" t="s">
        <v>2040</v>
      </c>
      <c r="I484" s="8" t="s">
        <v>2031</v>
      </c>
      <c r="J484" s="9">
        <v>20.69</v>
      </c>
    </row>
    <row r="485" spans="7:10" hidden="1" x14ac:dyDescent="0.3">
      <c r="G485" s="7" t="s">
        <v>149</v>
      </c>
      <c r="H485" s="8" t="s">
        <v>2043</v>
      </c>
      <c r="I485" s="8" t="s">
        <v>2031</v>
      </c>
      <c r="J485" s="9">
        <v>23.14</v>
      </c>
    </row>
    <row r="486" spans="7:10" hidden="1" x14ac:dyDescent="0.3">
      <c r="G486" s="7" t="s">
        <v>174</v>
      </c>
      <c r="H486" s="8" t="s">
        <v>2039</v>
      </c>
      <c r="I486" s="8" t="s">
        <v>2031</v>
      </c>
      <c r="J486" s="9">
        <v>24.6</v>
      </c>
    </row>
    <row r="487" spans="7:10" hidden="1" x14ac:dyDescent="0.3">
      <c r="G487" s="10" t="s">
        <v>187</v>
      </c>
      <c r="H487" s="11" t="s">
        <v>2034</v>
      </c>
      <c r="I487" s="11" t="s">
        <v>2031</v>
      </c>
      <c r="J487" s="12">
        <v>16.75</v>
      </c>
    </row>
    <row r="488" spans="7:10" hidden="1" x14ac:dyDescent="0.3">
      <c r="G488" s="7" t="s">
        <v>196</v>
      </c>
      <c r="H488" s="8" t="s">
        <v>2035</v>
      </c>
      <c r="I488" s="8" t="s">
        <v>2031</v>
      </c>
      <c r="J488" s="9">
        <v>16.11</v>
      </c>
    </row>
    <row r="489" spans="7:10" hidden="1" x14ac:dyDescent="0.3">
      <c r="G489" s="7" t="s">
        <v>202</v>
      </c>
      <c r="H489" s="8" t="s">
        <v>2046</v>
      </c>
      <c r="I489" s="8" t="s">
        <v>2031</v>
      </c>
      <c r="J489" s="9">
        <v>24.52</v>
      </c>
    </row>
    <row r="490" spans="7:10" hidden="1" x14ac:dyDescent="0.3">
      <c r="G490" s="7" t="s">
        <v>216</v>
      </c>
      <c r="H490" s="8" t="s">
        <v>2034</v>
      </c>
      <c r="I490" s="8" t="s">
        <v>2031</v>
      </c>
      <c r="J490" s="9">
        <v>18.04</v>
      </c>
    </row>
    <row r="491" spans="7:10" hidden="1" x14ac:dyDescent="0.3">
      <c r="G491" s="7" t="s">
        <v>222</v>
      </c>
      <c r="H491" s="8" t="s">
        <v>2040</v>
      </c>
      <c r="I491" s="8" t="s">
        <v>2031</v>
      </c>
      <c r="J491" s="9">
        <v>13.88</v>
      </c>
    </row>
    <row r="492" spans="7:10" hidden="1" x14ac:dyDescent="0.3">
      <c r="G492" s="10" t="s">
        <v>225</v>
      </c>
      <c r="H492" s="11" t="s">
        <v>2034</v>
      </c>
      <c r="I492" s="11" t="s">
        <v>2031</v>
      </c>
      <c r="J492" s="12">
        <v>15.36</v>
      </c>
    </row>
    <row r="493" spans="7:10" hidden="1" x14ac:dyDescent="0.3">
      <c r="G493" s="7" t="s">
        <v>228</v>
      </c>
      <c r="H493" s="8" t="s">
        <v>2034</v>
      </c>
      <c r="I493" s="8" t="s">
        <v>2031</v>
      </c>
      <c r="J493" s="9">
        <v>13.55</v>
      </c>
    </row>
    <row r="494" spans="7:10" hidden="1" x14ac:dyDescent="0.3">
      <c r="G494" s="7" t="s">
        <v>248</v>
      </c>
      <c r="H494" s="8" t="s">
        <v>2038</v>
      </c>
      <c r="I494" s="8" t="s">
        <v>2031</v>
      </c>
      <c r="J494" s="9">
        <v>19.899999999999999</v>
      </c>
    </row>
    <row r="495" spans="7:10" hidden="1" x14ac:dyDescent="0.3">
      <c r="G495" s="7" t="s">
        <v>250</v>
      </c>
      <c r="H495" s="8" t="s">
        <v>2038</v>
      </c>
      <c r="I495" s="8" t="s">
        <v>2031</v>
      </c>
      <c r="J495" s="9">
        <v>24.38</v>
      </c>
    </row>
    <row r="496" spans="7:10" hidden="1" x14ac:dyDescent="0.3">
      <c r="G496" s="7" t="s">
        <v>254</v>
      </c>
      <c r="H496" s="8" t="s">
        <v>2035</v>
      </c>
      <c r="I496" s="8" t="s">
        <v>2031</v>
      </c>
      <c r="J496" s="9">
        <v>23.11</v>
      </c>
    </row>
    <row r="497" spans="7:10" hidden="1" x14ac:dyDescent="0.3">
      <c r="G497" s="7" t="s">
        <v>286</v>
      </c>
      <c r="H497" s="8" t="s">
        <v>2034</v>
      </c>
      <c r="I497" s="8" t="s">
        <v>2031</v>
      </c>
      <c r="J497" s="9">
        <v>10.44</v>
      </c>
    </row>
    <row r="498" spans="7:10" hidden="1" x14ac:dyDescent="0.3">
      <c r="G498" s="7" t="s">
        <v>325</v>
      </c>
      <c r="H498" s="8" t="s">
        <v>2034</v>
      </c>
      <c r="I498" s="8" t="s">
        <v>2031</v>
      </c>
      <c r="J498" s="9">
        <v>11.2</v>
      </c>
    </row>
    <row r="499" spans="7:10" hidden="1" x14ac:dyDescent="0.3">
      <c r="G499" s="7" t="s">
        <v>341</v>
      </c>
      <c r="H499" s="8" t="s">
        <v>2034</v>
      </c>
      <c r="I499" s="8" t="s">
        <v>2031</v>
      </c>
      <c r="J499" s="9">
        <v>11.99</v>
      </c>
    </row>
    <row r="500" spans="7:10" hidden="1" x14ac:dyDescent="0.3">
      <c r="G500" s="7" t="s">
        <v>343</v>
      </c>
      <c r="H500" s="8" t="s">
        <v>2034</v>
      </c>
      <c r="I500" s="8" t="s">
        <v>2031</v>
      </c>
      <c r="J500" s="9">
        <v>11.85</v>
      </c>
    </row>
    <row r="501" spans="7:10" hidden="1" x14ac:dyDescent="0.3">
      <c r="G501" s="10" t="s">
        <v>358</v>
      </c>
      <c r="H501" s="11" t="s">
        <v>2034</v>
      </c>
      <c r="I501" s="11" t="s">
        <v>2031</v>
      </c>
      <c r="J501" s="12">
        <v>11.9</v>
      </c>
    </row>
    <row r="502" spans="7:10" hidden="1" x14ac:dyDescent="0.3">
      <c r="G502" s="7" t="s">
        <v>364</v>
      </c>
      <c r="H502" s="8" t="s">
        <v>2034</v>
      </c>
      <c r="I502" s="8" t="s">
        <v>2031</v>
      </c>
      <c r="J502" s="9">
        <v>11.7</v>
      </c>
    </row>
    <row r="503" spans="7:10" hidden="1" x14ac:dyDescent="0.3">
      <c r="G503" s="10" t="s">
        <v>365</v>
      </c>
      <c r="H503" s="11" t="s">
        <v>2034</v>
      </c>
      <c r="I503" s="11" t="s">
        <v>2031</v>
      </c>
      <c r="J503" s="12">
        <v>12.43</v>
      </c>
    </row>
    <row r="504" spans="7:10" hidden="1" x14ac:dyDescent="0.3">
      <c r="G504" s="10" t="s">
        <v>371</v>
      </c>
      <c r="H504" s="11" t="s">
        <v>2034</v>
      </c>
      <c r="I504" s="11" t="s">
        <v>2031</v>
      </c>
      <c r="J504" s="12">
        <v>10.11</v>
      </c>
    </row>
    <row r="505" spans="7:10" hidden="1" x14ac:dyDescent="0.3">
      <c r="G505" s="10" t="s">
        <v>375</v>
      </c>
      <c r="H505" s="11" t="s">
        <v>2038</v>
      </c>
      <c r="I505" s="11" t="s">
        <v>2031</v>
      </c>
      <c r="J505" s="12">
        <v>13.14</v>
      </c>
    </row>
    <row r="506" spans="7:10" hidden="1" x14ac:dyDescent="0.3">
      <c r="G506" s="10" t="s">
        <v>381</v>
      </c>
      <c r="H506" s="11" t="s">
        <v>2034</v>
      </c>
      <c r="I506" s="11" t="s">
        <v>2031</v>
      </c>
      <c r="J506" s="12">
        <v>11.74</v>
      </c>
    </row>
    <row r="507" spans="7:10" hidden="1" x14ac:dyDescent="0.3">
      <c r="G507" s="10" t="s">
        <v>397</v>
      </c>
      <c r="H507" s="11" t="s">
        <v>2038</v>
      </c>
      <c r="I507" s="11" t="s">
        <v>2031</v>
      </c>
      <c r="J507" s="12">
        <v>15.03</v>
      </c>
    </row>
    <row r="508" spans="7:10" hidden="1" x14ac:dyDescent="0.3">
      <c r="G508" s="7" t="s">
        <v>408</v>
      </c>
      <c r="H508" s="8" t="s">
        <v>2035</v>
      </c>
      <c r="I508" s="8" t="s">
        <v>2031</v>
      </c>
      <c r="J508" s="9">
        <v>14.04</v>
      </c>
    </row>
    <row r="509" spans="7:10" hidden="1" x14ac:dyDescent="0.3">
      <c r="G509" s="10" t="s">
        <v>416</v>
      </c>
      <c r="H509" s="11" t="s">
        <v>2034</v>
      </c>
      <c r="I509" s="11" t="s">
        <v>2031</v>
      </c>
      <c r="J509" s="12">
        <v>11.69</v>
      </c>
    </row>
    <row r="510" spans="7:10" hidden="1" x14ac:dyDescent="0.3">
      <c r="G510" s="10" t="s">
        <v>418</v>
      </c>
      <c r="H510" s="11" t="s">
        <v>2041</v>
      </c>
      <c r="I510" s="11" t="s">
        <v>2031</v>
      </c>
      <c r="J510" s="12">
        <v>13.36</v>
      </c>
    </row>
    <row r="511" spans="7:10" hidden="1" x14ac:dyDescent="0.3">
      <c r="G511" s="10" t="s">
        <v>422</v>
      </c>
      <c r="H511" s="11" t="s">
        <v>2034</v>
      </c>
      <c r="I511" s="11" t="s">
        <v>2031</v>
      </c>
      <c r="J511" s="12">
        <v>17.13</v>
      </c>
    </row>
    <row r="512" spans="7:10" hidden="1" x14ac:dyDescent="0.3">
      <c r="G512" s="7" t="s">
        <v>429</v>
      </c>
      <c r="H512" s="8" t="s">
        <v>2069</v>
      </c>
      <c r="I512" s="8" t="s">
        <v>2031</v>
      </c>
      <c r="J512" s="9">
        <v>9.8000000000000007</v>
      </c>
    </row>
    <row r="513" spans="7:10" hidden="1" x14ac:dyDescent="0.3">
      <c r="G513" s="10" t="s">
        <v>438</v>
      </c>
      <c r="H513" s="11" t="s">
        <v>2034</v>
      </c>
      <c r="I513" s="11" t="s">
        <v>2031</v>
      </c>
      <c r="J513" s="12">
        <v>10.11</v>
      </c>
    </row>
    <row r="514" spans="7:10" hidden="1" x14ac:dyDescent="0.3">
      <c r="G514" s="7" t="s">
        <v>445</v>
      </c>
      <c r="H514" s="8" t="s">
        <v>2034</v>
      </c>
      <c r="I514" s="8" t="s">
        <v>2031</v>
      </c>
      <c r="J514" s="9">
        <v>10.64</v>
      </c>
    </row>
    <row r="515" spans="7:10" hidden="1" x14ac:dyDescent="0.3">
      <c r="G515" s="7" t="s">
        <v>457</v>
      </c>
      <c r="H515" s="8" t="s">
        <v>2061</v>
      </c>
      <c r="I515" s="8" t="s">
        <v>2031</v>
      </c>
      <c r="J515" s="9">
        <v>5.38</v>
      </c>
    </row>
    <row r="516" spans="7:10" hidden="1" x14ac:dyDescent="0.3">
      <c r="G516" s="10" t="s">
        <v>482</v>
      </c>
      <c r="H516" s="11" t="s">
        <v>2038</v>
      </c>
      <c r="I516" s="11" t="s">
        <v>2031</v>
      </c>
      <c r="J516" s="12">
        <v>11.11</v>
      </c>
    </row>
    <row r="517" spans="7:10" hidden="1" x14ac:dyDescent="0.3">
      <c r="G517" s="10" t="s">
        <v>484</v>
      </c>
      <c r="H517" s="11" t="s">
        <v>2040</v>
      </c>
      <c r="I517" s="11" t="s">
        <v>2031</v>
      </c>
      <c r="J517" s="12">
        <v>8.5</v>
      </c>
    </row>
    <row r="518" spans="7:10" hidden="1" x14ac:dyDescent="0.3">
      <c r="G518" s="10" t="s">
        <v>490</v>
      </c>
      <c r="H518" s="11" t="s">
        <v>2039</v>
      </c>
      <c r="I518" s="11" t="s">
        <v>2031</v>
      </c>
      <c r="J518" s="12">
        <v>33.479999999999997</v>
      </c>
    </row>
    <row r="519" spans="7:10" hidden="1" x14ac:dyDescent="0.3">
      <c r="G519" s="7" t="s">
        <v>497</v>
      </c>
      <c r="H519" s="8" t="s">
        <v>2047</v>
      </c>
      <c r="I519" s="8" t="s">
        <v>2031</v>
      </c>
      <c r="J519" s="9">
        <v>5.27</v>
      </c>
    </row>
    <row r="520" spans="7:10" hidden="1" x14ac:dyDescent="0.3">
      <c r="G520" s="10" t="s">
        <v>498</v>
      </c>
      <c r="H520" s="11" t="s">
        <v>2044</v>
      </c>
      <c r="I520" s="11" t="s">
        <v>2031</v>
      </c>
      <c r="J520" s="12">
        <v>7.5</v>
      </c>
    </row>
    <row r="521" spans="7:10" hidden="1" x14ac:dyDescent="0.3">
      <c r="G521" s="7" t="s">
        <v>505</v>
      </c>
      <c r="H521" s="8" t="s">
        <v>2034</v>
      </c>
      <c r="I521" s="8" t="s">
        <v>2031</v>
      </c>
      <c r="J521" s="9">
        <v>12.58</v>
      </c>
    </row>
    <row r="522" spans="7:10" hidden="1" x14ac:dyDescent="0.3">
      <c r="G522" s="10" t="s">
        <v>530</v>
      </c>
      <c r="H522" s="11" t="s">
        <v>2055</v>
      </c>
      <c r="I522" s="11" t="s">
        <v>2031</v>
      </c>
      <c r="J522" s="12">
        <v>4.72</v>
      </c>
    </row>
    <row r="523" spans="7:10" hidden="1" x14ac:dyDescent="0.3">
      <c r="G523" s="7" t="s">
        <v>546</v>
      </c>
      <c r="H523" s="8" t="s">
        <v>2041</v>
      </c>
      <c r="I523" s="8" t="s">
        <v>2031</v>
      </c>
      <c r="J523" s="9">
        <v>14.53</v>
      </c>
    </row>
    <row r="524" spans="7:10" hidden="1" x14ac:dyDescent="0.3">
      <c r="G524" s="10" t="s">
        <v>553</v>
      </c>
      <c r="H524" s="11" t="s">
        <v>2040</v>
      </c>
      <c r="I524" s="11" t="s">
        <v>2031</v>
      </c>
      <c r="J524" s="12">
        <v>7.87</v>
      </c>
    </row>
    <row r="525" spans="7:10" hidden="1" x14ac:dyDescent="0.3">
      <c r="G525" s="7" t="s">
        <v>554</v>
      </c>
      <c r="H525" s="8" t="s">
        <v>2034</v>
      </c>
      <c r="I525" s="8" t="s">
        <v>2031</v>
      </c>
      <c r="J525" s="9">
        <v>6.22</v>
      </c>
    </row>
    <row r="526" spans="7:10" hidden="1" x14ac:dyDescent="0.3">
      <c r="G526" s="7" t="s">
        <v>577</v>
      </c>
      <c r="H526" s="8" t="s">
        <v>2034</v>
      </c>
      <c r="I526" s="8" t="s">
        <v>2031</v>
      </c>
      <c r="J526" s="9">
        <v>6.78</v>
      </c>
    </row>
    <row r="527" spans="7:10" hidden="1" x14ac:dyDescent="0.3">
      <c r="G527" s="10" t="s">
        <v>580</v>
      </c>
      <c r="H527" s="11" t="s">
        <v>2034</v>
      </c>
      <c r="I527" s="11" t="s">
        <v>2031</v>
      </c>
      <c r="J527" s="12">
        <v>9.02</v>
      </c>
    </row>
    <row r="528" spans="7:10" hidden="1" x14ac:dyDescent="0.3">
      <c r="G528" s="10" t="s">
        <v>592</v>
      </c>
      <c r="H528" s="11" t="s">
        <v>2034</v>
      </c>
      <c r="I528" s="11" t="s">
        <v>2031</v>
      </c>
      <c r="J528" s="12">
        <v>9.6300000000000008</v>
      </c>
    </row>
    <row r="529" spans="7:10" hidden="1" x14ac:dyDescent="0.3">
      <c r="G529" s="7" t="s">
        <v>595</v>
      </c>
      <c r="H529" s="8" t="s">
        <v>2038</v>
      </c>
      <c r="I529" s="8" t="s">
        <v>2031</v>
      </c>
      <c r="J529" s="9">
        <v>9.44</v>
      </c>
    </row>
    <row r="530" spans="7:10" hidden="1" x14ac:dyDescent="0.3">
      <c r="G530" s="7" t="s">
        <v>631</v>
      </c>
      <c r="H530" s="8" t="s">
        <v>2072</v>
      </c>
      <c r="I530" s="8" t="s">
        <v>2031</v>
      </c>
      <c r="J530" s="9">
        <v>4.4800000000000004</v>
      </c>
    </row>
    <row r="531" spans="7:10" hidden="1" x14ac:dyDescent="0.3">
      <c r="G531" s="10" t="s">
        <v>666</v>
      </c>
      <c r="H531" s="11" t="s">
        <v>2035</v>
      </c>
      <c r="I531" s="11" t="s">
        <v>2031</v>
      </c>
      <c r="J531" s="12">
        <v>12.95</v>
      </c>
    </row>
    <row r="532" spans="7:10" hidden="1" x14ac:dyDescent="0.3">
      <c r="G532" s="7" t="s">
        <v>2032</v>
      </c>
      <c r="H532" s="8" t="s">
        <v>2035</v>
      </c>
      <c r="I532" s="8" t="s">
        <v>2031</v>
      </c>
      <c r="J532" s="9">
        <v>4.26</v>
      </c>
    </row>
    <row r="533" spans="7:10" hidden="1" x14ac:dyDescent="0.3">
      <c r="G533" s="10" t="s">
        <v>680</v>
      </c>
      <c r="H533" s="11" t="s">
        <v>2052</v>
      </c>
      <c r="I533" s="11" t="s">
        <v>2031</v>
      </c>
      <c r="J533" s="12">
        <v>3.96</v>
      </c>
    </row>
    <row r="534" spans="7:10" hidden="1" x14ac:dyDescent="0.3">
      <c r="G534" s="10" t="s">
        <v>692</v>
      </c>
      <c r="H534" s="11" t="s">
        <v>2038</v>
      </c>
      <c r="I534" s="11" t="s">
        <v>2031</v>
      </c>
      <c r="J534" s="12">
        <v>9.1</v>
      </c>
    </row>
    <row r="535" spans="7:10" hidden="1" x14ac:dyDescent="0.3">
      <c r="G535" s="10" t="s">
        <v>698</v>
      </c>
      <c r="H535" s="11" t="s">
        <v>2034</v>
      </c>
      <c r="I535" s="11" t="s">
        <v>2031</v>
      </c>
      <c r="J535" s="12">
        <v>5.41</v>
      </c>
    </row>
    <row r="536" spans="7:10" hidden="1" x14ac:dyDescent="0.3">
      <c r="G536" s="7" t="s">
        <v>739</v>
      </c>
      <c r="H536" s="8" t="s">
        <v>2034</v>
      </c>
      <c r="I536" s="8" t="s">
        <v>2031</v>
      </c>
      <c r="J536" s="9">
        <v>7.66</v>
      </c>
    </row>
    <row r="537" spans="7:10" hidden="1" x14ac:dyDescent="0.3">
      <c r="G537" s="10" t="s">
        <v>760</v>
      </c>
      <c r="H537" s="11" t="s">
        <v>2074</v>
      </c>
      <c r="I537" s="11" t="s">
        <v>2031</v>
      </c>
      <c r="J537" s="12">
        <v>5.03</v>
      </c>
    </row>
    <row r="538" spans="7:10" hidden="1" x14ac:dyDescent="0.3">
      <c r="G538" s="7" t="s">
        <v>772</v>
      </c>
      <c r="H538" s="8" t="s">
        <v>2042</v>
      </c>
      <c r="I538" s="8" t="s">
        <v>2031</v>
      </c>
      <c r="J538" s="9">
        <v>7.57</v>
      </c>
    </row>
    <row r="539" spans="7:10" hidden="1" x14ac:dyDescent="0.3">
      <c r="G539" s="10" t="s">
        <v>782</v>
      </c>
      <c r="H539" s="11" t="s">
        <v>2034</v>
      </c>
      <c r="I539" s="11" t="s">
        <v>2031</v>
      </c>
      <c r="J539" s="12">
        <v>7.89</v>
      </c>
    </row>
    <row r="540" spans="7:10" hidden="1" x14ac:dyDescent="0.3">
      <c r="G540" s="7" t="s">
        <v>831</v>
      </c>
      <c r="H540" s="8" t="s">
        <v>2038</v>
      </c>
      <c r="I540" s="8" t="s">
        <v>2031</v>
      </c>
      <c r="J540" s="9">
        <v>5.55</v>
      </c>
    </row>
    <row r="541" spans="7:10" hidden="1" x14ac:dyDescent="0.3">
      <c r="G541" s="10" t="s">
        <v>837</v>
      </c>
      <c r="H541" s="11" t="s">
        <v>2070</v>
      </c>
      <c r="I541" s="11" t="s">
        <v>2031</v>
      </c>
      <c r="J541" s="12">
        <v>5.56</v>
      </c>
    </row>
    <row r="542" spans="7:10" hidden="1" x14ac:dyDescent="0.3">
      <c r="G542" s="10" t="s">
        <v>849</v>
      </c>
      <c r="H542" s="11" t="s">
        <v>2045</v>
      </c>
      <c r="I542" s="11" t="s">
        <v>2031</v>
      </c>
      <c r="J542" s="12">
        <v>3.64</v>
      </c>
    </row>
    <row r="543" spans="7:10" hidden="1" x14ac:dyDescent="0.3">
      <c r="G543" s="7" t="s">
        <v>850</v>
      </c>
      <c r="H543" s="8" t="s">
        <v>2034</v>
      </c>
      <c r="I543" s="8" t="s">
        <v>2031</v>
      </c>
      <c r="J543" s="9">
        <v>1.59</v>
      </c>
    </row>
    <row r="544" spans="7:10" hidden="1" x14ac:dyDescent="0.3">
      <c r="G544" s="10" t="s">
        <v>871</v>
      </c>
      <c r="H544" s="11" t="s">
        <v>2034</v>
      </c>
      <c r="I544" s="11" t="s">
        <v>2031</v>
      </c>
      <c r="J544" s="12">
        <v>7.73</v>
      </c>
    </row>
    <row r="545" spans="7:10" hidden="1" x14ac:dyDescent="0.3">
      <c r="G545" s="7" t="s">
        <v>872</v>
      </c>
      <c r="H545" s="8" t="s">
        <v>1977</v>
      </c>
      <c r="I545" s="8" t="s">
        <v>2031</v>
      </c>
      <c r="J545" s="9">
        <v>4.18</v>
      </c>
    </row>
    <row r="546" spans="7:10" hidden="1" x14ac:dyDescent="0.3">
      <c r="G546" s="10" t="s">
        <v>895</v>
      </c>
      <c r="H546" s="11" t="s">
        <v>2034</v>
      </c>
      <c r="I546" s="11" t="s">
        <v>2031</v>
      </c>
      <c r="J546" s="12">
        <v>12.68</v>
      </c>
    </row>
    <row r="547" spans="7:10" hidden="1" x14ac:dyDescent="0.3">
      <c r="G547" s="10" t="s">
        <v>917</v>
      </c>
      <c r="H547" s="11" t="s">
        <v>2034</v>
      </c>
      <c r="I547" s="11" t="s">
        <v>2031</v>
      </c>
      <c r="J547" s="12">
        <v>9.7200000000000006</v>
      </c>
    </row>
    <row r="548" spans="7:10" hidden="1" x14ac:dyDescent="0.3">
      <c r="G548" s="10" t="s">
        <v>927</v>
      </c>
      <c r="H548" s="11" t="s">
        <v>2038</v>
      </c>
      <c r="I548" s="11" t="s">
        <v>2031</v>
      </c>
      <c r="J548" s="12">
        <v>4.87</v>
      </c>
    </row>
    <row r="549" spans="7:10" hidden="1" x14ac:dyDescent="0.3">
      <c r="G549" s="10" t="s">
        <v>963</v>
      </c>
      <c r="H549" s="11" t="s">
        <v>2038</v>
      </c>
      <c r="I549" s="11" t="s">
        <v>2031</v>
      </c>
      <c r="J549" s="12">
        <v>5.38</v>
      </c>
    </row>
    <row r="550" spans="7:10" hidden="1" x14ac:dyDescent="0.3">
      <c r="G550" s="10" t="s">
        <v>975</v>
      </c>
      <c r="H550" s="11" t="s">
        <v>2052</v>
      </c>
      <c r="I550" s="11" t="s">
        <v>2031</v>
      </c>
      <c r="J550" s="12">
        <v>1.47</v>
      </c>
    </row>
    <row r="551" spans="7:10" hidden="1" x14ac:dyDescent="0.3">
      <c r="G551" s="7" t="s">
        <v>979</v>
      </c>
      <c r="H551" s="8" t="s">
        <v>2035</v>
      </c>
      <c r="I551" s="8" t="s">
        <v>2031</v>
      </c>
      <c r="J551" s="9">
        <v>3.93</v>
      </c>
    </row>
    <row r="552" spans="7:10" hidden="1" x14ac:dyDescent="0.3">
      <c r="G552" s="7" t="s">
        <v>1021</v>
      </c>
      <c r="H552" s="8" t="s">
        <v>2038</v>
      </c>
      <c r="I552" s="8" t="s">
        <v>2031</v>
      </c>
      <c r="J552" s="9">
        <v>4.3899999999999997</v>
      </c>
    </row>
    <row r="553" spans="7:10" hidden="1" x14ac:dyDescent="0.3">
      <c r="G553" s="10" t="s">
        <v>1022</v>
      </c>
      <c r="H553" s="11" t="s">
        <v>2034</v>
      </c>
      <c r="I553" s="11" t="s">
        <v>2031</v>
      </c>
      <c r="J553" s="12">
        <v>4.78</v>
      </c>
    </row>
    <row r="554" spans="7:10" hidden="1" x14ac:dyDescent="0.3">
      <c r="G554" s="7" t="s">
        <v>1053</v>
      </c>
      <c r="H554" s="8" t="s">
        <v>2043</v>
      </c>
      <c r="I554" s="8" t="s">
        <v>2031</v>
      </c>
      <c r="J554" s="9">
        <v>8.92</v>
      </c>
    </row>
    <row r="555" spans="7:10" hidden="1" x14ac:dyDescent="0.3">
      <c r="G555" s="7" t="s">
        <v>1071</v>
      </c>
      <c r="H555" s="8" t="s">
        <v>2034</v>
      </c>
      <c r="I555" s="8" t="s">
        <v>2031</v>
      </c>
      <c r="J555" s="9">
        <v>3.82</v>
      </c>
    </row>
    <row r="556" spans="7:10" hidden="1" x14ac:dyDescent="0.3">
      <c r="G556" s="7" t="s">
        <v>1098</v>
      </c>
      <c r="H556" s="8" t="s">
        <v>2034</v>
      </c>
      <c r="I556" s="8" t="s">
        <v>2031</v>
      </c>
      <c r="J556" s="9">
        <v>5.3</v>
      </c>
    </row>
    <row r="557" spans="7:10" hidden="1" x14ac:dyDescent="0.3">
      <c r="G557" s="10" t="s">
        <v>1105</v>
      </c>
      <c r="H557" s="11" t="s">
        <v>2044</v>
      </c>
      <c r="I557" s="11" t="s">
        <v>2031</v>
      </c>
      <c r="J557" s="12">
        <v>2.69</v>
      </c>
    </row>
    <row r="558" spans="7:10" hidden="1" x14ac:dyDescent="0.3">
      <c r="G558" s="10" t="s">
        <v>1107</v>
      </c>
      <c r="H558" s="11" t="s">
        <v>2034</v>
      </c>
      <c r="I558" s="11" t="s">
        <v>2031</v>
      </c>
      <c r="J558" s="12">
        <v>9.23</v>
      </c>
    </row>
    <row r="559" spans="7:10" hidden="1" x14ac:dyDescent="0.3">
      <c r="G559" s="10" t="s">
        <v>1135</v>
      </c>
      <c r="H559" s="11" t="s">
        <v>1975</v>
      </c>
      <c r="I559" s="11" t="s">
        <v>2031</v>
      </c>
      <c r="J559" s="12">
        <v>3.09</v>
      </c>
    </row>
    <row r="560" spans="7:10" hidden="1" x14ac:dyDescent="0.3">
      <c r="G560" s="10" t="s">
        <v>1159</v>
      </c>
      <c r="H560" s="11" t="s">
        <v>2034</v>
      </c>
      <c r="I560" s="11" t="s">
        <v>2031</v>
      </c>
      <c r="J560" s="12">
        <v>3.7</v>
      </c>
    </row>
    <row r="561" spans="7:10" hidden="1" x14ac:dyDescent="0.3">
      <c r="G561" s="7" t="s">
        <v>1214</v>
      </c>
      <c r="H561" s="8" t="s">
        <v>2034</v>
      </c>
      <c r="I561" s="8" t="s">
        <v>2031</v>
      </c>
      <c r="J561" s="9">
        <v>9.73</v>
      </c>
    </row>
    <row r="562" spans="7:10" hidden="1" x14ac:dyDescent="0.3">
      <c r="G562" s="10" t="s">
        <v>1242</v>
      </c>
      <c r="H562" s="11" t="s">
        <v>2052</v>
      </c>
      <c r="I562" s="11" t="s">
        <v>2031</v>
      </c>
      <c r="J562" s="12">
        <v>1.05</v>
      </c>
    </row>
    <row r="563" spans="7:10" hidden="1" x14ac:dyDescent="0.3">
      <c r="G563" s="10" t="s">
        <v>1250</v>
      </c>
      <c r="H563" s="11" t="s">
        <v>2061</v>
      </c>
      <c r="I563" s="11" t="s">
        <v>2031</v>
      </c>
      <c r="J563" s="12">
        <v>3.18</v>
      </c>
    </row>
    <row r="564" spans="7:10" hidden="1" x14ac:dyDescent="0.3">
      <c r="G564" s="7" t="s">
        <v>1253</v>
      </c>
      <c r="H564" s="8" t="s">
        <v>2035</v>
      </c>
      <c r="I564" s="8" t="s">
        <v>2031</v>
      </c>
      <c r="J564" s="9">
        <v>1.44</v>
      </c>
    </row>
    <row r="565" spans="7:10" hidden="1" x14ac:dyDescent="0.3">
      <c r="G565" s="7" t="s">
        <v>1257</v>
      </c>
      <c r="H565" s="8" t="s">
        <v>2034</v>
      </c>
      <c r="I565" s="8" t="s">
        <v>2031</v>
      </c>
      <c r="J565" s="9">
        <v>6.41</v>
      </c>
    </row>
    <row r="566" spans="7:10" hidden="1" x14ac:dyDescent="0.3">
      <c r="G566" s="10" t="s">
        <v>1269</v>
      </c>
      <c r="H566" s="11" t="s">
        <v>2035</v>
      </c>
      <c r="I566" s="11" t="s">
        <v>2031</v>
      </c>
      <c r="J566" s="12">
        <v>3.14</v>
      </c>
    </row>
    <row r="567" spans="7:10" hidden="1" x14ac:dyDescent="0.3">
      <c r="G567" s="10" t="s">
        <v>1275</v>
      </c>
      <c r="H567" s="11" t="s">
        <v>2035</v>
      </c>
      <c r="I567" s="11" t="s">
        <v>2031</v>
      </c>
      <c r="J567" s="12">
        <v>1.47</v>
      </c>
    </row>
    <row r="568" spans="7:10" hidden="1" x14ac:dyDescent="0.3">
      <c r="G568" s="7" t="s">
        <v>2033</v>
      </c>
      <c r="H568" s="8" t="s">
        <v>2034</v>
      </c>
      <c r="I568" s="8" t="s">
        <v>2031</v>
      </c>
      <c r="J568" s="9">
        <v>7.4</v>
      </c>
    </row>
    <row r="569" spans="7:10" hidden="1" x14ac:dyDescent="0.3">
      <c r="G569" s="10" t="s">
        <v>1348</v>
      </c>
      <c r="H569" s="11" t="s">
        <v>2042</v>
      </c>
      <c r="I569" s="11" t="s">
        <v>2031</v>
      </c>
      <c r="J569" s="12">
        <v>1.34</v>
      </c>
    </row>
    <row r="570" spans="7:10" hidden="1" x14ac:dyDescent="0.3">
      <c r="G570" s="10" t="s">
        <v>1399</v>
      </c>
      <c r="H570" s="11" t="s">
        <v>2034</v>
      </c>
      <c r="I570" s="11" t="s">
        <v>2031</v>
      </c>
      <c r="J570" s="12">
        <v>2.99</v>
      </c>
    </row>
    <row r="571" spans="7:10" hidden="1" x14ac:dyDescent="0.3">
      <c r="G571" s="10" t="s">
        <v>1413</v>
      </c>
      <c r="H571" s="11" t="s">
        <v>2034</v>
      </c>
      <c r="I571" s="11" t="s">
        <v>2031</v>
      </c>
      <c r="J571" s="12">
        <v>2.72</v>
      </c>
    </row>
    <row r="572" spans="7:10" hidden="1" x14ac:dyDescent="0.3">
      <c r="G572" s="7" t="s">
        <v>1448</v>
      </c>
      <c r="H572" s="8" t="s">
        <v>2034</v>
      </c>
      <c r="I572" s="8" t="s">
        <v>2031</v>
      </c>
      <c r="J572" s="9">
        <v>3.04</v>
      </c>
    </row>
    <row r="573" spans="7:10" hidden="1" x14ac:dyDescent="0.3">
      <c r="G573" s="10" t="s">
        <v>1449</v>
      </c>
      <c r="H573" s="11" t="s">
        <v>2045</v>
      </c>
      <c r="I573" s="11" t="s">
        <v>2031</v>
      </c>
      <c r="J573" s="12">
        <v>0.73</v>
      </c>
    </row>
    <row r="574" spans="7:10" hidden="1" x14ac:dyDescent="0.3">
      <c r="G574" s="7" t="s">
        <v>1458</v>
      </c>
      <c r="H574" s="8" t="s">
        <v>2034</v>
      </c>
      <c r="I574" s="8" t="s">
        <v>2031</v>
      </c>
      <c r="J574" s="9">
        <v>3.01</v>
      </c>
    </row>
    <row r="575" spans="7:10" hidden="1" x14ac:dyDescent="0.3">
      <c r="G575" s="7" t="s">
        <v>1464</v>
      </c>
      <c r="H575" s="8" t="s">
        <v>1975</v>
      </c>
      <c r="I575" s="8" t="s">
        <v>2031</v>
      </c>
      <c r="J575" s="9">
        <v>3.7</v>
      </c>
    </row>
    <row r="576" spans="7:10" hidden="1" x14ac:dyDescent="0.3">
      <c r="G576" s="7" t="s">
        <v>1494</v>
      </c>
      <c r="H576" s="8" t="s">
        <v>2034</v>
      </c>
      <c r="I576" s="8" t="s">
        <v>2031</v>
      </c>
      <c r="J576" s="9">
        <v>3.46</v>
      </c>
    </row>
    <row r="577" spans="7:10" hidden="1" x14ac:dyDescent="0.3">
      <c r="G577" s="7" t="s">
        <v>1514</v>
      </c>
      <c r="H577" s="8" t="s">
        <v>2034</v>
      </c>
      <c r="I577" s="8" t="s">
        <v>2031</v>
      </c>
      <c r="J577" s="9">
        <v>6.98</v>
      </c>
    </row>
    <row r="578" spans="7:10" hidden="1" x14ac:dyDescent="0.3">
      <c r="G578" s="7" t="s">
        <v>1576</v>
      </c>
      <c r="H578" s="8" t="s">
        <v>2034</v>
      </c>
      <c r="I578" s="8" t="s">
        <v>2031</v>
      </c>
      <c r="J578" s="9">
        <v>6.96</v>
      </c>
    </row>
    <row r="579" spans="7:10" hidden="1" x14ac:dyDescent="0.3">
      <c r="G579" s="10" t="s">
        <v>1601</v>
      </c>
      <c r="H579" s="11" t="s">
        <v>2034</v>
      </c>
      <c r="I579" s="11" t="s">
        <v>2031</v>
      </c>
      <c r="J579" s="12">
        <v>5.89</v>
      </c>
    </row>
    <row r="580" spans="7:10" hidden="1" x14ac:dyDescent="0.3">
      <c r="G580" s="7" t="s">
        <v>1632</v>
      </c>
      <c r="H580" s="8" t="s">
        <v>2034</v>
      </c>
      <c r="I580" s="8" t="s">
        <v>2031</v>
      </c>
      <c r="J580" s="9">
        <v>3.24</v>
      </c>
    </row>
    <row r="581" spans="7:10" hidden="1" x14ac:dyDescent="0.3">
      <c r="G581" s="10" t="s">
        <v>1659</v>
      </c>
      <c r="H581" s="11" t="s">
        <v>2034</v>
      </c>
      <c r="I581" s="11" t="s">
        <v>2031</v>
      </c>
      <c r="J581" s="12">
        <v>3.28</v>
      </c>
    </row>
    <row r="582" spans="7:10" hidden="1" x14ac:dyDescent="0.3">
      <c r="G582" s="7" t="s">
        <v>1662</v>
      </c>
      <c r="H582" s="8" t="s">
        <v>2045</v>
      </c>
      <c r="I582" s="8" t="s">
        <v>2031</v>
      </c>
      <c r="J582" s="9">
        <v>1.64</v>
      </c>
    </row>
    <row r="583" spans="7:10" hidden="1" x14ac:dyDescent="0.3">
      <c r="G583" s="7" t="s">
        <v>1734</v>
      </c>
      <c r="H583" s="8" t="s">
        <v>2034</v>
      </c>
      <c r="I583" s="8" t="s">
        <v>2031</v>
      </c>
      <c r="J583" s="9">
        <v>5.0999999999999996</v>
      </c>
    </row>
    <row r="584" spans="7:10" hidden="1" x14ac:dyDescent="0.3">
      <c r="G584" s="7" t="s">
        <v>1747</v>
      </c>
      <c r="H584" s="8" t="s">
        <v>2035</v>
      </c>
      <c r="I584" s="8" t="s">
        <v>2031</v>
      </c>
      <c r="J584" s="9">
        <v>3.19</v>
      </c>
    </row>
    <row r="585" spans="7:10" hidden="1" x14ac:dyDescent="0.3">
      <c r="G585" s="10" t="s">
        <v>1773</v>
      </c>
      <c r="H585" s="11" t="s">
        <v>2042</v>
      </c>
      <c r="I585" s="11" t="s">
        <v>2031</v>
      </c>
      <c r="J585" s="12">
        <v>2.4</v>
      </c>
    </row>
    <row r="586" spans="7:10" hidden="1" x14ac:dyDescent="0.3">
      <c r="G586" s="7" t="s">
        <v>1774</v>
      </c>
      <c r="H586" s="8" t="s">
        <v>2047</v>
      </c>
      <c r="I586" s="8" t="s">
        <v>2031</v>
      </c>
      <c r="J586" s="9">
        <v>2.44</v>
      </c>
    </row>
    <row r="587" spans="7:10" hidden="1" x14ac:dyDescent="0.3">
      <c r="G587" s="10" t="s">
        <v>1782</v>
      </c>
      <c r="H587" s="11" t="s">
        <v>2040</v>
      </c>
      <c r="I587" s="11" t="s">
        <v>2031</v>
      </c>
      <c r="J587" s="12">
        <v>1.02</v>
      </c>
    </row>
    <row r="588" spans="7:10" hidden="1" x14ac:dyDescent="0.3">
      <c r="G588" s="7" t="s">
        <v>1828</v>
      </c>
      <c r="H588" s="8" t="s">
        <v>2034</v>
      </c>
      <c r="I588" s="8" t="s">
        <v>2031</v>
      </c>
      <c r="J588" s="9">
        <v>1.25</v>
      </c>
    </row>
    <row r="589" spans="7:10" hidden="1" x14ac:dyDescent="0.3">
      <c r="G589" s="10" t="s">
        <v>1831</v>
      </c>
      <c r="H589" s="11" t="s">
        <v>2044</v>
      </c>
      <c r="I589" s="11" t="s">
        <v>2031</v>
      </c>
      <c r="J589" s="12">
        <v>2.54</v>
      </c>
    </row>
    <row r="590" spans="7:10" hidden="1" x14ac:dyDescent="0.3">
      <c r="G590" s="7" t="s">
        <v>1925</v>
      </c>
      <c r="H590" s="8" t="s">
        <v>1977</v>
      </c>
      <c r="I590" s="8" t="s">
        <v>2031</v>
      </c>
      <c r="J590" s="9">
        <v>1.93</v>
      </c>
    </row>
    <row r="591" spans="7:10" hidden="1" x14ac:dyDescent="0.3">
      <c r="G591" s="7" t="s">
        <v>1940</v>
      </c>
      <c r="H591" s="8" t="s">
        <v>2037</v>
      </c>
      <c r="I591" s="8" t="s">
        <v>2031</v>
      </c>
      <c r="J591" s="9">
        <v>2.52</v>
      </c>
    </row>
    <row r="592" spans="7:10" hidden="1" x14ac:dyDescent="0.3">
      <c r="G592" s="7" t="s">
        <v>1965</v>
      </c>
      <c r="H592" s="8" t="s">
        <v>2034</v>
      </c>
      <c r="I592" s="8" t="s">
        <v>2031</v>
      </c>
      <c r="J592" s="9">
        <v>2.72</v>
      </c>
    </row>
    <row r="593" spans="7:10" hidden="1" x14ac:dyDescent="0.3">
      <c r="G593" s="10" t="s">
        <v>1966</v>
      </c>
      <c r="H593" s="11" t="s">
        <v>2034</v>
      </c>
      <c r="I593" s="11" t="s">
        <v>2031</v>
      </c>
      <c r="J593" s="12">
        <v>2.36</v>
      </c>
    </row>
    <row r="594" spans="7:10" hidden="1" x14ac:dyDescent="0.3">
      <c r="G594" s="10" t="s">
        <v>1968</v>
      </c>
      <c r="H594" s="11" t="s">
        <v>2034</v>
      </c>
      <c r="I594" s="11" t="s">
        <v>2031</v>
      </c>
      <c r="J594" s="12">
        <v>2.96</v>
      </c>
    </row>
    <row r="595" spans="7:10" hidden="1" x14ac:dyDescent="0.3">
      <c r="G595" s="10" t="s">
        <v>1</v>
      </c>
      <c r="H595" s="11" t="s">
        <v>2034</v>
      </c>
      <c r="I595" s="11" t="s">
        <v>1992</v>
      </c>
      <c r="J595" s="12">
        <v>149.69999999999999</v>
      </c>
    </row>
    <row r="596" spans="7:10" hidden="1" x14ac:dyDescent="0.3">
      <c r="G596" s="7" t="s">
        <v>60</v>
      </c>
      <c r="H596" s="8" t="s">
        <v>2041</v>
      </c>
      <c r="I596" s="8" t="s">
        <v>1992</v>
      </c>
      <c r="J596" s="9">
        <v>90.68</v>
      </c>
    </row>
    <row r="597" spans="7:10" hidden="1" x14ac:dyDescent="0.3">
      <c r="G597" s="7" t="s">
        <v>104</v>
      </c>
      <c r="H597" s="8" t="s">
        <v>2051</v>
      </c>
      <c r="I597" s="8" t="s">
        <v>1992</v>
      </c>
      <c r="J597" s="9">
        <v>39.369999999999997</v>
      </c>
    </row>
    <row r="598" spans="7:10" hidden="1" x14ac:dyDescent="0.3">
      <c r="G598" s="10" t="s">
        <v>107</v>
      </c>
      <c r="H598" s="11" t="s">
        <v>2034</v>
      </c>
      <c r="I598" s="11" t="s">
        <v>1992</v>
      </c>
      <c r="J598" s="12">
        <v>42.73</v>
      </c>
    </row>
    <row r="599" spans="7:10" hidden="1" x14ac:dyDescent="0.3">
      <c r="G599" s="7" t="s">
        <v>134</v>
      </c>
      <c r="H599" s="8" t="s">
        <v>2036</v>
      </c>
      <c r="I599" s="8" t="s">
        <v>1992</v>
      </c>
      <c r="J599" s="9">
        <v>35.93</v>
      </c>
    </row>
    <row r="600" spans="7:10" hidden="1" x14ac:dyDescent="0.3">
      <c r="G600" s="10" t="s">
        <v>154</v>
      </c>
      <c r="H600" s="11" t="s">
        <v>2052</v>
      </c>
      <c r="I600" s="11" t="s">
        <v>1992</v>
      </c>
      <c r="J600" s="12">
        <v>17.32</v>
      </c>
    </row>
    <row r="601" spans="7:10" hidden="1" x14ac:dyDescent="0.3">
      <c r="G601" s="10" t="s">
        <v>175</v>
      </c>
      <c r="H601" s="11" t="s">
        <v>2049</v>
      </c>
      <c r="I601" s="11" t="s">
        <v>1992</v>
      </c>
      <c r="J601" s="12">
        <v>25.79</v>
      </c>
    </row>
    <row r="602" spans="7:10" hidden="1" x14ac:dyDescent="0.3">
      <c r="G602" s="10" t="s">
        <v>181</v>
      </c>
      <c r="H602" s="11" t="s">
        <v>2034</v>
      </c>
      <c r="I602" s="11" t="s">
        <v>1992</v>
      </c>
      <c r="J602" s="12">
        <v>27.65</v>
      </c>
    </row>
    <row r="603" spans="7:10" hidden="1" x14ac:dyDescent="0.3">
      <c r="G603" s="10" t="s">
        <v>195</v>
      </c>
      <c r="H603" s="11" t="s">
        <v>2034</v>
      </c>
      <c r="I603" s="11" t="s">
        <v>1992</v>
      </c>
      <c r="J603" s="12">
        <v>21.17</v>
      </c>
    </row>
    <row r="604" spans="7:10" hidden="1" x14ac:dyDescent="0.3">
      <c r="G604" s="10" t="s">
        <v>233</v>
      </c>
      <c r="H604" s="11" t="s">
        <v>2038</v>
      </c>
      <c r="I604" s="11" t="s">
        <v>1992</v>
      </c>
      <c r="J604" s="12">
        <v>84.22</v>
      </c>
    </row>
    <row r="605" spans="7:10" hidden="1" x14ac:dyDescent="0.3">
      <c r="G605" s="7" t="s">
        <v>270</v>
      </c>
      <c r="H605" s="8" t="s">
        <v>2034</v>
      </c>
      <c r="I605" s="8" t="s">
        <v>1992</v>
      </c>
      <c r="J605" s="9">
        <v>17.88</v>
      </c>
    </row>
    <row r="606" spans="7:10" hidden="1" x14ac:dyDescent="0.3">
      <c r="G606" s="7" t="s">
        <v>477</v>
      </c>
      <c r="H606" s="8" t="s">
        <v>2051</v>
      </c>
      <c r="I606" s="8" t="s">
        <v>1992</v>
      </c>
      <c r="J606" s="9">
        <v>10.55</v>
      </c>
    </row>
    <row r="607" spans="7:10" hidden="1" x14ac:dyDescent="0.3">
      <c r="G607" s="10" t="s">
        <v>614</v>
      </c>
      <c r="H607" s="11" t="s">
        <v>2034</v>
      </c>
      <c r="I607" s="11" t="s">
        <v>1992</v>
      </c>
      <c r="J607" s="12">
        <v>6.73</v>
      </c>
    </row>
    <row r="608" spans="7:10" hidden="1" x14ac:dyDescent="0.3">
      <c r="G608" s="10" t="s">
        <v>646</v>
      </c>
      <c r="H608" s="11" t="s">
        <v>2064</v>
      </c>
      <c r="I608" s="11" t="s">
        <v>1992</v>
      </c>
      <c r="J608" s="12">
        <v>16.48</v>
      </c>
    </row>
    <row r="609" spans="7:10" hidden="1" x14ac:dyDescent="0.3">
      <c r="G609" s="10" t="s">
        <v>720</v>
      </c>
      <c r="H609" s="11" t="s">
        <v>2034</v>
      </c>
      <c r="I609" s="11" t="s">
        <v>1992</v>
      </c>
      <c r="J609" s="12">
        <v>10.039999999999999</v>
      </c>
    </row>
    <row r="610" spans="7:10" hidden="1" x14ac:dyDescent="0.3">
      <c r="G610" s="7" t="s">
        <v>765</v>
      </c>
      <c r="H610" s="8" t="s">
        <v>2060</v>
      </c>
      <c r="I610" s="8" t="s">
        <v>1992</v>
      </c>
      <c r="J610" s="9">
        <v>7.36</v>
      </c>
    </row>
    <row r="611" spans="7:10" hidden="1" x14ac:dyDescent="0.3">
      <c r="G611" s="7" t="s">
        <v>813</v>
      </c>
      <c r="H611" s="8" t="s">
        <v>2034</v>
      </c>
      <c r="I611" s="8" t="s">
        <v>1992</v>
      </c>
      <c r="J611" s="9">
        <v>6.1</v>
      </c>
    </row>
    <row r="612" spans="7:10" hidden="1" x14ac:dyDescent="0.3">
      <c r="G612" s="7" t="s">
        <v>821</v>
      </c>
      <c r="H612" s="8" t="s">
        <v>2034</v>
      </c>
      <c r="I612" s="8" t="s">
        <v>1992</v>
      </c>
      <c r="J612" s="9">
        <v>7.43</v>
      </c>
    </row>
    <row r="613" spans="7:10" hidden="1" x14ac:dyDescent="0.3">
      <c r="G613" s="10" t="s">
        <v>869</v>
      </c>
      <c r="H613" s="11" t="s">
        <v>1975</v>
      </c>
      <c r="I613" s="11" t="s">
        <v>1992</v>
      </c>
      <c r="J613" s="12">
        <v>6.11</v>
      </c>
    </row>
    <row r="614" spans="7:10" hidden="1" x14ac:dyDescent="0.3">
      <c r="G614" s="7" t="s">
        <v>928</v>
      </c>
      <c r="H614" s="8" t="s">
        <v>2035</v>
      </c>
      <c r="I614" s="8" t="s">
        <v>1992</v>
      </c>
      <c r="J614" s="9">
        <v>5.3</v>
      </c>
    </row>
    <row r="615" spans="7:10" hidden="1" x14ac:dyDescent="0.3">
      <c r="G615" s="10" t="s">
        <v>959</v>
      </c>
      <c r="H615" s="11" t="s">
        <v>2063</v>
      </c>
      <c r="I615" s="11" t="s">
        <v>1992</v>
      </c>
      <c r="J615" s="12">
        <v>1.6</v>
      </c>
    </row>
    <row r="616" spans="7:10" hidden="1" x14ac:dyDescent="0.3">
      <c r="G616" s="10" t="s">
        <v>1054</v>
      </c>
      <c r="H616" s="11" t="s">
        <v>2060</v>
      </c>
      <c r="I616" s="11" t="s">
        <v>1992</v>
      </c>
      <c r="J616" s="12">
        <v>6.53</v>
      </c>
    </row>
    <row r="617" spans="7:10" hidden="1" x14ac:dyDescent="0.3">
      <c r="G617" s="7" t="s">
        <v>1067</v>
      </c>
      <c r="H617" s="8" t="s">
        <v>2066</v>
      </c>
      <c r="I617" s="8" t="s">
        <v>1992</v>
      </c>
      <c r="J617" s="9">
        <v>3.42</v>
      </c>
    </row>
    <row r="618" spans="7:10" hidden="1" x14ac:dyDescent="0.3">
      <c r="G618" s="10" t="s">
        <v>1070</v>
      </c>
      <c r="H618" s="11" t="s">
        <v>2052</v>
      </c>
      <c r="I618" s="11" t="s">
        <v>1992</v>
      </c>
      <c r="J618" s="12">
        <v>2.95</v>
      </c>
    </row>
    <row r="619" spans="7:10" hidden="1" x14ac:dyDescent="0.3">
      <c r="G619" s="7" t="s">
        <v>1082</v>
      </c>
      <c r="H619" s="8" t="s">
        <v>2069</v>
      </c>
      <c r="I619" s="8" t="s">
        <v>1992</v>
      </c>
      <c r="J619" s="9">
        <v>9</v>
      </c>
    </row>
    <row r="620" spans="7:10" hidden="1" x14ac:dyDescent="0.3">
      <c r="G620" s="10" t="s">
        <v>1093</v>
      </c>
      <c r="H620" s="11" t="s">
        <v>2034</v>
      </c>
      <c r="I620" s="11" t="s">
        <v>1992</v>
      </c>
      <c r="J620" s="12">
        <v>4.29</v>
      </c>
    </row>
    <row r="621" spans="7:10" hidden="1" x14ac:dyDescent="0.3">
      <c r="G621" s="7" t="s">
        <v>1096</v>
      </c>
      <c r="H621" s="8" t="s">
        <v>2063</v>
      </c>
      <c r="I621" s="8" t="s">
        <v>1992</v>
      </c>
      <c r="J621" s="9">
        <v>9.4499999999999993</v>
      </c>
    </row>
    <row r="622" spans="7:10" hidden="1" x14ac:dyDescent="0.3">
      <c r="G622" s="10" t="s">
        <v>1227</v>
      </c>
      <c r="H622" s="11" t="s">
        <v>2035</v>
      </c>
      <c r="I622" s="11" t="s">
        <v>1992</v>
      </c>
      <c r="J622" s="12">
        <v>5.47</v>
      </c>
    </row>
    <row r="623" spans="7:10" hidden="1" x14ac:dyDescent="0.3">
      <c r="G623" s="10" t="s">
        <v>1246</v>
      </c>
      <c r="H623" s="11" t="s">
        <v>2052</v>
      </c>
      <c r="I623" s="11" t="s">
        <v>1992</v>
      </c>
      <c r="J623" s="12">
        <v>6.06</v>
      </c>
    </row>
    <row r="624" spans="7:10" hidden="1" x14ac:dyDescent="0.3">
      <c r="G624" s="10" t="s">
        <v>1260</v>
      </c>
      <c r="H624" s="11" t="s">
        <v>2063</v>
      </c>
      <c r="I624" s="11" t="s">
        <v>1992</v>
      </c>
      <c r="J624" s="12">
        <v>6.19</v>
      </c>
    </row>
    <row r="625" spans="7:10" hidden="1" x14ac:dyDescent="0.3">
      <c r="G625" s="10" t="s">
        <v>1503</v>
      </c>
      <c r="H625" s="11" t="s">
        <v>2074</v>
      </c>
      <c r="I625" s="11" t="s">
        <v>1992</v>
      </c>
      <c r="J625" s="12">
        <v>4.91</v>
      </c>
    </row>
    <row r="626" spans="7:10" hidden="1" x14ac:dyDescent="0.3">
      <c r="G626" s="10" t="s">
        <v>67</v>
      </c>
      <c r="H626" s="11" t="s">
        <v>2034</v>
      </c>
      <c r="I626" s="11" t="s">
        <v>2017</v>
      </c>
      <c r="J626" s="12">
        <v>43.65</v>
      </c>
    </row>
    <row r="627" spans="7:10" hidden="1" x14ac:dyDescent="0.3">
      <c r="G627" s="10" t="s">
        <v>117</v>
      </c>
      <c r="H627" s="11" t="s">
        <v>2034</v>
      </c>
      <c r="I627" s="11" t="s">
        <v>2017</v>
      </c>
      <c r="J627" s="12">
        <v>32.130000000000003</v>
      </c>
    </row>
    <row r="628" spans="7:10" hidden="1" x14ac:dyDescent="0.3">
      <c r="G628" s="10" t="s">
        <v>129</v>
      </c>
      <c r="H628" s="11" t="s">
        <v>2034</v>
      </c>
      <c r="I628" s="11" t="s">
        <v>2017</v>
      </c>
      <c r="J628" s="12">
        <v>24.5</v>
      </c>
    </row>
    <row r="629" spans="7:10" hidden="1" x14ac:dyDescent="0.3">
      <c r="G629" s="10" t="s">
        <v>165</v>
      </c>
      <c r="H629" s="11" t="s">
        <v>2034</v>
      </c>
      <c r="I629" s="11" t="s">
        <v>2017</v>
      </c>
      <c r="J629" s="12">
        <v>22.26</v>
      </c>
    </row>
    <row r="630" spans="7:10" hidden="1" x14ac:dyDescent="0.3">
      <c r="G630" s="10" t="s">
        <v>177</v>
      </c>
      <c r="H630" s="11" t="s">
        <v>2039</v>
      </c>
      <c r="I630" s="11" t="s">
        <v>2017</v>
      </c>
      <c r="J630" s="12">
        <v>29.07</v>
      </c>
    </row>
    <row r="631" spans="7:10" hidden="1" x14ac:dyDescent="0.3">
      <c r="G631" s="7" t="s">
        <v>349</v>
      </c>
      <c r="H631" s="8" t="s">
        <v>2034</v>
      </c>
      <c r="I631" s="8" t="s">
        <v>2017</v>
      </c>
      <c r="J631" s="9">
        <v>9.61</v>
      </c>
    </row>
    <row r="632" spans="7:10" hidden="1" x14ac:dyDescent="0.3">
      <c r="G632" s="7" t="s">
        <v>378</v>
      </c>
      <c r="H632" s="8" t="s">
        <v>2047</v>
      </c>
      <c r="I632" s="8" t="s">
        <v>2017</v>
      </c>
      <c r="J632" s="9">
        <v>9.0399999999999991</v>
      </c>
    </row>
    <row r="633" spans="7:10" hidden="1" x14ac:dyDescent="0.3">
      <c r="G633" s="10" t="s">
        <v>411</v>
      </c>
      <c r="H633" s="11" t="s">
        <v>2068</v>
      </c>
      <c r="I633" s="11" t="s">
        <v>2017</v>
      </c>
      <c r="J633" s="12">
        <v>9.41</v>
      </c>
    </row>
    <row r="634" spans="7:10" hidden="1" x14ac:dyDescent="0.3">
      <c r="G634" s="10" t="s">
        <v>430</v>
      </c>
      <c r="H634" s="11" t="s">
        <v>2034</v>
      </c>
      <c r="I634" s="11" t="s">
        <v>2017</v>
      </c>
      <c r="J634" s="12">
        <v>10.48</v>
      </c>
    </row>
    <row r="635" spans="7:10" hidden="1" x14ac:dyDescent="0.3">
      <c r="G635" s="7" t="s">
        <v>437</v>
      </c>
      <c r="H635" s="8" t="s">
        <v>2035</v>
      </c>
      <c r="I635" s="8" t="s">
        <v>2017</v>
      </c>
      <c r="J635" s="9">
        <v>9.23</v>
      </c>
    </row>
    <row r="636" spans="7:10" hidden="1" x14ac:dyDescent="0.3">
      <c r="G636" s="10" t="s">
        <v>444</v>
      </c>
      <c r="H636" s="11" t="s">
        <v>2039</v>
      </c>
      <c r="I636" s="11" t="s">
        <v>2017</v>
      </c>
      <c r="J636" s="12">
        <v>15.27</v>
      </c>
    </row>
    <row r="637" spans="7:10" hidden="1" x14ac:dyDescent="0.3">
      <c r="G637" s="7" t="s">
        <v>447</v>
      </c>
      <c r="H637" s="8" t="s">
        <v>2034</v>
      </c>
      <c r="I637" s="8" t="s">
        <v>2017</v>
      </c>
      <c r="J637" s="9">
        <v>7.6</v>
      </c>
    </row>
    <row r="638" spans="7:10" hidden="1" x14ac:dyDescent="0.3">
      <c r="G638" s="10" t="s">
        <v>500</v>
      </c>
      <c r="H638" s="11" t="s">
        <v>2038</v>
      </c>
      <c r="I638" s="11" t="s">
        <v>2017</v>
      </c>
      <c r="J638" s="12">
        <v>13.29</v>
      </c>
    </row>
    <row r="639" spans="7:10" hidden="1" x14ac:dyDescent="0.3">
      <c r="G639" s="7" t="s">
        <v>501</v>
      </c>
      <c r="H639" s="8" t="s">
        <v>2034</v>
      </c>
      <c r="I639" s="8" t="s">
        <v>2017</v>
      </c>
      <c r="J639" s="9">
        <v>6.61</v>
      </c>
    </row>
    <row r="640" spans="7:10" hidden="1" x14ac:dyDescent="0.3">
      <c r="G640" s="7" t="s">
        <v>507</v>
      </c>
      <c r="H640" s="8" t="s">
        <v>2034</v>
      </c>
      <c r="I640" s="8" t="s">
        <v>2017</v>
      </c>
      <c r="J640" s="9">
        <v>13.16</v>
      </c>
    </row>
    <row r="641" spans="7:10" hidden="1" x14ac:dyDescent="0.3">
      <c r="G641" s="10" t="s">
        <v>578</v>
      </c>
      <c r="H641" s="11" t="s">
        <v>2034</v>
      </c>
      <c r="I641" s="11" t="s">
        <v>2017</v>
      </c>
      <c r="J641" s="12">
        <v>8.18</v>
      </c>
    </row>
    <row r="642" spans="7:10" hidden="1" x14ac:dyDescent="0.3">
      <c r="G642" s="7" t="s">
        <v>603</v>
      </c>
      <c r="H642" s="8" t="s">
        <v>2034</v>
      </c>
      <c r="I642" s="8" t="s">
        <v>2017</v>
      </c>
      <c r="J642" s="9">
        <v>14.54</v>
      </c>
    </row>
    <row r="643" spans="7:10" hidden="1" x14ac:dyDescent="0.3">
      <c r="G643" s="7" t="s">
        <v>639</v>
      </c>
      <c r="H643" s="8" t="s">
        <v>2038</v>
      </c>
      <c r="I643" s="8" t="s">
        <v>2017</v>
      </c>
      <c r="J643" s="9">
        <v>13.19</v>
      </c>
    </row>
    <row r="644" spans="7:10" hidden="1" x14ac:dyDescent="0.3">
      <c r="G644" s="7" t="s">
        <v>655</v>
      </c>
      <c r="H644" s="8" t="s">
        <v>2034</v>
      </c>
      <c r="I644" s="8" t="s">
        <v>2017</v>
      </c>
      <c r="J644" s="9">
        <v>6</v>
      </c>
    </row>
    <row r="645" spans="7:10" hidden="1" x14ac:dyDescent="0.3">
      <c r="G645" s="10" t="s">
        <v>656</v>
      </c>
      <c r="H645" s="11" t="s">
        <v>2035</v>
      </c>
      <c r="I645" s="11" t="s">
        <v>2017</v>
      </c>
      <c r="J645" s="12">
        <v>7.04</v>
      </c>
    </row>
    <row r="646" spans="7:10" hidden="1" x14ac:dyDescent="0.3">
      <c r="G646" s="7" t="s">
        <v>2018</v>
      </c>
      <c r="H646" s="8" t="s">
        <v>2034</v>
      </c>
      <c r="I646" s="8" t="s">
        <v>2017</v>
      </c>
      <c r="J646" s="9">
        <v>8.01</v>
      </c>
    </row>
    <row r="647" spans="7:10" hidden="1" x14ac:dyDescent="0.3">
      <c r="G647" s="7" t="s">
        <v>687</v>
      </c>
      <c r="H647" s="8" t="s">
        <v>2034</v>
      </c>
      <c r="I647" s="8" t="s">
        <v>2017</v>
      </c>
      <c r="J647" s="9">
        <v>5.6</v>
      </c>
    </row>
    <row r="648" spans="7:10" hidden="1" x14ac:dyDescent="0.3">
      <c r="G648" s="7" t="s">
        <v>774</v>
      </c>
      <c r="H648" s="8" t="s">
        <v>2035</v>
      </c>
      <c r="I648" s="8" t="s">
        <v>2017</v>
      </c>
      <c r="J648" s="9">
        <v>7.25</v>
      </c>
    </row>
    <row r="649" spans="7:10" hidden="1" x14ac:dyDescent="0.3">
      <c r="G649" s="10" t="s">
        <v>2019</v>
      </c>
      <c r="H649" s="11" t="s">
        <v>2042</v>
      </c>
      <c r="I649" s="11" t="s">
        <v>2017</v>
      </c>
      <c r="J649" s="12">
        <v>4.5999999999999996</v>
      </c>
    </row>
    <row r="650" spans="7:10" hidden="1" x14ac:dyDescent="0.3">
      <c r="G650" s="10" t="s">
        <v>879</v>
      </c>
      <c r="H650" s="11" t="s">
        <v>2039</v>
      </c>
      <c r="I650" s="11" t="s">
        <v>2017</v>
      </c>
      <c r="J650" s="12">
        <v>5.19</v>
      </c>
    </row>
    <row r="651" spans="7:10" hidden="1" x14ac:dyDescent="0.3">
      <c r="G651" s="7" t="s">
        <v>922</v>
      </c>
      <c r="H651" s="8" t="s">
        <v>2060</v>
      </c>
      <c r="I651" s="8" t="s">
        <v>2017</v>
      </c>
      <c r="J651" s="9">
        <v>3.06</v>
      </c>
    </row>
    <row r="652" spans="7:10" hidden="1" x14ac:dyDescent="0.3">
      <c r="G652" s="10" t="s">
        <v>951</v>
      </c>
      <c r="H652" s="11" t="s">
        <v>2036</v>
      </c>
      <c r="I652" s="11" t="s">
        <v>2017</v>
      </c>
      <c r="J652" s="12">
        <v>5.13</v>
      </c>
    </row>
    <row r="653" spans="7:10" hidden="1" x14ac:dyDescent="0.3">
      <c r="G653" s="10" t="s">
        <v>990</v>
      </c>
      <c r="H653" s="11" t="s">
        <v>2035</v>
      </c>
      <c r="I653" s="11" t="s">
        <v>2017</v>
      </c>
      <c r="J653" s="12">
        <v>4.1399999999999997</v>
      </c>
    </row>
    <row r="654" spans="7:10" hidden="1" x14ac:dyDescent="0.3">
      <c r="G654" s="7" t="s">
        <v>993</v>
      </c>
      <c r="H654" s="8" t="s">
        <v>2035</v>
      </c>
      <c r="I654" s="8" t="s">
        <v>2017</v>
      </c>
      <c r="J654" s="9">
        <v>3.94</v>
      </c>
    </row>
    <row r="655" spans="7:10" hidden="1" x14ac:dyDescent="0.3">
      <c r="G655" s="10" t="s">
        <v>1034</v>
      </c>
      <c r="H655" s="11" t="s">
        <v>2034</v>
      </c>
      <c r="I655" s="11" t="s">
        <v>2017</v>
      </c>
      <c r="J655" s="12">
        <v>8.43</v>
      </c>
    </row>
    <row r="656" spans="7:10" hidden="1" x14ac:dyDescent="0.3">
      <c r="G656" s="7" t="s">
        <v>1041</v>
      </c>
      <c r="H656" s="8" t="s">
        <v>2038</v>
      </c>
      <c r="I656" s="8" t="s">
        <v>2017</v>
      </c>
      <c r="J656" s="9">
        <v>2.97</v>
      </c>
    </row>
    <row r="657" spans="7:10" hidden="1" x14ac:dyDescent="0.3">
      <c r="G657" s="10" t="s">
        <v>1056</v>
      </c>
      <c r="H657" s="11" t="s">
        <v>2056</v>
      </c>
      <c r="I657" s="11" t="s">
        <v>2017</v>
      </c>
      <c r="J657" s="12">
        <v>1.46</v>
      </c>
    </row>
    <row r="658" spans="7:10" hidden="1" x14ac:dyDescent="0.3">
      <c r="G658" s="7" t="s">
        <v>1120</v>
      </c>
      <c r="H658" s="8" t="s">
        <v>2034</v>
      </c>
      <c r="I658" s="8" t="s">
        <v>2017</v>
      </c>
      <c r="J658" s="9">
        <v>5.18</v>
      </c>
    </row>
    <row r="659" spans="7:10" hidden="1" x14ac:dyDescent="0.3">
      <c r="G659" s="10" t="s">
        <v>1151</v>
      </c>
      <c r="H659" s="11" t="s">
        <v>1975</v>
      </c>
      <c r="I659" s="11" t="s">
        <v>2017</v>
      </c>
      <c r="J659" s="12">
        <v>2.5299999999999998</v>
      </c>
    </row>
    <row r="660" spans="7:10" hidden="1" x14ac:dyDescent="0.3">
      <c r="G660" s="10" t="s">
        <v>1169</v>
      </c>
      <c r="H660" s="11" t="s">
        <v>2034</v>
      </c>
      <c r="I660" s="11" t="s">
        <v>2017</v>
      </c>
      <c r="J660" s="12">
        <v>6.35</v>
      </c>
    </row>
    <row r="661" spans="7:10" hidden="1" x14ac:dyDescent="0.3">
      <c r="G661" s="10" t="s">
        <v>1209</v>
      </c>
      <c r="H661" s="11" t="s">
        <v>2034</v>
      </c>
      <c r="I661" s="11" t="s">
        <v>2017</v>
      </c>
      <c r="J661" s="12">
        <v>1.9</v>
      </c>
    </row>
    <row r="662" spans="7:10" hidden="1" x14ac:dyDescent="0.3">
      <c r="G662" s="7" t="s">
        <v>1222</v>
      </c>
      <c r="H662" s="8" t="s">
        <v>2034</v>
      </c>
      <c r="I662" s="8" t="s">
        <v>2017</v>
      </c>
      <c r="J662" s="9">
        <v>3.51</v>
      </c>
    </row>
    <row r="663" spans="7:10" hidden="1" x14ac:dyDescent="0.3">
      <c r="G663" s="7" t="s">
        <v>1224</v>
      </c>
      <c r="H663" s="8" t="s">
        <v>2038</v>
      </c>
      <c r="I663" s="8" t="s">
        <v>2017</v>
      </c>
      <c r="J663" s="9">
        <v>4.45</v>
      </c>
    </row>
    <row r="664" spans="7:10" hidden="1" x14ac:dyDescent="0.3">
      <c r="G664" s="10" t="s">
        <v>1234</v>
      </c>
      <c r="H664" s="11" t="s">
        <v>2036</v>
      </c>
      <c r="I664" s="11" t="s">
        <v>2017</v>
      </c>
      <c r="J664" s="12">
        <v>4.42</v>
      </c>
    </row>
    <row r="665" spans="7:10" hidden="1" x14ac:dyDescent="0.3">
      <c r="G665" s="10" t="s">
        <v>1285</v>
      </c>
      <c r="H665" s="11" t="s">
        <v>2047</v>
      </c>
      <c r="I665" s="11" t="s">
        <v>2017</v>
      </c>
      <c r="J665" s="12">
        <v>8.7799999999999994</v>
      </c>
    </row>
    <row r="666" spans="7:10" hidden="1" x14ac:dyDescent="0.3">
      <c r="G666" s="7" t="s">
        <v>1343</v>
      </c>
      <c r="H666" s="8" t="s">
        <v>2034</v>
      </c>
      <c r="I666" s="8" t="s">
        <v>2017</v>
      </c>
      <c r="J666" s="9">
        <v>5.19</v>
      </c>
    </row>
    <row r="667" spans="7:10" hidden="1" x14ac:dyDescent="0.3">
      <c r="G667" s="7" t="s">
        <v>1398</v>
      </c>
      <c r="H667" s="8" t="s">
        <v>2034</v>
      </c>
      <c r="I667" s="8" t="s">
        <v>2017</v>
      </c>
      <c r="J667" s="9">
        <v>3</v>
      </c>
    </row>
    <row r="668" spans="7:10" hidden="1" x14ac:dyDescent="0.3">
      <c r="G668" s="10" t="s">
        <v>1485</v>
      </c>
      <c r="H668" s="11" t="s">
        <v>2063</v>
      </c>
      <c r="I668" s="11" t="s">
        <v>2017</v>
      </c>
      <c r="J668" s="12">
        <v>2.23</v>
      </c>
    </row>
    <row r="669" spans="7:10" hidden="1" x14ac:dyDescent="0.3">
      <c r="G669" s="10" t="s">
        <v>1509</v>
      </c>
      <c r="H669" s="11" t="s">
        <v>2034</v>
      </c>
      <c r="I669" s="11" t="s">
        <v>2017</v>
      </c>
      <c r="J669" s="12">
        <v>4.32</v>
      </c>
    </row>
    <row r="670" spans="7:10" hidden="1" x14ac:dyDescent="0.3">
      <c r="G670" s="7" t="s">
        <v>1534</v>
      </c>
      <c r="H670" s="8" t="s">
        <v>2038</v>
      </c>
      <c r="I670" s="8" t="s">
        <v>2017</v>
      </c>
      <c r="J670" s="9">
        <v>3.09</v>
      </c>
    </row>
    <row r="671" spans="7:10" hidden="1" x14ac:dyDescent="0.3">
      <c r="G671" s="7" t="s">
        <v>1536</v>
      </c>
      <c r="H671" s="8" t="s">
        <v>2034</v>
      </c>
      <c r="I671" s="8" t="s">
        <v>2017</v>
      </c>
      <c r="J671" s="9">
        <v>2.5099999999999998</v>
      </c>
    </row>
    <row r="672" spans="7:10" hidden="1" x14ac:dyDescent="0.3">
      <c r="G672" s="10" t="s">
        <v>1537</v>
      </c>
      <c r="H672" s="11" t="s">
        <v>2034</v>
      </c>
      <c r="I672" s="11" t="s">
        <v>2017</v>
      </c>
      <c r="J672" s="12">
        <v>3.37</v>
      </c>
    </row>
    <row r="673" spans="7:10" hidden="1" x14ac:dyDescent="0.3">
      <c r="G673" s="10" t="s">
        <v>1581</v>
      </c>
      <c r="H673" s="11" t="s">
        <v>2038</v>
      </c>
      <c r="I673" s="11" t="s">
        <v>2017</v>
      </c>
      <c r="J673" s="12">
        <v>10.17</v>
      </c>
    </row>
    <row r="674" spans="7:10" hidden="1" x14ac:dyDescent="0.3">
      <c r="G674" s="7" t="s">
        <v>1720</v>
      </c>
      <c r="H674" s="8" t="s">
        <v>2035</v>
      </c>
      <c r="I674" s="8" t="s">
        <v>2017</v>
      </c>
      <c r="J674" s="9">
        <v>3.77</v>
      </c>
    </row>
    <row r="675" spans="7:10" hidden="1" x14ac:dyDescent="0.3">
      <c r="G675" s="10" t="s">
        <v>1725</v>
      </c>
      <c r="H675" s="11" t="s">
        <v>2035</v>
      </c>
      <c r="I675" s="11" t="s">
        <v>2017</v>
      </c>
      <c r="J675" s="12">
        <v>2.4300000000000002</v>
      </c>
    </row>
    <row r="676" spans="7:10" hidden="1" x14ac:dyDescent="0.3">
      <c r="G676" s="7" t="s">
        <v>1751</v>
      </c>
      <c r="H676" s="8" t="s">
        <v>2066</v>
      </c>
      <c r="I676" s="8" t="s">
        <v>2017</v>
      </c>
      <c r="J676" s="9">
        <v>0.6</v>
      </c>
    </row>
    <row r="677" spans="7:10" hidden="1" x14ac:dyDescent="0.3">
      <c r="G677" s="10" t="s">
        <v>1755</v>
      </c>
      <c r="H677" s="11" t="s">
        <v>2041</v>
      </c>
      <c r="I677" s="11" t="s">
        <v>2017</v>
      </c>
      <c r="J677" s="12">
        <v>2.83</v>
      </c>
    </row>
    <row r="678" spans="7:10" hidden="1" x14ac:dyDescent="0.3">
      <c r="G678" s="7" t="s">
        <v>1772</v>
      </c>
      <c r="H678" s="8" t="s">
        <v>2034</v>
      </c>
      <c r="I678" s="8" t="s">
        <v>2017</v>
      </c>
      <c r="J678" s="9">
        <v>0.34</v>
      </c>
    </row>
    <row r="679" spans="7:10" hidden="1" x14ac:dyDescent="0.3">
      <c r="G679" s="7" t="s">
        <v>2020</v>
      </c>
      <c r="H679" s="8" t="s">
        <v>2034</v>
      </c>
      <c r="I679" s="8" t="s">
        <v>2017</v>
      </c>
      <c r="J679" s="9">
        <v>0.99</v>
      </c>
    </row>
    <row r="680" spans="7:10" hidden="1" x14ac:dyDescent="0.3">
      <c r="G680" s="10" t="s">
        <v>1784</v>
      </c>
      <c r="H680" s="11" t="s">
        <v>2047</v>
      </c>
      <c r="I680" s="11" t="s">
        <v>2017</v>
      </c>
      <c r="J680" s="12">
        <v>1.86</v>
      </c>
    </row>
    <row r="681" spans="7:10" hidden="1" x14ac:dyDescent="0.3">
      <c r="G681" s="7" t="s">
        <v>1841</v>
      </c>
      <c r="H681" s="8" t="s">
        <v>2038</v>
      </c>
      <c r="I681" s="8" t="s">
        <v>2017</v>
      </c>
      <c r="J681" s="9">
        <v>2.82</v>
      </c>
    </row>
    <row r="682" spans="7:10" hidden="1" x14ac:dyDescent="0.3">
      <c r="G682" s="10" t="s">
        <v>1872</v>
      </c>
      <c r="H682" s="11" t="s">
        <v>2053</v>
      </c>
      <c r="I682" s="11" t="s">
        <v>2017</v>
      </c>
      <c r="J682" s="12">
        <v>3.38</v>
      </c>
    </row>
    <row r="683" spans="7:10" hidden="1" x14ac:dyDescent="0.3">
      <c r="G683" s="7" t="s">
        <v>2021</v>
      </c>
      <c r="H683" s="8" t="s">
        <v>2053</v>
      </c>
      <c r="I683" s="8" t="s">
        <v>2017</v>
      </c>
      <c r="J683" s="9">
        <v>0.34</v>
      </c>
    </row>
    <row r="684" spans="7:10" hidden="1" x14ac:dyDescent="0.3">
      <c r="G684" s="7" t="s">
        <v>1969</v>
      </c>
      <c r="H684" s="8" t="s">
        <v>2038</v>
      </c>
      <c r="I684" s="8" t="s">
        <v>2017</v>
      </c>
      <c r="J684" s="9">
        <v>3.34</v>
      </c>
    </row>
    <row r="685" spans="7:10" hidden="1" x14ac:dyDescent="0.3">
      <c r="G685" s="10" t="s">
        <v>5</v>
      </c>
      <c r="H685" s="11" t="s">
        <v>2034</v>
      </c>
      <c r="I685" s="11" t="s">
        <v>2022</v>
      </c>
      <c r="J685" s="12">
        <v>328.21</v>
      </c>
    </row>
    <row r="686" spans="7:10" hidden="1" x14ac:dyDescent="0.3">
      <c r="G686" s="7" t="s">
        <v>6</v>
      </c>
      <c r="H686" s="8" t="s">
        <v>2036</v>
      </c>
      <c r="I686" s="8" t="s">
        <v>2022</v>
      </c>
      <c r="J686" s="9">
        <v>306.73</v>
      </c>
    </row>
    <row r="687" spans="7:10" hidden="1" x14ac:dyDescent="0.3">
      <c r="G687" s="10" t="s">
        <v>7</v>
      </c>
      <c r="H687" s="11" t="s">
        <v>2035</v>
      </c>
      <c r="I687" s="11" t="s">
        <v>2022</v>
      </c>
      <c r="J687" s="12">
        <v>249.47</v>
      </c>
    </row>
    <row r="688" spans="7:10" hidden="1" x14ac:dyDescent="0.3">
      <c r="G688" s="7" t="s">
        <v>14</v>
      </c>
      <c r="H688" s="8" t="s">
        <v>2039</v>
      </c>
      <c r="I688" s="8" t="s">
        <v>2022</v>
      </c>
      <c r="J688" s="9">
        <v>144.94</v>
      </c>
    </row>
    <row r="689" spans="7:10" hidden="1" x14ac:dyDescent="0.3">
      <c r="G689" s="10" t="s">
        <v>15</v>
      </c>
      <c r="H689" s="11" t="s">
        <v>2034</v>
      </c>
      <c r="I689" s="11" t="s">
        <v>2022</v>
      </c>
      <c r="J689" s="12">
        <v>184.92</v>
      </c>
    </row>
    <row r="690" spans="7:10" hidden="1" x14ac:dyDescent="0.3">
      <c r="G690" s="10" t="s">
        <v>21</v>
      </c>
      <c r="H690" s="11" t="s">
        <v>2034</v>
      </c>
      <c r="I690" s="11" t="s">
        <v>2022</v>
      </c>
      <c r="J690" s="12">
        <v>162.41</v>
      </c>
    </row>
    <row r="691" spans="7:10" hidden="1" x14ac:dyDescent="0.3">
      <c r="G691" s="7" t="s">
        <v>30</v>
      </c>
      <c r="H691" s="8" t="s">
        <v>2042</v>
      </c>
      <c r="I691" s="8" t="s">
        <v>2022</v>
      </c>
      <c r="J691" s="9">
        <v>83.09</v>
      </c>
    </row>
    <row r="692" spans="7:10" hidden="1" x14ac:dyDescent="0.3">
      <c r="G692" s="7" t="s">
        <v>50</v>
      </c>
      <c r="H692" s="8" t="s">
        <v>2044</v>
      </c>
      <c r="I692" s="8" t="s">
        <v>2022</v>
      </c>
      <c r="J692" s="9">
        <v>58.43</v>
      </c>
    </row>
    <row r="693" spans="7:10" hidden="1" x14ac:dyDescent="0.3">
      <c r="G693" s="10" t="s">
        <v>51</v>
      </c>
      <c r="H693" s="11" t="s">
        <v>2045</v>
      </c>
      <c r="I693" s="11" t="s">
        <v>2022</v>
      </c>
      <c r="J693" s="12">
        <v>46.95</v>
      </c>
    </row>
    <row r="694" spans="7:10" hidden="1" x14ac:dyDescent="0.3">
      <c r="G694" s="7" t="s">
        <v>52</v>
      </c>
      <c r="H694" s="8" t="s">
        <v>2046</v>
      </c>
      <c r="I694" s="8" t="s">
        <v>2022</v>
      </c>
      <c r="J694" s="9">
        <v>36.47</v>
      </c>
    </row>
    <row r="695" spans="7:10" hidden="1" x14ac:dyDescent="0.3">
      <c r="G695" s="7" t="s">
        <v>76</v>
      </c>
      <c r="H695" s="8" t="s">
        <v>2045</v>
      </c>
      <c r="I695" s="8" t="s">
        <v>2022</v>
      </c>
      <c r="J695" s="9">
        <v>70.319999999999993</v>
      </c>
    </row>
    <row r="696" spans="7:10" hidden="1" x14ac:dyDescent="0.3">
      <c r="G696" s="10" t="s">
        <v>95</v>
      </c>
      <c r="H696" s="11" t="s">
        <v>2049</v>
      </c>
      <c r="I696" s="11" t="s">
        <v>2022</v>
      </c>
      <c r="J696" s="12">
        <v>57.81</v>
      </c>
    </row>
    <row r="697" spans="7:10" hidden="1" x14ac:dyDescent="0.3">
      <c r="G697" s="7" t="s">
        <v>128</v>
      </c>
      <c r="H697" s="8" t="s">
        <v>2040</v>
      </c>
      <c r="I697" s="8" t="s">
        <v>2022</v>
      </c>
      <c r="J697" s="9">
        <v>47.64</v>
      </c>
    </row>
    <row r="698" spans="7:10" hidden="1" x14ac:dyDescent="0.3">
      <c r="G698" s="10" t="s">
        <v>131</v>
      </c>
      <c r="H698" s="11" t="s">
        <v>2034</v>
      </c>
      <c r="I698" s="11" t="s">
        <v>2022</v>
      </c>
      <c r="J698" s="12">
        <v>82.16</v>
      </c>
    </row>
    <row r="699" spans="7:10" hidden="1" x14ac:dyDescent="0.3">
      <c r="G699" s="7" t="s">
        <v>138</v>
      </c>
      <c r="H699" s="8" t="s">
        <v>2046</v>
      </c>
      <c r="I699" s="8" t="s">
        <v>2022</v>
      </c>
      <c r="J699" s="9">
        <v>35.08</v>
      </c>
    </row>
    <row r="700" spans="7:10" hidden="1" x14ac:dyDescent="0.3">
      <c r="G700" s="7" t="s">
        <v>172</v>
      </c>
      <c r="H700" s="8" t="s">
        <v>2034</v>
      </c>
      <c r="I700" s="8" t="s">
        <v>2022</v>
      </c>
      <c r="J700" s="9">
        <v>44.46</v>
      </c>
    </row>
    <row r="701" spans="7:10" hidden="1" x14ac:dyDescent="0.3">
      <c r="G701" s="7" t="s">
        <v>186</v>
      </c>
      <c r="H701" s="8" t="s">
        <v>2047</v>
      </c>
      <c r="I701" s="8" t="s">
        <v>2022</v>
      </c>
      <c r="J701" s="9">
        <v>14.81</v>
      </c>
    </row>
    <row r="702" spans="7:10" hidden="1" x14ac:dyDescent="0.3">
      <c r="G702" s="10" t="s">
        <v>203</v>
      </c>
      <c r="H702" s="11" t="s">
        <v>2034</v>
      </c>
      <c r="I702" s="11" t="s">
        <v>2022</v>
      </c>
      <c r="J702" s="12">
        <v>15.02</v>
      </c>
    </row>
    <row r="703" spans="7:10" hidden="1" x14ac:dyDescent="0.3">
      <c r="G703" s="10" t="s">
        <v>241</v>
      </c>
      <c r="H703" s="11" t="s">
        <v>2036</v>
      </c>
      <c r="I703" s="11" t="s">
        <v>2022</v>
      </c>
      <c r="J703" s="12">
        <v>14.72</v>
      </c>
    </row>
    <row r="704" spans="7:10" hidden="1" x14ac:dyDescent="0.3">
      <c r="G704" s="10" t="s">
        <v>243</v>
      </c>
      <c r="H704" s="11" t="s">
        <v>2034</v>
      </c>
      <c r="I704" s="11" t="s">
        <v>2022</v>
      </c>
      <c r="J704" s="12">
        <v>10.74</v>
      </c>
    </row>
    <row r="705" spans="7:10" hidden="1" x14ac:dyDescent="0.3">
      <c r="G705" s="10" t="s">
        <v>253</v>
      </c>
      <c r="H705" s="11" t="s">
        <v>2061</v>
      </c>
      <c r="I705" s="11" t="s">
        <v>2022</v>
      </c>
      <c r="J705" s="12">
        <v>13.27</v>
      </c>
    </row>
    <row r="706" spans="7:10" hidden="1" x14ac:dyDescent="0.3">
      <c r="G706" s="10" t="s">
        <v>255</v>
      </c>
      <c r="H706" s="11" t="s">
        <v>2034</v>
      </c>
      <c r="I706" s="11" t="s">
        <v>2022</v>
      </c>
      <c r="J706" s="12">
        <v>20.99</v>
      </c>
    </row>
    <row r="707" spans="7:10" hidden="1" x14ac:dyDescent="0.3">
      <c r="G707" s="7" t="s">
        <v>258</v>
      </c>
      <c r="H707" s="8" t="s">
        <v>2046</v>
      </c>
      <c r="I707" s="8" t="s">
        <v>2022</v>
      </c>
      <c r="J707" s="9">
        <v>10</v>
      </c>
    </row>
    <row r="708" spans="7:10" hidden="1" x14ac:dyDescent="0.3">
      <c r="G708" s="7" t="s">
        <v>290</v>
      </c>
      <c r="H708" s="8" t="s">
        <v>2038</v>
      </c>
      <c r="I708" s="8" t="s">
        <v>2022</v>
      </c>
      <c r="J708" s="9">
        <v>35.54</v>
      </c>
    </row>
    <row r="709" spans="7:10" hidden="1" x14ac:dyDescent="0.3">
      <c r="G709" s="10" t="s">
        <v>294</v>
      </c>
      <c r="H709" s="11" t="s">
        <v>2061</v>
      </c>
      <c r="I709" s="11" t="s">
        <v>2022</v>
      </c>
      <c r="J709" s="12">
        <v>15.08</v>
      </c>
    </row>
    <row r="710" spans="7:10" hidden="1" x14ac:dyDescent="0.3">
      <c r="G710" s="7" t="s">
        <v>297</v>
      </c>
      <c r="H710" s="8" t="s">
        <v>2035</v>
      </c>
      <c r="I710" s="8" t="s">
        <v>2022</v>
      </c>
      <c r="J710" s="9">
        <v>9.32</v>
      </c>
    </row>
    <row r="711" spans="7:10" hidden="1" x14ac:dyDescent="0.3">
      <c r="G711" s="10" t="s">
        <v>300</v>
      </c>
      <c r="H711" s="11" t="s">
        <v>2043</v>
      </c>
      <c r="I711" s="11" t="s">
        <v>2022</v>
      </c>
      <c r="J711" s="12">
        <v>41.71</v>
      </c>
    </row>
    <row r="712" spans="7:10" hidden="1" x14ac:dyDescent="0.3">
      <c r="G712" s="7" t="s">
        <v>305</v>
      </c>
      <c r="H712" s="8" t="s">
        <v>2047</v>
      </c>
      <c r="I712" s="8" t="s">
        <v>2022</v>
      </c>
      <c r="J712" s="9">
        <v>15.12</v>
      </c>
    </row>
    <row r="713" spans="7:10" hidden="1" x14ac:dyDescent="0.3">
      <c r="G713" s="7" t="s">
        <v>307</v>
      </c>
      <c r="H713" s="8" t="s">
        <v>2061</v>
      </c>
      <c r="I713" s="8" t="s">
        <v>2022</v>
      </c>
      <c r="J713" s="9">
        <v>30.13</v>
      </c>
    </row>
    <row r="714" spans="7:10" hidden="1" x14ac:dyDescent="0.3">
      <c r="G714" s="7" t="s">
        <v>331</v>
      </c>
      <c r="H714" s="8" t="s">
        <v>2034</v>
      </c>
      <c r="I714" s="8" t="s">
        <v>2022</v>
      </c>
      <c r="J714" s="9">
        <v>7.59</v>
      </c>
    </row>
    <row r="715" spans="7:10" hidden="1" x14ac:dyDescent="0.3">
      <c r="G715" s="10" t="s">
        <v>344</v>
      </c>
      <c r="H715" s="11" t="s">
        <v>2034</v>
      </c>
      <c r="I715" s="11" t="s">
        <v>2022</v>
      </c>
      <c r="J715" s="12">
        <v>23.25</v>
      </c>
    </row>
    <row r="716" spans="7:10" hidden="1" x14ac:dyDescent="0.3">
      <c r="G716" s="7" t="s">
        <v>353</v>
      </c>
      <c r="H716" s="8" t="s">
        <v>2034</v>
      </c>
      <c r="I716" s="8" t="s">
        <v>2022</v>
      </c>
      <c r="J716" s="9">
        <v>7.12</v>
      </c>
    </row>
    <row r="717" spans="7:10" hidden="1" x14ac:dyDescent="0.3">
      <c r="G717" s="10" t="s">
        <v>360</v>
      </c>
      <c r="H717" s="11" t="s">
        <v>2034</v>
      </c>
      <c r="I717" s="11" t="s">
        <v>2022</v>
      </c>
      <c r="J717" s="12">
        <v>7.58</v>
      </c>
    </row>
    <row r="718" spans="7:10" hidden="1" x14ac:dyDescent="0.3">
      <c r="G718" s="10" t="s">
        <v>367</v>
      </c>
      <c r="H718" s="11" t="s">
        <v>2067</v>
      </c>
      <c r="I718" s="11" t="s">
        <v>2022</v>
      </c>
      <c r="J718" s="12">
        <v>16.579999999999998</v>
      </c>
    </row>
    <row r="719" spans="7:10" hidden="1" x14ac:dyDescent="0.3">
      <c r="G719" s="7" t="s">
        <v>380</v>
      </c>
      <c r="H719" s="8" t="s">
        <v>1977</v>
      </c>
      <c r="I719" s="8" t="s">
        <v>2022</v>
      </c>
      <c r="J719" s="9">
        <v>13.41</v>
      </c>
    </row>
    <row r="720" spans="7:10" hidden="1" x14ac:dyDescent="0.3">
      <c r="G720" s="7" t="s">
        <v>384</v>
      </c>
      <c r="H720" s="8" t="s">
        <v>2047</v>
      </c>
      <c r="I720" s="8" t="s">
        <v>2022</v>
      </c>
      <c r="J720" s="9">
        <v>8.81</v>
      </c>
    </row>
    <row r="721" spans="7:10" hidden="1" x14ac:dyDescent="0.3">
      <c r="G721" s="7" t="s">
        <v>386</v>
      </c>
      <c r="H721" s="8" t="s">
        <v>2063</v>
      </c>
      <c r="I721" s="8" t="s">
        <v>2022</v>
      </c>
      <c r="J721" s="9">
        <v>10.42</v>
      </c>
    </row>
    <row r="722" spans="7:10" hidden="1" x14ac:dyDescent="0.3">
      <c r="G722" s="10" t="s">
        <v>389</v>
      </c>
      <c r="H722" s="11" t="s">
        <v>2047</v>
      </c>
      <c r="I722" s="11" t="s">
        <v>2022</v>
      </c>
      <c r="J722" s="12">
        <v>9.5299999999999994</v>
      </c>
    </row>
    <row r="723" spans="7:10" hidden="1" x14ac:dyDescent="0.3">
      <c r="G723" s="7" t="s">
        <v>392</v>
      </c>
      <c r="H723" s="8" t="s">
        <v>2047</v>
      </c>
      <c r="I723" s="8" t="s">
        <v>2022</v>
      </c>
      <c r="J723" s="9">
        <v>7.52</v>
      </c>
    </row>
    <row r="724" spans="7:10" hidden="1" x14ac:dyDescent="0.3">
      <c r="G724" s="7" t="s">
        <v>415</v>
      </c>
      <c r="H724" s="8" t="s">
        <v>2052</v>
      </c>
      <c r="I724" s="8" t="s">
        <v>2022</v>
      </c>
      <c r="J724" s="9">
        <v>6.69</v>
      </c>
    </row>
    <row r="725" spans="7:10" hidden="1" x14ac:dyDescent="0.3">
      <c r="G725" s="10" t="s">
        <v>426</v>
      </c>
      <c r="H725" s="11" t="s">
        <v>2065</v>
      </c>
      <c r="I725" s="11" t="s">
        <v>2022</v>
      </c>
      <c r="J725" s="12">
        <v>10.93</v>
      </c>
    </row>
    <row r="726" spans="7:10" hidden="1" x14ac:dyDescent="0.3">
      <c r="G726" s="10" t="s">
        <v>468</v>
      </c>
      <c r="H726" s="11" t="s">
        <v>2034</v>
      </c>
      <c r="I726" s="11" t="s">
        <v>2022</v>
      </c>
      <c r="J726" s="12">
        <v>31.17</v>
      </c>
    </row>
    <row r="727" spans="7:10" hidden="1" x14ac:dyDescent="0.3">
      <c r="G727" s="7" t="s">
        <v>469</v>
      </c>
      <c r="H727" s="8" t="s">
        <v>2053</v>
      </c>
      <c r="I727" s="8" t="s">
        <v>2022</v>
      </c>
      <c r="J727" s="9">
        <v>4.58</v>
      </c>
    </row>
    <row r="728" spans="7:10" hidden="1" x14ac:dyDescent="0.3">
      <c r="G728" s="7" t="s">
        <v>473</v>
      </c>
      <c r="H728" s="8" t="s">
        <v>2040</v>
      </c>
      <c r="I728" s="8" t="s">
        <v>2022</v>
      </c>
      <c r="J728" s="9">
        <v>17.05</v>
      </c>
    </row>
    <row r="729" spans="7:10" hidden="1" x14ac:dyDescent="0.3">
      <c r="G729" s="7" t="s">
        <v>499</v>
      </c>
      <c r="H729" s="8" t="s">
        <v>2034</v>
      </c>
      <c r="I729" s="8" t="s">
        <v>2022</v>
      </c>
      <c r="J729" s="9">
        <v>5.92</v>
      </c>
    </row>
    <row r="730" spans="7:10" hidden="1" x14ac:dyDescent="0.3">
      <c r="G730" s="10" t="s">
        <v>533</v>
      </c>
      <c r="H730" s="11" t="s">
        <v>2071</v>
      </c>
      <c r="I730" s="11" t="s">
        <v>2022</v>
      </c>
      <c r="J730" s="12">
        <v>11.45</v>
      </c>
    </row>
    <row r="731" spans="7:10" hidden="1" x14ac:dyDescent="0.3">
      <c r="G731" s="7" t="s">
        <v>573</v>
      </c>
      <c r="H731" s="8" t="s">
        <v>2034</v>
      </c>
      <c r="I731" s="8" t="s">
        <v>2022</v>
      </c>
      <c r="J731" s="9">
        <v>7.19</v>
      </c>
    </row>
    <row r="732" spans="7:10" hidden="1" x14ac:dyDescent="0.3">
      <c r="G732" s="7" t="s">
        <v>593</v>
      </c>
      <c r="H732" s="8" t="s">
        <v>2038</v>
      </c>
      <c r="I732" s="8" t="s">
        <v>2022</v>
      </c>
      <c r="J732" s="9">
        <v>23.35</v>
      </c>
    </row>
    <row r="733" spans="7:10" hidden="1" x14ac:dyDescent="0.3">
      <c r="G733" s="10" t="s">
        <v>606</v>
      </c>
      <c r="H733" s="11" t="s">
        <v>2034</v>
      </c>
      <c r="I733" s="11" t="s">
        <v>2022</v>
      </c>
      <c r="J733" s="12">
        <v>4.67</v>
      </c>
    </row>
    <row r="734" spans="7:10" hidden="1" x14ac:dyDescent="0.3">
      <c r="G734" s="7" t="s">
        <v>627</v>
      </c>
      <c r="H734" s="8" t="s">
        <v>2047</v>
      </c>
      <c r="I734" s="8" t="s">
        <v>2022</v>
      </c>
      <c r="J734" s="9">
        <v>7.27</v>
      </c>
    </row>
    <row r="735" spans="7:10" hidden="1" x14ac:dyDescent="0.3">
      <c r="G735" s="7" t="s">
        <v>645</v>
      </c>
      <c r="H735" s="8" t="s">
        <v>2047</v>
      </c>
      <c r="I735" s="8" t="s">
        <v>2022</v>
      </c>
      <c r="J735" s="9">
        <v>4.1100000000000003</v>
      </c>
    </row>
    <row r="736" spans="7:10" hidden="1" x14ac:dyDescent="0.3">
      <c r="G736" s="7" t="s">
        <v>679</v>
      </c>
      <c r="H736" s="8" t="s">
        <v>2034</v>
      </c>
      <c r="I736" s="8" t="s">
        <v>2022</v>
      </c>
      <c r="J736" s="9">
        <v>11.88</v>
      </c>
    </row>
    <row r="737" spans="7:10" hidden="1" x14ac:dyDescent="0.3">
      <c r="G737" s="7" t="s">
        <v>693</v>
      </c>
      <c r="H737" s="8" t="s">
        <v>2047</v>
      </c>
      <c r="I737" s="8" t="s">
        <v>2022</v>
      </c>
      <c r="J737" s="9">
        <v>4.3899999999999997</v>
      </c>
    </row>
    <row r="738" spans="7:10" hidden="1" x14ac:dyDescent="0.3">
      <c r="G738" s="7" t="s">
        <v>695</v>
      </c>
      <c r="H738" s="8" t="s">
        <v>2034</v>
      </c>
      <c r="I738" s="8" t="s">
        <v>2022</v>
      </c>
      <c r="J738" s="9">
        <v>3.52</v>
      </c>
    </row>
    <row r="739" spans="7:10" hidden="1" x14ac:dyDescent="0.3">
      <c r="G739" s="7" t="s">
        <v>709</v>
      </c>
      <c r="H739" s="8" t="s">
        <v>2075</v>
      </c>
      <c r="I739" s="8" t="s">
        <v>2022</v>
      </c>
      <c r="J739" s="9">
        <v>10.15</v>
      </c>
    </row>
    <row r="740" spans="7:10" hidden="1" x14ac:dyDescent="0.3">
      <c r="G740" s="10" t="s">
        <v>712</v>
      </c>
      <c r="H740" s="11" t="s">
        <v>2034</v>
      </c>
      <c r="I740" s="11" t="s">
        <v>2022</v>
      </c>
      <c r="J740" s="12">
        <v>3.62</v>
      </c>
    </row>
    <row r="741" spans="7:10" hidden="1" x14ac:dyDescent="0.3">
      <c r="G741" s="10" t="s">
        <v>716</v>
      </c>
      <c r="H741" s="11" t="s">
        <v>2038</v>
      </c>
      <c r="I741" s="11" t="s">
        <v>2022</v>
      </c>
      <c r="J741" s="12">
        <v>4.47</v>
      </c>
    </row>
    <row r="742" spans="7:10" hidden="1" x14ac:dyDescent="0.3">
      <c r="G742" s="10" t="s">
        <v>728</v>
      </c>
      <c r="H742" s="11" t="s">
        <v>2043</v>
      </c>
      <c r="I742" s="11" t="s">
        <v>2022</v>
      </c>
      <c r="J742" s="12">
        <v>10.47</v>
      </c>
    </row>
    <row r="743" spans="7:10" hidden="1" x14ac:dyDescent="0.3">
      <c r="G743" s="10" t="s">
        <v>746</v>
      </c>
      <c r="H743" s="11" t="s">
        <v>2034</v>
      </c>
      <c r="I743" s="11" t="s">
        <v>2022</v>
      </c>
      <c r="J743" s="12">
        <v>9.9499999999999993</v>
      </c>
    </row>
    <row r="744" spans="7:10" hidden="1" x14ac:dyDescent="0.3">
      <c r="G744" s="10" t="s">
        <v>750</v>
      </c>
      <c r="H744" s="11" t="s">
        <v>2073</v>
      </c>
      <c r="I744" s="11" t="s">
        <v>2022</v>
      </c>
      <c r="J744" s="12">
        <v>2.89</v>
      </c>
    </row>
    <row r="745" spans="7:10" hidden="1" x14ac:dyDescent="0.3">
      <c r="G745" s="10" t="s">
        <v>756</v>
      </c>
      <c r="H745" s="11" t="s">
        <v>2038</v>
      </c>
      <c r="I745" s="11" t="s">
        <v>2022</v>
      </c>
      <c r="J745" s="12">
        <v>19.21</v>
      </c>
    </row>
    <row r="746" spans="7:10" hidden="1" x14ac:dyDescent="0.3">
      <c r="G746" s="10" t="s">
        <v>762</v>
      </c>
      <c r="H746" s="11" t="s">
        <v>2056</v>
      </c>
      <c r="I746" s="11" t="s">
        <v>2022</v>
      </c>
      <c r="J746" s="12">
        <v>4.49</v>
      </c>
    </row>
    <row r="747" spans="7:10" hidden="1" x14ac:dyDescent="0.3">
      <c r="G747" s="10" t="s">
        <v>767</v>
      </c>
      <c r="H747" s="11" t="s">
        <v>2046</v>
      </c>
      <c r="I747" s="11" t="s">
        <v>2022</v>
      </c>
      <c r="J747" s="12">
        <v>4.7300000000000004</v>
      </c>
    </row>
    <row r="748" spans="7:10" hidden="1" x14ac:dyDescent="0.3">
      <c r="G748" s="7" t="s">
        <v>785</v>
      </c>
      <c r="H748" s="8" t="s">
        <v>2053</v>
      </c>
      <c r="I748" s="8" t="s">
        <v>2022</v>
      </c>
      <c r="J748" s="9">
        <v>11.79</v>
      </c>
    </row>
    <row r="749" spans="7:10" hidden="1" x14ac:dyDescent="0.3">
      <c r="G749" s="10" t="s">
        <v>788</v>
      </c>
      <c r="H749" s="11" t="s">
        <v>2051</v>
      </c>
      <c r="I749" s="11" t="s">
        <v>2022</v>
      </c>
      <c r="J749" s="12">
        <v>4.33</v>
      </c>
    </row>
    <row r="750" spans="7:10" hidden="1" x14ac:dyDescent="0.3">
      <c r="G750" s="7" t="s">
        <v>874</v>
      </c>
      <c r="H750" s="8" t="s">
        <v>2051</v>
      </c>
      <c r="I750" s="8" t="s">
        <v>2022</v>
      </c>
      <c r="J750" s="9">
        <v>3.55</v>
      </c>
    </row>
    <row r="751" spans="7:10" hidden="1" x14ac:dyDescent="0.3">
      <c r="G751" s="7" t="s">
        <v>918</v>
      </c>
      <c r="H751" s="8" t="s">
        <v>2038</v>
      </c>
      <c r="I751" s="8" t="s">
        <v>2022</v>
      </c>
      <c r="J751" s="9">
        <v>20.100000000000001</v>
      </c>
    </row>
    <row r="752" spans="7:10" hidden="1" x14ac:dyDescent="0.3">
      <c r="G752" s="10" t="s">
        <v>919</v>
      </c>
      <c r="H752" s="11" t="s">
        <v>2034</v>
      </c>
      <c r="I752" s="11" t="s">
        <v>2022</v>
      </c>
      <c r="J752" s="12">
        <v>16.579999999999998</v>
      </c>
    </row>
    <row r="753" spans="7:10" hidden="1" x14ac:dyDescent="0.3">
      <c r="G753" s="7" t="s">
        <v>950</v>
      </c>
      <c r="H753" s="8" t="s">
        <v>2034</v>
      </c>
      <c r="I753" s="8" t="s">
        <v>2022</v>
      </c>
      <c r="J753" s="9">
        <v>4.54</v>
      </c>
    </row>
    <row r="754" spans="7:10" hidden="1" x14ac:dyDescent="0.3">
      <c r="G754" s="10" t="s">
        <v>965</v>
      </c>
      <c r="H754" s="11" t="s">
        <v>2034</v>
      </c>
      <c r="I754" s="11" t="s">
        <v>2022</v>
      </c>
      <c r="J754" s="12">
        <v>4.6399999999999997</v>
      </c>
    </row>
    <row r="755" spans="7:10" hidden="1" x14ac:dyDescent="0.3">
      <c r="G755" s="7" t="s">
        <v>970</v>
      </c>
      <c r="H755" s="8" t="s">
        <v>1975</v>
      </c>
      <c r="I755" s="8" t="s">
        <v>2022</v>
      </c>
      <c r="J755" s="9">
        <v>1.92</v>
      </c>
    </row>
    <row r="756" spans="7:10" hidden="1" x14ac:dyDescent="0.3">
      <c r="G756" s="10" t="s">
        <v>1020</v>
      </c>
      <c r="H756" s="11" t="s">
        <v>2034</v>
      </c>
      <c r="I756" s="11" t="s">
        <v>2022</v>
      </c>
      <c r="J756" s="12">
        <v>2.19</v>
      </c>
    </row>
    <row r="757" spans="7:10" hidden="1" x14ac:dyDescent="0.3">
      <c r="G757" s="10" t="s">
        <v>1032</v>
      </c>
      <c r="H757" s="11" t="s">
        <v>2064</v>
      </c>
      <c r="I757" s="11" t="s">
        <v>2022</v>
      </c>
      <c r="J757" s="12">
        <v>8.5</v>
      </c>
    </row>
    <row r="758" spans="7:10" hidden="1" x14ac:dyDescent="0.3">
      <c r="G758" s="7" t="s">
        <v>1069</v>
      </c>
      <c r="H758" s="8" t="s">
        <v>2061</v>
      </c>
      <c r="I758" s="8" t="s">
        <v>2022</v>
      </c>
      <c r="J758" s="9">
        <v>14.75</v>
      </c>
    </row>
    <row r="759" spans="7:10" hidden="1" x14ac:dyDescent="0.3">
      <c r="G759" s="10" t="s">
        <v>1077</v>
      </c>
      <c r="H759" s="11" t="s">
        <v>2073</v>
      </c>
      <c r="I759" s="11" t="s">
        <v>2022</v>
      </c>
      <c r="J759" s="12">
        <v>2.2599999999999998</v>
      </c>
    </row>
    <row r="760" spans="7:10" hidden="1" x14ac:dyDescent="0.3">
      <c r="G760" s="10" t="s">
        <v>1083</v>
      </c>
      <c r="H760" s="11" t="s">
        <v>2034</v>
      </c>
      <c r="I760" s="11" t="s">
        <v>2022</v>
      </c>
      <c r="J760" s="12">
        <v>3.46</v>
      </c>
    </row>
    <row r="761" spans="7:10" hidden="1" x14ac:dyDescent="0.3">
      <c r="G761" s="7" t="s">
        <v>1100</v>
      </c>
      <c r="H761" s="8" t="s">
        <v>2034</v>
      </c>
      <c r="I761" s="8" t="s">
        <v>2022</v>
      </c>
      <c r="J761" s="9">
        <v>5.58</v>
      </c>
    </row>
    <row r="762" spans="7:10" hidden="1" x14ac:dyDescent="0.3">
      <c r="G762" s="7" t="s">
        <v>1130</v>
      </c>
      <c r="H762" s="8" t="s">
        <v>2039</v>
      </c>
      <c r="I762" s="8" t="s">
        <v>2022</v>
      </c>
      <c r="J762" s="9">
        <v>6.35</v>
      </c>
    </row>
    <row r="763" spans="7:10" hidden="1" x14ac:dyDescent="0.3">
      <c r="G763" s="7" t="s">
        <v>1170</v>
      </c>
      <c r="H763" s="8" t="s">
        <v>2061</v>
      </c>
      <c r="I763" s="8" t="s">
        <v>2022</v>
      </c>
      <c r="J763" s="9">
        <v>14.29</v>
      </c>
    </row>
    <row r="764" spans="7:10" hidden="1" x14ac:dyDescent="0.3">
      <c r="G764" s="10" t="s">
        <v>1171</v>
      </c>
      <c r="H764" s="11" t="s">
        <v>2034</v>
      </c>
      <c r="I764" s="11" t="s">
        <v>2022</v>
      </c>
      <c r="J764" s="12">
        <v>2.37</v>
      </c>
    </row>
    <row r="765" spans="7:10" hidden="1" x14ac:dyDescent="0.3">
      <c r="G765" s="7" t="s">
        <v>1212</v>
      </c>
      <c r="H765" s="8" t="s">
        <v>2084</v>
      </c>
      <c r="I765" s="8" t="s">
        <v>2022</v>
      </c>
      <c r="J765" s="9">
        <v>1.1200000000000001</v>
      </c>
    </row>
    <row r="766" spans="7:10" hidden="1" x14ac:dyDescent="0.3">
      <c r="G766" s="10" t="s">
        <v>1308</v>
      </c>
      <c r="H766" s="11" t="s">
        <v>2067</v>
      </c>
      <c r="I766" s="11" t="s">
        <v>2022</v>
      </c>
      <c r="J766" s="12">
        <v>6.06</v>
      </c>
    </row>
    <row r="767" spans="7:10" hidden="1" x14ac:dyDescent="0.3">
      <c r="G767" s="7" t="s">
        <v>1360</v>
      </c>
      <c r="H767" s="8" t="s">
        <v>2073</v>
      </c>
      <c r="I767" s="8" t="s">
        <v>2022</v>
      </c>
      <c r="J767" s="9">
        <v>1.38</v>
      </c>
    </row>
    <row r="768" spans="7:10" hidden="1" x14ac:dyDescent="0.3">
      <c r="G768" s="7" t="s">
        <v>1372</v>
      </c>
      <c r="H768" s="8" t="s">
        <v>2047</v>
      </c>
      <c r="I768" s="8" t="s">
        <v>2022</v>
      </c>
      <c r="J768" s="9">
        <v>1.0900000000000001</v>
      </c>
    </row>
    <row r="769" spans="7:10" hidden="1" x14ac:dyDescent="0.3">
      <c r="G769" s="7" t="s">
        <v>1376</v>
      </c>
      <c r="H769" s="8" t="s">
        <v>1975</v>
      </c>
      <c r="I769" s="8" t="s">
        <v>2022</v>
      </c>
      <c r="J769" s="9">
        <v>1.81</v>
      </c>
    </row>
    <row r="770" spans="7:10" hidden="1" x14ac:dyDescent="0.3">
      <c r="G770" s="10" t="s">
        <v>1467</v>
      </c>
      <c r="H770" s="11" t="s">
        <v>2049</v>
      </c>
      <c r="I770" s="11" t="s">
        <v>2022</v>
      </c>
      <c r="J770" s="12">
        <v>8.52</v>
      </c>
    </row>
    <row r="771" spans="7:10" hidden="1" x14ac:dyDescent="0.3">
      <c r="G771" s="7" t="s">
        <v>1476</v>
      </c>
      <c r="H771" s="8" t="s">
        <v>2034</v>
      </c>
      <c r="I771" s="8" t="s">
        <v>2022</v>
      </c>
      <c r="J771" s="9">
        <v>1.76</v>
      </c>
    </row>
    <row r="772" spans="7:10" hidden="1" x14ac:dyDescent="0.3">
      <c r="G772" s="10" t="s">
        <v>1487</v>
      </c>
      <c r="H772" s="11" t="s">
        <v>2042</v>
      </c>
      <c r="I772" s="11" t="s">
        <v>2022</v>
      </c>
      <c r="J772" s="12">
        <v>9.0299999999999994</v>
      </c>
    </row>
    <row r="773" spans="7:10" hidden="1" x14ac:dyDescent="0.3">
      <c r="G773" s="10" t="s">
        <v>1489</v>
      </c>
      <c r="H773" s="11" t="s">
        <v>2070</v>
      </c>
      <c r="I773" s="11" t="s">
        <v>2022</v>
      </c>
      <c r="J773" s="12">
        <v>7.27</v>
      </c>
    </row>
    <row r="774" spans="7:10" hidden="1" x14ac:dyDescent="0.3">
      <c r="G774" s="7" t="s">
        <v>1518</v>
      </c>
      <c r="H774" s="8" t="s">
        <v>2034</v>
      </c>
      <c r="I774" s="8" t="s">
        <v>2022</v>
      </c>
      <c r="J774" s="9">
        <v>1.23</v>
      </c>
    </row>
    <row r="775" spans="7:10" hidden="1" x14ac:dyDescent="0.3">
      <c r="G775" s="7" t="s">
        <v>1540</v>
      </c>
      <c r="H775" s="8" t="s">
        <v>2034</v>
      </c>
      <c r="I775" s="8" t="s">
        <v>2022</v>
      </c>
      <c r="J775" s="9">
        <v>1.05</v>
      </c>
    </row>
    <row r="776" spans="7:10" hidden="1" x14ac:dyDescent="0.3">
      <c r="G776" s="7" t="s">
        <v>1580</v>
      </c>
      <c r="H776" s="8" t="s">
        <v>2046</v>
      </c>
      <c r="I776" s="8" t="s">
        <v>2022</v>
      </c>
      <c r="J776" s="9">
        <v>0.89</v>
      </c>
    </row>
    <row r="777" spans="7:10" hidden="1" x14ac:dyDescent="0.3">
      <c r="G777" s="7" t="s">
        <v>1594</v>
      </c>
      <c r="H777" s="8" t="s">
        <v>2034</v>
      </c>
      <c r="I777" s="8" t="s">
        <v>2022</v>
      </c>
      <c r="J777" s="9">
        <v>0.51</v>
      </c>
    </row>
    <row r="778" spans="7:10" hidden="1" x14ac:dyDescent="0.3">
      <c r="G778" s="10" t="s">
        <v>1635</v>
      </c>
      <c r="H778" s="11" t="s">
        <v>2064</v>
      </c>
      <c r="I778" s="11" t="s">
        <v>2022</v>
      </c>
      <c r="J778" s="12">
        <v>7.67</v>
      </c>
    </row>
    <row r="779" spans="7:10" hidden="1" x14ac:dyDescent="0.3">
      <c r="G779" s="7" t="s">
        <v>1712</v>
      </c>
      <c r="H779" s="8" t="s">
        <v>2034</v>
      </c>
      <c r="I779" s="8" t="s">
        <v>2022</v>
      </c>
      <c r="J779" s="9">
        <v>1.5</v>
      </c>
    </row>
    <row r="780" spans="7:10" hidden="1" x14ac:dyDescent="0.3">
      <c r="G780" s="7" t="s">
        <v>1716</v>
      </c>
      <c r="H780" s="8" t="s">
        <v>2066</v>
      </c>
      <c r="I780" s="8" t="s">
        <v>2022</v>
      </c>
      <c r="J780" s="9">
        <v>4.53</v>
      </c>
    </row>
    <row r="781" spans="7:10" hidden="1" x14ac:dyDescent="0.3">
      <c r="G781" s="10" t="s">
        <v>1721</v>
      </c>
      <c r="H781" s="11" t="s">
        <v>2044</v>
      </c>
      <c r="I781" s="11" t="s">
        <v>2022</v>
      </c>
      <c r="J781" s="12">
        <v>9.73</v>
      </c>
    </row>
    <row r="782" spans="7:10" hidden="1" x14ac:dyDescent="0.3">
      <c r="G782" s="7" t="s">
        <v>1722</v>
      </c>
      <c r="H782" s="8" t="s">
        <v>2034</v>
      </c>
      <c r="I782" s="8" t="s">
        <v>2022</v>
      </c>
      <c r="J782" s="9">
        <v>4</v>
      </c>
    </row>
    <row r="783" spans="7:10" hidden="1" x14ac:dyDescent="0.3">
      <c r="G783" s="10" t="s">
        <v>1739</v>
      </c>
      <c r="H783" s="11" t="s">
        <v>2034</v>
      </c>
      <c r="I783" s="11" t="s">
        <v>2022</v>
      </c>
      <c r="J783" s="12">
        <v>3.1</v>
      </c>
    </row>
    <row r="784" spans="7:10" hidden="1" x14ac:dyDescent="0.3">
      <c r="G784" s="7" t="s">
        <v>1743</v>
      </c>
      <c r="H784" s="8" t="s">
        <v>2047</v>
      </c>
      <c r="I784" s="8" t="s">
        <v>2022</v>
      </c>
      <c r="J784" s="9">
        <v>1.02</v>
      </c>
    </row>
    <row r="785" spans="7:10" hidden="1" x14ac:dyDescent="0.3">
      <c r="G785" s="10" t="s">
        <v>1744</v>
      </c>
      <c r="H785" s="11" t="s">
        <v>2034</v>
      </c>
      <c r="I785" s="11" t="s">
        <v>2022</v>
      </c>
      <c r="J785" s="12">
        <v>3.96</v>
      </c>
    </row>
    <row r="786" spans="7:10" hidden="1" x14ac:dyDescent="0.3">
      <c r="G786" s="7" t="s">
        <v>1770</v>
      </c>
      <c r="H786" s="8" t="s">
        <v>2034</v>
      </c>
      <c r="I786" s="8" t="s">
        <v>2022</v>
      </c>
      <c r="J786" s="9">
        <v>8.5500000000000007</v>
      </c>
    </row>
    <row r="787" spans="7:10" hidden="1" x14ac:dyDescent="0.3">
      <c r="G787" s="10" t="s">
        <v>1842</v>
      </c>
      <c r="H787" s="11" t="s">
        <v>2040</v>
      </c>
      <c r="I787" s="11" t="s">
        <v>2022</v>
      </c>
      <c r="J787" s="12">
        <v>0.76</v>
      </c>
    </row>
    <row r="788" spans="7:10" hidden="1" x14ac:dyDescent="0.3">
      <c r="G788" s="10" t="s">
        <v>1858</v>
      </c>
      <c r="H788" s="11" t="s">
        <v>2034</v>
      </c>
      <c r="I788" s="11" t="s">
        <v>2022</v>
      </c>
      <c r="J788" s="12">
        <v>1.1200000000000001</v>
      </c>
    </row>
    <row r="789" spans="7:10" hidden="1" x14ac:dyDescent="0.3">
      <c r="G789" s="10" t="s">
        <v>1878</v>
      </c>
      <c r="H789" s="11" t="s">
        <v>2074</v>
      </c>
      <c r="I789" s="11" t="s">
        <v>2022</v>
      </c>
      <c r="J789" s="12">
        <v>0.61</v>
      </c>
    </row>
    <row r="790" spans="7:10" hidden="1" x14ac:dyDescent="0.3">
      <c r="G790" s="7" t="s">
        <v>1938</v>
      </c>
      <c r="H790" s="8" t="s">
        <v>2034</v>
      </c>
      <c r="I790" s="8" t="s">
        <v>2022</v>
      </c>
      <c r="J790" s="9">
        <v>1.35</v>
      </c>
    </row>
    <row r="791" spans="7:10" hidden="1" x14ac:dyDescent="0.3">
      <c r="G791" s="7" t="s">
        <v>176</v>
      </c>
      <c r="H791" s="8" t="s">
        <v>2034</v>
      </c>
      <c r="I791" s="8" t="s">
        <v>2003</v>
      </c>
      <c r="J791" s="9">
        <v>20.46</v>
      </c>
    </row>
    <row r="792" spans="7:10" hidden="1" x14ac:dyDescent="0.3">
      <c r="G792" s="7" t="s">
        <v>234</v>
      </c>
      <c r="H792" s="8" t="s">
        <v>2059</v>
      </c>
      <c r="I792" s="8" t="s">
        <v>2003</v>
      </c>
      <c r="J792" s="9">
        <v>11.09</v>
      </c>
    </row>
    <row r="793" spans="7:10" hidden="1" x14ac:dyDescent="0.3">
      <c r="G793" s="7" t="s">
        <v>565</v>
      </c>
      <c r="H793" s="8" t="s">
        <v>2034</v>
      </c>
      <c r="I793" s="8" t="s">
        <v>2003</v>
      </c>
      <c r="J793" s="9">
        <v>11.55</v>
      </c>
    </row>
    <row r="794" spans="7:10" hidden="1" x14ac:dyDescent="0.3">
      <c r="G794" s="7" t="s">
        <v>571</v>
      </c>
      <c r="H794" s="8" t="s">
        <v>2041</v>
      </c>
      <c r="I794" s="8" t="s">
        <v>2003</v>
      </c>
      <c r="J794" s="9">
        <v>24.49</v>
      </c>
    </row>
    <row r="795" spans="7:10" hidden="1" x14ac:dyDescent="0.3">
      <c r="G795" s="7" t="s">
        <v>575</v>
      </c>
      <c r="H795" s="8" t="s">
        <v>2035</v>
      </c>
      <c r="I795" s="8" t="s">
        <v>2003</v>
      </c>
      <c r="J795" s="9">
        <v>19.77</v>
      </c>
    </row>
    <row r="796" spans="7:10" hidden="1" x14ac:dyDescent="0.3">
      <c r="G796" s="7" t="s">
        <v>615</v>
      </c>
      <c r="H796" s="8" t="s">
        <v>2034</v>
      </c>
      <c r="I796" s="8" t="s">
        <v>2003</v>
      </c>
      <c r="J796" s="9">
        <v>6.48</v>
      </c>
    </row>
    <row r="797" spans="7:10" hidden="1" x14ac:dyDescent="0.3">
      <c r="G797" s="7" t="s">
        <v>621</v>
      </c>
      <c r="H797" s="8" t="s">
        <v>2039</v>
      </c>
      <c r="I797" s="8" t="s">
        <v>2003</v>
      </c>
      <c r="J797" s="9">
        <v>9.6</v>
      </c>
    </row>
    <row r="798" spans="7:10" hidden="1" x14ac:dyDescent="0.3">
      <c r="G798" s="7" t="s">
        <v>676</v>
      </c>
      <c r="H798" s="8" t="s">
        <v>2034</v>
      </c>
      <c r="I798" s="8" t="s">
        <v>2003</v>
      </c>
      <c r="J798" s="9">
        <v>9.35</v>
      </c>
    </row>
    <row r="799" spans="7:10" hidden="1" x14ac:dyDescent="0.3">
      <c r="G799" s="10" t="s">
        <v>681</v>
      </c>
      <c r="H799" s="11" t="s">
        <v>2034</v>
      </c>
      <c r="I799" s="11" t="s">
        <v>2003</v>
      </c>
      <c r="J799" s="12">
        <v>5.98</v>
      </c>
    </row>
    <row r="800" spans="7:10" hidden="1" x14ac:dyDescent="0.3">
      <c r="G800" s="7" t="s">
        <v>691</v>
      </c>
      <c r="H800" s="8" t="s">
        <v>2034</v>
      </c>
      <c r="I800" s="8" t="s">
        <v>2003</v>
      </c>
      <c r="J800" s="9">
        <v>7.11</v>
      </c>
    </row>
    <row r="801" spans="7:10" hidden="1" x14ac:dyDescent="0.3">
      <c r="G801" s="10" t="s">
        <v>732</v>
      </c>
      <c r="H801" s="11" t="s">
        <v>2077</v>
      </c>
      <c r="I801" s="11" t="s">
        <v>2003</v>
      </c>
      <c r="J801" s="12">
        <v>4.9000000000000004</v>
      </c>
    </row>
    <row r="802" spans="7:10" hidden="1" x14ac:dyDescent="0.3">
      <c r="G802" s="10" t="s">
        <v>796</v>
      </c>
      <c r="H802" s="11" t="s">
        <v>2034</v>
      </c>
      <c r="I802" s="11" t="s">
        <v>2003</v>
      </c>
      <c r="J802" s="12">
        <v>6.71</v>
      </c>
    </row>
    <row r="803" spans="7:10" hidden="1" x14ac:dyDescent="0.3">
      <c r="G803" s="7" t="s">
        <v>817</v>
      </c>
      <c r="H803" s="8" t="s">
        <v>2035</v>
      </c>
      <c r="I803" s="8" t="s">
        <v>2003</v>
      </c>
      <c r="J803" s="9">
        <v>22.41</v>
      </c>
    </row>
    <row r="804" spans="7:10" hidden="1" x14ac:dyDescent="0.3">
      <c r="G804" s="7" t="s">
        <v>866</v>
      </c>
      <c r="H804" s="8" t="s">
        <v>2034</v>
      </c>
      <c r="I804" s="8" t="s">
        <v>2003</v>
      </c>
      <c r="J804" s="9">
        <v>4.4400000000000004</v>
      </c>
    </row>
    <row r="805" spans="7:10" hidden="1" x14ac:dyDescent="0.3">
      <c r="G805" s="10" t="s">
        <v>881</v>
      </c>
      <c r="H805" s="11" t="s">
        <v>2035</v>
      </c>
      <c r="I805" s="11" t="s">
        <v>2003</v>
      </c>
      <c r="J805" s="12">
        <v>4.2300000000000004</v>
      </c>
    </row>
    <row r="806" spans="7:10" hidden="1" x14ac:dyDescent="0.3">
      <c r="G806" s="7" t="s">
        <v>882</v>
      </c>
      <c r="H806" s="8" t="s">
        <v>2039</v>
      </c>
      <c r="I806" s="8" t="s">
        <v>2003</v>
      </c>
      <c r="J806" s="9">
        <v>14.39</v>
      </c>
    </row>
    <row r="807" spans="7:10" hidden="1" x14ac:dyDescent="0.3">
      <c r="G807" s="7" t="s">
        <v>944</v>
      </c>
      <c r="H807" s="8" t="s">
        <v>2070</v>
      </c>
      <c r="I807" s="8" t="s">
        <v>2003</v>
      </c>
      <c r="J807" s="9">
        <v>4.3099999999999996</v>
      </c>
    </row>
    <row r="808" spans="7:10" hidden="1" x14ac:dyDescent="0.3">
      <c r="G808" s="7" t="s">
        <v>1108</v>
      </c>
      <c r="H808" s="8" t="s">
        <v>2035</v>
      </c>
      <c r="I808" s="8" t="s">
        <v>2003</v>
      </c>
      <c r="J808" s="9">
        <v>3.68</v>
      </c>
    </row>
    <row r="809" spans="7:10" hidden="1" x14ac:dyDescent="0.3">
      <c r="G809" s="10" t="s">
        <v>1131</v>
      </c>
      <c r="H809" s="11" t="s">
        <v>2035</v>
      </c>
      <c r="I809" s="11" t="s">
        <v>2003</v>
      </c>
      <c r="J809" s="12">
        <v>15.91</v>
      </c>
    </row>
    <row r="810" spans="7:10" hidden="1" x14ac:dyDescent="0.3">
      <c r="G810" s="10" t="s">
        <v>1141</v>
      </c>
      <c r="H810" s="11" t="s">
        <v>2034</v>
      </c>
      <c r="I810" s="11" t="s">
        <v>2003</v>
      </c>
      <c r="J810" s="12">
        <v>5.5</v>
      </c>
    </row>
    <row r="811" spans="7:10" hidden="1" x14ac:dyDescent="0.3">
      <c r="G811" s="10" t="s">
        <v>1205</v>
      </c>
      <c r="H811" s="11" t="s">
        <v>2035</v>
      </c>
      <c r="I811" s="11" t="s">
        <v>2003</v>
      </c>
      <c r="J811" s="12">
        <v>1.62</v>
      </c>
    </row>
    <row r="812" spans="7:10" hidden="1" x14ac:dyDescent="0.3">
      <c r="G812" s="7" t="s">
        <v>1243</v>
      </c>
      <c r="H812" s="8" t="s">
        <v>2034</v>
      </c>
      <c r="I812" s="8" t="s">
        <v>2003</v>
      </c>
      <c r="J812" s="9">
        <v>2.35</v>
      </c>
    </row>
    <row r="813" spans="7:10" hidden="1" x14ac:dyDescent="0.3">
      <c r="G813" s="10" t="s">
        <v>1265</v>
      </c>
      <c r="H813" s="11" t="s">
        <v>2034</v>
      </c>
      <c r="I813" s="11" t="s">
        <v>2003</v>
      </c>
      <c r="J813" s="12">
        <v>1.74</v>
      </c>
    </row>
    <row r="814" spans="7:10" hidden="1" x14ac:dyDescent="0.3">
      <c r="G814" s="7" t="s">
        <v>1366</v>
      </c>
      <c r="H814" s="8" t="s">
        <v>2035</v>
      </c>
      <c r="I814" s="8" t="s">
        <v>2003</v>
      </c>
      <c r="J814" s="9">
        <v>0.63</v>
      </c>
    </row>
    <row r="815" spans="7:10" hidden="1" x14ac:dyDescent="0.3">
      <c r="G815" s="10" t="s">
        <v>1385</v>
      </c>
      <c r="H815" s="11" t="s">
        <v>2034</v>
      </c>
      <c r="I815" s="11" t="s">
        <v>2003</v>
      </c>
      <c r="J815" s="12">
        <v>3.78</v>
      </c>
    </row>
    <row r="816" spans="7:10" hidden="1" x14ac:dyDescent="0.3">
      <c r="G816" s="7" t="s">
        <v>1414</v>
      </c>
      <c r="H816" s="8" t="s">
        <v>1975</v>
      </c>
      <c r="I816" s="8" t="s">
        <v>2003</v>
      </c>
      <c r="J816" s="9">
        <v>2.86</v>
      </c>
    </row>
    <row r="817" spans="7:10" hidden="1" x14ac:dyDescent="0.3">
      <c r="G817" s="10" t="s">
        <v>1495</v>
      </c>
      <c r="H817" s="11" t="s">
        <v>2035</v>
      </c>
      <c r="I817" s="11" t="s">
        <v>2003</v>
      </c>
      <c r="J817" s="12">
        <v>1.39</v>
      </c>
    </row>
    <row r="818" spans="7:10" hidden="1" x14ac:dyDescent="0.3">
      <c r="G818" s="10" t="s">
        <v>1561</v>
      </c>
      <c r="H818" s="11" t="s">
        <v>2074</v>
      </c>
      <c r="I818" s="11" t="s">
        <v>2003</v>
      </c>
      <c r="J818" s="12">
        <v>1.44</v>
      </c>
    </row>
    <row r="819" spans="7:10" hidden="1" x14ac:dyDescent="0.3">
      <c r="G819" s="10" t="s">
        <v>1579</v>
      </c>
      <c r="H819" s="11" t="s">
        <v>2035</v>
      </c>
      <c r="I819" s="11" t="s">
        <v>2003</v>
      </c>
      <c r="J819" s="12">
        <v>2.93</v>
      </c>
    </row>
    <row r="820" spans="7:10" hidden="1" x14ac:dyDescent="0.3">
      <c r="G820" s="7" t="s">
        <v>1820</v>
      </c>
      <c r="H820" s="8" t="s">
        <v>2034</v>
      </c>
      <c r="I820" s="8" t="s">
        <v>2003</v>
      </c>
      <c r="J820" s="9">
        <v>4.04</v>
      </c>
    </row>
    <row r="821" spans="7:10" hidden="1" x14ac:dyDescent="0.3">
      <c r="G821" s="7" t="s">
        <v>1849</v>
      </c>
      <c r="H821" s="8" t="s">
        <v>2043</v>
      </c>
      <c r="I821" s="8" t="s">
        <v>2003</v>
      </c>
      <c r="J821" s="9">
        <v>0.74</v>
      </c>
    </row>
    <row r="822" spans="7:10" hidden="1" x14ac:dyDescent="0.3">
      <c r="G822" s="10" t="s">
        <v>1931</v>
      </c>
      <c r="H822" s="11" t="s">
        <v>2042</v>
      </c>
      <c r="I822" s="11" t="s">
        <v>2003</v>
      </c>
      <c r="J822" s="12">
        <v>4.4000000000000004</v>
      </c>
    </row>
    <row r="823" spans="7:10" hidden="1" x14ac:dyDescent="0.3">
      <c r="G823" s="7" t="s">
        <v>88</v>
      </c>
      <c r="H823" s="8" t="s">
        <v>2041</v>
      </c>
      <c r="I823" s="8" t="s">
        <v>2030</v>
      </c>
      <c r="J823" s="9">
        <v>58.58</v>
      </c>
    </row>
    <row r="824" spans="7:10" hidden="1" x14ac:dyDescent="0.3">
      <c r="G824" s="7" t="s">
        <v>108</v>
      </c>
      <c r="H824" s="8" t="s">
        <v>2034</v>
      </c>
      <c r="I824" s="8" t="s">
        <v>2030</v>
      </c>
      <c r="J824" s="9">
        <v>42.58</v>
      </c>
    </row>
    <row r="825" spans="7:10" hidden="1" x14ac:dyDescent="0.3">
      <c r="G825" s="7" t="s">
        <v>144</v>
      </c>
      <c r="H825" s="8" t="s">
        <v>2054</v>
      </c>
      <c r="I825" s="8" t="s">
        <v>2030</v>
      </c>
      <c r="J825" s="9">
        <v>30.27</v>
      </c>
    </row>
    <row r="826" spans="7:10" hidden="1" x14ac:dyDescent="0.3">
      <c r="G826" s="10" t="s">
        <v>191</v>
      </c>
      <c r="H826" s="11" t="s">
        <v>2038</v>
      </c>
      <c r="I826" s="11" t="s">
        <v>2030</v>
      </c>
      <c r="J826" s="12">
        <v>23.67</v>
      </c>
    </row>
    <row r="827" spans="7:10" hidden="1" x14ac:dyDescent="0.3">
      <c r="G827" s="10" t="s">
        <v>217</v>
      </c>
      <c r="H827" s="11" t="s">
        <v>2034</v>
      </c>
      <c r="I827" s="11" t="s">
        <v>2030</v>
      </c>
      <c r="J827" s="12">
        <v>30.85</v>
      </c>
    </row>
    <row r="828" spans="7:10" hidden="1" x14ac:dyDescent="0.3">
      <c r="G828" s="7" t="s">
        <v>246</v>
      </c>
      <c r="H828" s="8" t="s">
        <v>2034</v>
      </c>
      <c r="I828" s="8" t="s">
        <v>2030</v>
      </c>
      <c r="J828" s="9">
        <v>12.99</v>
      </c>
    </row>
    <row r="829" spans="7:10" hidden="1" x14ac:dyDescent="0.3">
      <c r="G829" s="7" t="s">
        <v>268</v>
      </c>
      <c r="H829" s="8" t="s">
        <v>2034</v>
      </c>
      <c r="I829" s="8" t="s">
        <v>2030</v>
      </c>
      <c r="J829" s="9">
        <v>13.58</v>
      </c>
    </row>
    <row r="830" spans="7:10" hidden="1" x14ac:dyDescent="0.3">
      <c r="G830" s="10" t="s">
        <v>275</v>
      </c>
      <c r="H830" s="11" t="s">
        <v>2038</v>
      </c>
      <c r="I830" s="11" t="s">
        <v>2030</v>
      </c>
      <c r="J830" s="12">
        <v>13.15</v>
      </c>
    </row>
    <row r="831" spans="7:10" hidden="1" x14ac:dyDescent="0.3">
      <c r="G831" s="10" t="s">
        <v>354</v>
      </c>
      <c r="H831" s="11" t="s">
        <v>2034</v>
      </c>
      <c r="I831" s="11" t="s">
        <v>2030</v>
      </c>
      <c r="J831" s="12">
        <v>8.5299999999999994</v>
      </c>
    </row>
    <row r="832" spans="7:10" hidden="1" x14ac:dyDescent="0.3">
      <c r="G832" s="7" t="s">
        <v>394</v>
      </c>
      <c r="H832" s="8" t="s">
        <v>2047</v>
      </c>
      <c r="I832" s="8" t="s">
        <v>2030</v>
      </c>
      <c r="J832" s="9">
        <v>6.23</v>
      </c>
    </row>
    <row r="833" spans="7:10" hidden="1" x14ac:dyDescent="0.3">
      <c r="G833" s="10" t="s">
        <v>407</v>
      </c>
      <c r="H833" s="11" t="s">
        <v>2034</v>
      </c>
      <c r="I833" s="11" t="s">
        <v>2030</v>
      </c>
      <c r="J833" s="12">
        <v>8.6199999999999992</v>
      </c>
    </row>
    <row r="834" spans="7:10" hidden="1" x14ac:dyDescent="0.3">
      <c r="G834" s="10" t="s">
        <v>442</v>
      </c>
      <c r="H834" s="11" t="s">
        <v>2036</v>
      </c>
      <c r="I834" s="11" t="s">
        <v>2030</v>
      </c>
      <c r="J834" s="12">
        <v>17.079999999999998</v>
      </c>
    </row>
    <row r="835" spans="7:10" hidden="1" x14ac:dyDescent="0.3">
      <c r="G835" s="10" t="s">
        <v>476</v>
      </c>
      <c r="H835" s="11" t="s">
        <v>2041</v>
      </c>
      <c r="I835" s="11" t="s">
        <v>2030</v>
      </c>
      <c r="J835" s="12">
        <v>23.02</v>
      </c>
    </row>
    <row r="836" spans="7:10" hidden="1" x14ac:dyDescent="0.3">
      <c r="G836" s="7" t="s">
        <v>515</v>
      </c>
      <c r="H836" s="8" t="s">
        <v>2039</v>
      </c>
      <c r="I836" s="8" t="s">
        <v>2030</v>
      </c>
      <c r="J836" s="9">
        <v>24.71</v>
      </c>
    </row>
    <row r="837" spans="7:10" hidden="1" x14ac:dyDescent="0.3">
      <c r="G837" s="7" t="s">
        <v>538</v>
      </c>
      <c r="H837" s="8" t="s">
        <v>2038</v>
      </c>
      <c r="I837" s="8" t="s">
        <v>2030</v>
      </c>
      <c r="J837" s="9">
        <v>11.39</v>
      </c>
    </row>
    <row r="838" spans="7:10" hidden="1" x14ac:dyDescent="0.3">
      <c r="G838" s="10" t="s">
        <v>545</v>
      </c>
      <c r="H838" s="11" t="s">
        <v>2038</v>
      </c>
      <c r="I838" s="11" t="s">
        <v>2030</v>
      </c>
      <c r="J838" s="12">
        <v>14.98</v>
      </c>
    </row>
    <row r="839" spans="7:10" hidden="1" x14ac:dyDescent="0.3">
      <c r="G839" s="7" t="s">
        <v>548</v>
      </c>
      <c r="H839" s="8" t="s">
        <v>2035</v>
      </c>
      <c r="I839" s="8" t="s">
        <v>2030</v>
      </c>
      <c r="J839" s="9">
        <v>4</v>
      </c>
    </row>
    <row r="840" spans="7:10" hidden="1" x14ac:dyDescent="0.3">
      <c r="G840" s="7" t="s">
        <v>563</v>
      </c>
      <c r="H840" s="8" t="s">
        <v>2038</v>
      </c>
      <c r="I840" s="8" t="s">
        <v>2030</v>
      </c>
      <c r="J840" s="9">
        <v>10.95</v>
      </c>
    </row>
    <row r="841" spans="7:10" hidden="1" x14ac:dyDescent="0.3">
      <c r="G841" s="10" t="s">
        <v>570</v>
      </c>
      <c r="H841" s="11" t="s">
        <v>2066</v>
      </c>
      <c r="I841" s="11" t="s">
        <v>2030</v>
      </c>
      <c r="J841" s="12">
        <v>7.28</v>
      </c>
    </row>
    <row r="842" spans="7:10" hidden="1" x14ac:dyDescent="0.3">
      <c r="G842" s="7" t="s">
        <v>579</v>
      </c>
      <c r="H842" s="8" t="s">
        <v>2035</v>
      </c>
      <c r="I842" s="8" t="s">
        <v>2030</v>
      </c>
      <c r="J842" s="9">
        <v>14.77</v>
      </c>
    </row>
    <row r="843" spans="7:10" hidden="1" x14ac:dyDescent="0.3">
      <c r="G843" s="10" t="s">
        <v>582</v>
      </c>
      <c r="H843" s="11" t="s">
        <v>2034</v>
      </c>
      <c r="I843" s="11" t="s">
        <v>2030</v>
      </c>
      <c r="J843" s="12">
        <v>7.58</v>
      </c>
    </row>
    <row r="844" spans="7:10" hidden="1" x14ac:dyDescent="0.3">
      <c r="G844" s="7" t="s">
        <v>643</v>
      </c>
      <c r="H844" s="8" t="s">
        <v>2042</v>
      </c>
      <c r="I844" s="8" t="s">
        <v>2030</v>
      </c>
      <c r="J844" s="9">
        <v>3.89</v>
      </c>
    </row>
    <row r="845" spans="7:10" hidden="1" x14ac:dyDescent="0.3">
      <c r="G845" s="7" t="s">
        <v>674</v>
      </c>
      <c r="H845" s="8" t="s">
        <v>1975</v>
      </c>
      <c r="I845" s="8" t="s">
        <v>2030</v>
      </c>
      <c r="J845" s="9">
        <v>9.6300000000000008</v>
      </c>
    </row>
    <row r="846" spans="7:10" hidden="1" x14ac:dyDescent="0.3">
      <c r="G846" s="10" t="s">
        <v>675</v>
      </c>
      <c r="H846" s="11" t="s">
        <v>2038</v>
      </c>
      <c r="I846" s="11" t="s">
        <v>2030</v>
      </c>
      <c r="J846" s="12">
        <v>9.85</v>
      </c>
    </row>
    <row r="847" spans="7:10" hidden="1" x14ac:dyDescent="0.3">
      <c r="G847" s="7" t="s">
        <v>689</v>
      </c>
      <c r="H847" s="8" t="s">
        <v>2038</v>
      </c>
      <c r="I847" s="8" t="s">
        <v>2030</v>
      </c>
      <c r="J847" s="9">
        <v>19.87</v>
      </c>
    </row>
    <row r="848" spans="7:10" hidden="1" x14ac:dyDescent="0.3">
      <c r="G848" s="10" t="s">
        <v>726</v>
      </c>
      <c r="H848" s="11" t="s">
        <v>2039</v>
      </c>
      <c r="I848" s="11" t="s">
        <v>2030</v>
      </c>
      <c r="J848" s="12">
        <v>3.24</v>
      </c>
    </row>
    <row r="849" spans="7:10" hidden="1" x14ac:dyDescent="0.3">
      <c r="G849" s="10" t="s">
        <v>754</v>
      </c>
      <c r="H849" s="11" t="s">
        <v>2038</v>
      </c>
      <c r="I849" s="11" t="s">
        <v>2030</v>
      </c>
      <c r="J849" s="12">
        <v>16.36</v>
      </c>
    </row>
    <row r="850" spans="7:10" hidden="1" x14ac:dyDescent="0.3">
      <c r="G850" s="10" t="s">
        <v>773</v>
      </c>
      <c r="H850" s="11" t="s">
        <v>2038</v>
      </c>
      <c r="I850" s="11" t="s">
        <v>2030</v>
      </c>
      <c r="J850" s="12">
        <v>12.06</v>
      </c>
    </row>
    <row r="851" spans="7:10" hidden="1" x14ac:dyDescent="0.3">
      <c r="G851" s="10" t="s">
        <v>808</v>
      </c>
      <c r="H851" s="11" t="s">
        <v>2038</v>
      </c>
      <c r="I851" s="11" t="s">
        <v>2030</v>
      </c>
      <c r="J851" s="12">
        <v>10.32</v>
      </c>
    </row>
    <row r="852" spans="7:10" hidden="1" x14ac:dyDescent="0.3">
      <c r="G852" s="7" t="s">
        <v>823</v>
      </c>
      <c r="H852" s="8" t="s">
        <v>2040</v>
      </c>
      <c r="I852" s="8" t="s">
        <v>2030</v>
      </c>
      <c r="J852" s="9">
        <v>2.02</v>
      </c>
    </row>
    <row r="853" spans="7:10" hidden="1" x14ac:dyDescent="0.3">
      <c r="G853" s="7" t="s">
        <v>834</v>
      </c>
      <c r="H853" s="8" t="s">
        <v>2052</v>
      </c>
      <c r="I853" s="8" t="s">
        <v>2030</v>
      </c>
      <c r="J853" s="9">
        <v>5.03</v>
      </c>
    </row>
    <row r="854" spans="7:10" hidden="1" x14ac:dyDescent="0.3">
      <c r="G854" s="7" t="s">
        <v>854</v>
      </c>
      <c r="H854" s="8" t="s">
        <v>2038</v>
      </c>
      <c r="I854" s="8" t="s">
        <v>2030</v>
      </c>
      <c r="J854" s="9">
        <v>10</v>
      </c>
    </row>
    <row r="855" spans="7:10" hidden="1" x14ac:dyDescent="0.3">
      <c r="G855" s="10" t="s">
        <v>873</v>
      </c>
      <c r="H855" s="11" t="s">
        <v>2052</v>
      </c>
      <c r="I855" s="11" t="s">
        <v>2030</v>
      </c>
      <c r="J855" s="12">
        <v>1.07</v>
      </c>
    </row>
    <row r="856" spans="7:10" hidden="1" x14ac:dyDescent="0.3">
      <c r="G856" s="10" t="s">
        <v>885</v>
      </c>
      <c r="H856" s="11" t="s">
        <v>2034</v>
      </c>
      <c r="I856" s="11" t="s">
        <v>2030</v>
      </c>
      <c r="J856" s="12">
        <v>20.71</v>
      </c>
    </row>
    <row r="857" spans="7:10" hidden="1" x14ac:dyDescent="0.3">
      <c r="G857" s="7" t="s">
        <v>908</v>
      </c>
      <c r="H857" s="8" t="s">
        <v>2074</v>
      </c>
      <c r="I857" s="8" t="s">
        <v>2030</v>
      </c>
      <c r="J857" s="9">
        <v>2.8</v>
      </c>
    </row>
    <row r="858" spans="7:10" hidden="1" x14ac:dyDescent="0.3">
      <c r="G858" s="7" t="s">
        <v>916</v>
      </c>
      <c r="H858" s="8" t="s">
        <v>2047</v>
      </c>
      <c r="I858" s="8" t="s">
        <v>2030</v>
      </c>
      <c r="J858" s="9">
        <v>3.67</v>
      </c>
    </row>
    <row r="859" spans="7:10" hidden="1" x14ac:dyDescent="0.3">
      <c r="G859" s="7" t="s">
        <v>940</v>
      </c>
      <c r="H859" s="8" t="s">
        <v>2034</v>
      </c>
      <c r="I859" s="8" t="s">
        <v>2030</v>
      </c>
      <c r="J859" s="9">
        <v>17.38</v>
      </c>
    </row>
    <row r="860" spans="7:10" hidden="1" x14ac:dyDescent="0.3">
      <c r="G860" s="7" t="s">
        <v>954</v>
      </c>
      <c r="H860" s="8" t="s">
        <v>2043</v>
      </c>
      <c r="I860" s="8" t="s">
        <v>2030</v>
      </c>
      <c r="J860" s="9">
        <v>7.16</v>
      </c>
    </row>
    <row r="861" spans="7:10" hidden="1" x14ac:dyDescent="0.3">
      <c r="G861" s="7" t="s">
        <v>987</v>
      </c>
      <c r="H861" s="8" t="s">
        <v>2038</v>
      </c>
      <c r="I861" s="8" t="s">
        <v>2030</v>
      </c>
      <c r="J861" s="9">
        <v>4.45</v>
      </c>
    </row>
    <row r="862" spans="7:10" hidden="1" x14ac:dyDescent="0.3">
      <c r="G862" s="7" t="s">
        <v>1015</v>
      </c>
      <c r="H862" s="8" t="s">
        <v>2038</v>
      </c>
      <c r="I862" s="8" t="s">
        <v>2030</v>
      </c>
      <c r="J862" s="9">
        <v>7.73</v>
      </c>
    </row>
    <row r="863" spans="7:10" hidden="1" x14ac:dyDescent="0.3">
      <c r="G863" s="7" t="s">
        <v>1073</v>
      </c>
      <c r="H863" s="8" t="s">
        <v>2034</v>
      </c>
      <c r="I863" s="8" t="s">
        <v>2030</v>
      </c>
      <c r="J863" s="9">
        <v>15.69</v>
      </c>
    </row>
    <row r="864" spans="7:10" hidden="1" x14ac:dyDescent="0.3">
      <c r="G864" s="7" t="s">
        <v>1122</v>
      </c>
      <c r="H864" s="8" t="s">
        <v>2043</v>
      </c>
      <c r="I864" s="8" t="s">
        <v>2030</v>
      </c>
      <c r="J864" s="9">
        <v>6.93</v>
      </c>
    </row>
    <row r="865" spans="7:10" hidden="1" x14ac:dyDescent="0.3">
      <c r="G865" s="7" t="s">
        <v>1128</v>
      </c>
      <c r="H865" s="8" t="s">
        <v>2066</v>
      </c>
      <c r="I865" s="8" t="s">
        <v>2030</v>
      </c>
      <c r="J865" s="9">
        <v>6.76</v>
      </c>
    </row>
    <row r="866" spans="7:10" hidden="1" x14ac:dyDescent="0.3">
      <c r="G866" s="7" t="s">
        <v>1136</v>
      </c>
      <c r="H866" s="8" t="s">
        <v>2063</v>
      </c>
      <c r="I866" s="8" t="s">
        <v>2030</v>
      </c>
      <c r="J866" s="9">
        <v>6.4</v>
      </c>
    </row>
    <row r="867" spans="7:10" hidden="1" x14ac:dyDescent="0.3">
      <c r="G867" s="7" t="s">
        <v>1142</v>
      </c>
      <c r="H867" s="8" t="s">
        <v>2038</v>
      </c>
      <c r="I867" s="8" t="s">
        <v>2030</v>
      </c>
      <c r="J867" s="9">
        <v>5.95</v>
      </c>
    </row>
    <row r="868" spans="7:10" hidden="1" x14ac:dyDescent="0.3">
      <c r="G868" s="7" t="s">
        <v>1150</v>
      </c>
      <c r="H868" s="8" t="s">
        <v>2047</v>
      </c>
      <c r="I868" s="8" t="s">
        <v>2030</v>
      </c>
      <c r="J868" s="9">
        <v>8.23</v>
      </c>
    </row>
    <row r="869" spans="7:10" hidden="1" x14ac:dyDescent="0.3">
      <c r="G869" s="10" t="s">
        <v>1163</v>
      </c>
      <c r="H869" s="11" t="s">
        <v>2034</v>
      </c>
      <c r="I869" s="11" t="s">
        <v>2030</v>
      </c>
      <c r="J869" s="12">
        <v>12.12</v>
      </c>
    </row>
    <row r="870" spans="7:10" hidden="1" x14ac:dyDescent="0.3">
      <c r="G870" s="10" t="s">
        <v>1165</v>
      </c>
      <c r="H870" s="11" t="s">
        <v>2037</v>
      </c>
      <c r="I870" s="11" t="s">
        <v>2030</v>
      </c>
      <c r="J870" s="12">
        <v>8</v>
      </c>
    </row>
    <row r="871" spans="7:10" hidden="1" x14ac:dyDescent="0.3">
      <c r="G871" s="7" t="s">
        <v>1194</v>
      </c>
      <c r="H871" s="8" t="s">
        <v>2038</v>
      </c>
      <c r="I871" s="8" t="s">
        <v>2030</v>
      </c>
      <c r="J871" s="9">
        <v>5.86</v>
      </c>
    </row>
    <row r="872" spans="7:10" hidden="1" x14ac:dyDescent="0.3">
      <c r="G872" s="10" t="s">
        <v>1219</v>
      </c>
      <c r="H872" s="11" t="s">
        <v>2034</v>
      </c>
      <c r="I872" s="11" t="s">
        <v>2030</v>
      </c>
      <c r="J872" s="12">
        <v>8.74</v>
      </c>
    </row>
    <row r="873" spans="7:10" hidden="1" x14ac:dyDescent="0.3">
      <c r="G873" s="7" t="s">
        <v>1235</v>
      </c>
      <c r="H873" s="8" t="s">
        <v>2034</v>
      </c>
      <c r="I873" s="8" t="s">
        <v>2030</v>
      </c>
      <c r="J873" s="9">
        <v>5.69</v>
      </c>
    </row>
    <row r="874" spans="7:10" hidden="1" x14ac:dyDescent="0.3">
      <c r="G874" s="7" t="s">
        <v>1247</v>
      </c>
      <c r="H874" s="8" t="s">
        <v>2040</v>
      </c>
      <c r="I874" s="8" t="s">
        <v>2030</v>
      </c>
      <c r="J874" s="9">
        <v>6.24</v>
      </c>
    </row>
    <row r="875" spans="7:10" hidden="1" x14ac:dyDescent="0.3">
      <c r="G875" s="10" t="s">
        <v>1262</v>
      </c>
      <c r="H875" s="11" t="s">
        <v>2034</v>
      </c>
      <c r="I875" s="11" t="s">
        <v>2030</v>
      </c>
      <c r="J875" s="12">
        <v>11.21</v>
      </c>
    </row>
    <row r="876" spans="7:10" hidden="1" x14ac:dyDescent="0.3">
      <c r="G876" s="7" t="s">
        <v>1315</v>
      </c>
      <c r="H876" s="8" t="s">
        <v>2045</v>
      </c>
      <c r="I876" s="8" t="s">
        <v>2030</v>
      </c>
      <c r="J876" s="9">
        <v>3.72</v>
      </c>
    </row>
    <row r="877" spans="7:10" hidden="1" x14ac:dyDescent="0.3">
      <c r="G877" s="7" t="s">
        <v>1317</v>
      </c>
      <c r="H877" s="8" t="s">
        <v>2034</v>
      </c>
      <c r="I877" s="8" t="s">
        <v>2030</v>
      </c>
      <c r="J877" s="9">
        <v>3.9</v>
      </c>
    </row>
    <row r="878" spans="7:10" hidden="1" x14ac:dyDescent="0.3">
      <c r="G878" s="10" t="s">
        <v>1330</v>
      </c>
      <c r="H878" s="11" t="s">
        <v>2045</v>
      </c>
      <c r="I878" s="11" t="s">
        <v>2030</v>
      </c>
      <c r="J878" s="12">
        <v>3.89</v>
      </c>
    </row>
    <row r="879" spans="7:10" hidden="1" x14ac:dyDescent="0.3">
      <c r="G879" s="10" t="s">
        <v>1340</v>
      </c>
      <c r="H879" s="11" t="s">
        <v>2038</v>
      </c>
      <c r="I879" s="11" t="s">
        <v>2030</v>
      </c>
      <c r="J879" s="12">
        <v>7.38</v>
      </c>
    </row>
    <row r="880" spans="7:10" hidden="1" x14ac:dyDescent="0.3">
      <c r="G880" s="10" t="s">
        <v>1353</v>
      </c>
      <c r="H880" s="11" t="s">
        <v>2062</v>
      </c>
      <c r="I880" s="11" t="s">
        <v>2030</v>
      </c>
      <c r="J880" s="12">
        <v>1.73</v>
      </c>
    </row>
    <row r="881" spans="7:10" hidden="1" x14ac:dyDescent="0.3">
      <c r="G881" s="7" t="s">
        <v>1362</v>
      </c>
      <c r="H881" s="8" t="s">
        <v>2035</v>
      </c>
      <c r="I881" s="8" t="s">
        <v>2030</v>
      </c>
      <c r="J881" s="9">
        <v>4.5999999999999996</v>
      </c>
    </row>
    <row r="882" spans="7:10" hidden="1" x14ac:dyDescent="0.3">
      <c r="G882" s="7" t="s">
        <v>1378</v>
      </c>
      <c r="H882" s="8" t="s">
        <v>2043</v>
      </c>
      <c r="I882" s="8" t="s">
        <v>2030</v>
      </c>
      <c r="J882" s="9">
        <v>5.56</v>
      </c>
    </row>
    <row r="883" spans="7:10" hidden="1" x14ac:dyDescent="0.3">
      <c r="G883" s="7" t="s">
        <v>1382</v>
      </c>
      <c r="H883" s="8" t="s">
        <v>2052</v>
      </c>
      <c r="I883" s="8" t="s">
        <v>2030</v>
      </c>
      <c r="J883" s="9">
        <v>4.1500000000000004</v>
      </c>
    </row>
    <row r="884" spans="7:10" hidden="1" x14ac:dyDescent="0.3">
      <c r="G884" s="7" t="s">
        <v>1384</v>
      </c>
      <c r="H884" s="8" t="s">
        <v>2052</v>
      </c>
      <c r="I884" s="8" t="s">
        <v>2030</v>
      </c>
      <c r="J884" s="9">
        <v>8.64</v>
      </c>
    </row>
    <row r="885" spans="7:10" hidden="1" x14ac:dyDescent="0.3">
      <c r="G885" s="7" t="s">
        <v>1480</v>
      </c>
      <c r="H885" s="8" t="s">
        <v>2057</v>
      </c>
      <c r="I885" s="8" t="s">
        <v>2030</v>
      </c>
      <c r="J885" s="9">
        <v>7.78</v>
      </c>
    </row>
    <row r="886" spans="7:10" hidden="1" x14ac:dyDescent="0.3">
      <c r="G886" s="10" t="s">
        <v>1513</v>
      </c>
      <c r="H886" s="11" t="s">
        <v>2069</v>
      </c>
      <c r="I886" s="11" t="s">
        <v>2030</v>
      </c>
      <c r="J886" s="12">
        <v>0.76</v>
      </c>
    </row>
    <row r="887" spans="7:10" hidden="1" x14ac:dyDescent="0.3">
      <c r="G887" s="7" t="s">
        <v>1522</v>
      </c>
      <c r="H887" s="8" t="s">
        <v>2039</v>
      </c>
      <c r="I887" s="8" t="s">
        <v>2030</v>
      </c>
      <c r="J887" s="9">
        <v>7.61</v>
      </c>
    </row>
    <row r="888" spans="7:10" hidden="1" x14ac:dyDescent="0.3">
      <c r="G888" s="7" t="s">
        <v>1542</v>
      </c>
      <c r="H888" s="8" t="s">
        <v>2065</v>
      </c>
      <c r="I888" s="8" t="s">
        <v>2030</v>
      </c>
      <c r="J888" s="9">
        <v>4.1100000000000003</v>
      </c>
    </row>
    <row r="889" spans="7:10" hidden="1" x14ac:dyDescent="0.3">
      <c r="G889" s="7" t="s">
        <v>1560</v>
      </c>
      <c r="H889" s="8" t="s">
        <v>2041</v>
      </c>
      <c r="I889" s="8" t="s">
        <v>2030</v>
      </c>
      <c r="J889" s="9">
        <v>2.71</v>
      </c>
    </row>
    <row r="890" spans="7:10" hidden="1" x14ac:dyDescent="0.3">
      <c r="G890" s="10" t="s">
        <v>1571</v>
      </c>
      <c r="H890" s="11" t="s">
        <v>2051</v>
      </c>
      <c r="I890" s="11" t="s">
        <v>2030</v>
      </c>
      <c r="J890" s="12">
        <v>1.74</v>
      </c>
    </row>
    <row r="891" spans="7:10" hidden="1" x14ac:dyDescent="0.3">
      <c r="G891" s="7" t="s">
        <v>1602</v>
      </c>
      <c r="H891" s="8" t="s">
        <v>2038</v>
      </c>
      <c r="I891" s="8" t="s">
        <v>2030</v>
      </c>
      <c r="J891" s="9">
        <v>4.04</v>
      </c>
    </row>
    <row r="892" spans="7:10" hidden="1" x14ac:dyDescent="0.3">
      <c r="G892" s="10" t="s">
        <v>1609</v>
      </c>
      <c r="H892" s="11" t="s">
        <v>2088</v>
      </c>
      <c r="I892" s="11" t="s">
        <v>2030</v>
      </c>
      <c r="J892" s="12">
        <v>1.95</v>
      </c>
    </row>
    <row r="893" spans="7:10" hidden="1" x14ac:dyDescent="0.3">
      <c r="G893" s="10" t="s">
        <v>1631</v>
      </c>
      <c r="H893" s="11" t="s">
        <v>2052</v>
      </c>
      <c r="I893" s="11" t="s">
        <v>2030</v>
      </c>
      <c r="J893" s="12">
        <v>0.31</v>
      </c>
    </row>
    <row r="894" spans="7:10" hidden="1" x14ac:dyDescent="0.3">
      <c r="G894" s="10" t="s">
        <v>1633</v>
      </c>
      <c r="H894" s="11" t="s">
        <v>2034</v>
      </c>
      <c r="I894" s="11" t="s">
        <v>2030</v>
      </c>
      <c r="J894" s="12">
        <v>5.08</v>
      </c>
    </row>
    <row r="895" spans="7:10" hidden="1" x14ac:dyDescent="0.3">
      <c r="G895" s="7" t="s">
        <v>1692</v>
      </c>
      <c r="H895" s="8" t="s">
        <v>2042</v>
      </c>
      <c r="I895" s="8" t="s">
        <v>2030</v>
      </c>
      <c r="J895" s="9">
        <v>5.52</v>
      </c>
    </row>
    <row r="896" spans="7:10" hidden="1" x14ac:dyDescent="0.3">
      <c r="G896" s="10" t="s">
        <v>1711</v>
      </c>
      <c r="H896" s="11" t="s">
        <v>2038</v>
      </c>
      <c r="I896" s="11" t="s">
        <v>2030</v>
      </c>
      <c r="J896" s="12">
        <v>2.95</v>
      </c>
    </row>
    <row r="897" spans="7:10" hidden="1" x14ac:dyDescent="0.3">
      <c r="G897" s="10" t="s">
        <v>1750</v>
      </c>
      <c r="H897" s="11" t="s">
        <v>2045</v>
      </c>
      <c r="I897" s="11" t="s">
        <v>2030</v>
      </c>
      <c r="J897" s="12">
        <v>2.7</v>
      </c>
    </row>
    <row r="898" spans="7:10" hidden="1" x14ac:dyDescent="0.3">
      <c r="G898" s="7" t="s">
        <v>1785</v>
      </c>
      <c r="H898" s="8" t="s">
        <v>2034</v>
      </c>
      <c r="I898" s="8" t="s">
        <v>2030</v>
      </c>
      <c r="J898" s="9">
        <v>1</v>
      </c>
    </row>
    <row r="899" spans="7:10" hidden="1" x14ac:dyDescent="0.3">
      <c r="G899" s="7" t="s">
        <v>1796</v>
      </c>
      <c r="H899" s="8" t="s">
        <v>2034</v>
      </c>
      <c r="I899" s="8" t="s">
        <v>2030</v>
      </c>
      <c r="J899" s="9">
        <v>4.17</v>
      </c>
    </row>
    <row r="900" spans="7:10" hidden="1" x14ac:dyDescent="0.3">
      <c r="G900" s="10" t="s">
        <v>1838</v>
      </c>
      <c r="H900" s="11" t="s">
        <v>2067</v>
      </c>
      <c r="I900" s="11" t="s">
        <v>2030</v>
      </c>
      <c r="J900" s="12">
        <v>3.96</v>
      </c>
    </row>
    <row r="901" spans="7:10" hidden="1" x14ac:dyDescent="0.3">
      <c r="G901" s="7" t="s">
        <v>1873</v>
      </c>
      <c r="H901" s="8" t="s">
        <v>2091</v>
      </c>
      <c r="I901" s="8" t="s">
        <v>2030</v>
      </c>
      <c r="J901" s="9">
        <v>1.07</v>
      </c>
    </row>
    <row r="902" spans="7:10" hidden="1" x14ac:dyDescent="0.3">
      <c r="G902" s="7" t="s">
        <v>1899</v>
      </c>
      <c r="H902" s="8" t="s">
        <v>2034</v>
      </c>
      <c r="I902" s="8" t="s">
        <v>2030</v>
      </c>
      <c r="J902" s="9">
        <v>3.13</v>
      </c>
    </row>
    <row r="903" spans="7:10" hidden="1" x14ac:dyDescent="0.3">
      <c r="G903" s="10" t="s">
        <v>1904</v>
      </c>
      <c r="H903" s="11" t="s">
        <v>2035</v>
      </c>
      <c r="I903" s="11" t="s">
        <v>2030</v>
      </c>
      <c r="J903" s="12">
        <v>5.09</v>
      </c>
    </row>
    <row r="904" spans="7:10" hidden="1" x14ac:dyDescent="0.3">
      <c r="G904" s="7" t="s">
        <v>1944</v>
      </c>
      <c r="H904" s="8" t="s">
        <v>2052</v>
      </c>
      <c r="I904" s="8" t="s">
        <v>2030</v>
      </c>
      <c r="J904" s="9">
        <v>0.28000000000000003</v>
      </c>
    </row>
    <row r="905" spans="7:10" hidden="1" x14ac:dyDescent="0.3">
      <c r="G905" s="10" t="s">
        <v>1952</v>
      </c>
      <c r="H905" s="11" t="s">
        <v>2054</v>
      </c>
      <c r="I905" s="11" t="s">
        <v>2030</v>
      </c>
      <c r="J905" s="12">
        <v>0.47</v>
      </c>
    </row>
    <row r="906" spans="7:10" hidden="1" x14ac:dyDescent="0.3">
      <c r="G906" s="10" t="s">
        <v>47</v>
      </c>
      <c r="H906" s="11" t="s">
        <v>2043</v>
      </c>
      <c r="I906" s="11" t="s">
        <v>2025</v>
      </c>
      <c r="J906" s="12">
        <v>79.180000000000007</v>
      </c>
    </row>
    <row r="907" spans="7:10" hidden="1" x14ac:dyDescent="0.3">
      <c r="G907" s="10" t="s">
        <v>73</v>
      </c>
      <c r="H907" s="11" t="s">
        <v>2034</v>
      </c>
      <c r="I907" s="11" t="s">
        <v>2025</v>
      </c>
      <c r="J907" s="12">
        <v>38.83</v>
      </c>
    </row>
    <row r="908" spans="7:10" hidden="1" x14ac:dyDescent="0.3">
      <c r="G908" s="10" t="s">
        <v>281</v>
      </c>
      <c r="H908" s="11" t="s">
        <v>2034</v>
      </c>
      <c r="I908" s="11" t="s">
        <v>2025</v>
      </c>
      <c r="J908" s="12">
        <v>13.39</v>
      </c>
    </row>
    <row r="909" spans="7:10" hidden="1" x14ac:dyDescent="0.3">
      <c r="G909" s="7" t="s">
        <v>335</v>
      </c>
      <c r="H909" s="8" t="s">
        <v>2065</v>
      </c>
      <c r="I909" s="8" t="s">
        <v>2025</v>
      </c>
      <c r="J909" s="9">
        <v>8.17</v>
      </c>
    </row>
    <row r="910" spans="7:10" hidden="1" x14ac:dyDescent="0.3">
      <c r="G910" s="10" t="s">
        <v>466</v>
      </c>
      <c r="H910" s="11" t="s">
        <v>2034</v>
      </c>
      <c r="I910" s="11" t="s">
        <v>2025</v>
      </c>
      <c r="J910" s="12">
        <v>7.07</v>
      </c>
    </row>
    <row r="911" spans="7:10" hidden="1" x14ac:dyDescent="0.3">
      <c r="G911" s="7" t="s">
        <v>552</v>
      </c>
      <c r="H911" s="8" t="s">
        <v>2043</v>
      </c>
      <c r="I911" s="8" t="s">
        <v>2025</v>
      </c>
      <c r="J911" s="9">
        <v>6.48</v>
      </c>
    </row>
    <row r="912" spans="7:10" hidden="1" x14ac:dyDescent="0.3">
      <c r="G912" s="10" t="s">
        <v>686</v>
      </c>
      <c r="H912" s="11" t="s">
        <v>2065</v>
      </c>
      <c r="I912" s="11" t="s">
        <v>2025</v>
      </c>
      <c r="J912" s="12">
        <v>4.0599999999999996</v>
      </c>
    </row>
    <row r="913" spans="7:10" hidden="1" x14ac:dyDescent="0.3">
      <c r="G913" s="10" t="s">
        <v>702</v>
      </c>
      <c r="H913" s="11" t="s">
        <v>2037</v>
      </c>
      <c r="I913" s="11" t="s">
        <v>2025</v>
      </c>
      <c r="J913" s="12">
        <v>8.4700000000000006</v>
      </c>
    </row>
    <row r="914" spans="7:10" hidden="1" x14ac:dyDescent="0.3">
      <c r="G914" s="7" t="s">
        <v>795</v>
      </c>
      <c r="H914" s="8" t="s">
        <v>2038</v>
      </c>
      <c r="I914" s="8" t="s">
        <v>2025</v>
      </c>
      <c r="J914" s="9">
        <v>5.93</v>
      </c>
    </row>
    <row r="915" spans="7:10" hidden="1" x14ac:dyDescent="0.3">
      <c r="G915" s="7" t="s">
        <v>914</v>
      </c>
      <c r="H915" s="8" t="s">
        <v>2034</v>
      </c>
      <c r="I915" s="8" t="s">
        <v>2025</v>
      </c>
      <c r="J915" s="9">
        <v>5.84</v>
      </c>
    </row>
    <row r="916" spans="7:10" hidden="1" x14ac:dyDescent="0.3">
      <c r="G916" s="10" t="s">
        <v>923</v>
      </c>
      <c r="H916" s="11" t="s">
        <v>2038</v>
      </c>
      <c r="I916" s="11" t="s">
        <v>2025</v>
      </c>
      <c r="J916" s="12">
        <v>3.44</v>
      </c>
    </row>
    <row r="917" spans="7:10" hidden="1" x14ac:dyDescent="0.3">
      <c r="G917" s="7" t="s">
        <v>962</v>
      </c>
      <c r="H917" s="8" t="s">
        <v>2034</v>
      </c>
      <c r="I917" s="8" t="s">
        <v>2025</v>
      </c>
      <c r="J917" s="9">
        <v>5.85</v>
      </c>
    </row>
    <row r="918" spans="7:10" hidden="1" x14ac:dyDescent="0.3">
      <c r="G918" s="7" t="s">
        <v>1013</v>
      </c>
      <c r="H918" s="8" t="s">
        <v>2041</v>
      </c>
      <c r="I918" s="8" t="s">
        <v>2025</v>
      </c>
      <c r="J918" s="9">
        <v>8.1199999999999992</v>
      </c>
    </row>
    <row r="919" spans="7:10" hidden="1" x14ac:dyDescent="0.3">
      <c r="G919" s="10" t="s">
        <v>1089</v>
      </c>
      <c r="H919" s="11" t="s">
        <v>2034</v>
      </c>
      <c r="I919" s="11" t="s">
        <v>2025</v>
      </c>
      <c r="J919" s="12">
        <v>2.67</v>
      </c>
    </row>
    <row r="920" spans="7:10" hidden="1" x14ac:dyDescent="0.3">
      <c r="G920" s="7" t="s">
        <v>1092</v>
      </c>
      <c r="H920" s="8" t="s">
        <v>2038</v>
      </c>
      <c r="I920" s="8" t="s">
        <v>2025</v>
      </c>
      <c r="J920" s="9">
        <v>5.96</v>
      </c>
    </row>
    <row r="921" spans="7:10" hidden="1" x14ac:dyDescent="0.3">
      <c r="G921" s="10" t="s">
        <v>1129</v>
      </c>
      <c r="H921" s="11" t="s">
        <v>2034</v>
      </c>
      <c r="I921" s="11" t="s">
        <v>2025</v>
      </c>
      <c r="J921" s="12">
        <v>4.9800000000000004</v>
      </c>
    </row>
    <row r="922" spans="7:10" hidden="1" x14ac:dyDescent="0.3">
      <c r="G922" s="7" t="s">
        <v>1166</v>
      </c>
      <c r="H922" s="8" t="s">
        <v>2034</v>
      </c>
      <c r="I922" s="8" t="s">
        <v>2025</v>
      </c>
      <c r="J922" s="9">
        <v>2.4300000000000002</v>
      </c>
    </row>
    <row r="923" spans="7:10" hidden="1" x14ac:dyDescent="0.3">
      <c r="G923" s="10" t="s">
        <v>1217</v>
      </c>
      <c r="H923" s="11" t="s">
        <v>2034</v>
      </c>
      <c r="I923" s="11" t="s">
        <v>2025</v>
      </c>
      <c r="J923" s="12">
        <v>1.67</v>
      </c>
    </row>
    <row r="924" spans="7:10" hidden="1" x14ac:dyDescent="0.3">
      <c r="G924" s="7" t="s">
        <v>1226</v>
      </c>
      <c r="H924" s="8" t="s">
        <v>2051</v>
      </c>
      <c r="I924" s="8" t="s">
        <v>2025</v>
      </c>
      <c r="J924" s="9">
        <v>1.67</v>
      </c>
    </row>
    <row r="925" spans="7:10" hidden="1" x14ac:dyDescent="0.3">
      <c r="G925" s="7" t="s">
        <v>1261</v>
      </c>
      <c r="H925" s="8" t="s">
        <v>2034</v>
      </c>
      <c r="I925" s="8" t="s">
        <v>2025</v>
      </c>
      <c r="J925" s="9">
        <v>1.07</v>
      </c>
    </row>
    <row r="926" spans="7:10" hidden="1" x14ac:dyDescent="0.3">
      <c r="G926" s="10" t="s">
        <v>1301</v>
      </c>
      <c r="H926" s="11" t="s">
        <v>2034</v>
      </c>
      <c r="I926" s="11" t="s">
        <v>2025</v>
      </c>
      <c r="J926" s="12">
        <v>2.0099999999999998</v>
      </c>
    </row>
    <row r="927" spans="7:10" hidden="1" x14ac:dyDescent="0.3">
      <c r="G927" s="10" t="s">
        <v>1328</v>
      </c>
      <c r="H927" s="11" t="s">
        <v>2034</v>
      </c>
      <c r="I927" s="11" t="s">
        <v>2025</v>
      </c>
      <c r="J927" s="12">
        <v>1.95</v>
      </c>
    </row>
    <row r="928" spans="7:10" hidden="1" x14ac:dyDescent="0.3">
      <c r="G928" s="10" t="s">
        <v>1419</v>
      </c>
      <c r="H928" s="11" t="s">
        <v>2034</v>
      </c>
      <c r="I928" s="11" t="s">
        <v>2025</v>
      </c>
      <c r="J928" s="12">
        <v>1.64</v>
      </c>
    </row>
    <row r="929" spans="7:10" hidden="1" x14ac:dyDescent="0.3">
      <c r="G929" s="7" t="s">
        <v>1470</v>
      </c>
      <c r="H929" s="8" t="s">
        <v>2034</v>
      </c>
      <c r="I929" s="8" t="s">
        <v>2025</v>
      </c>
      <c r="J929" s="9">
        <v>1.1200000000000001</v>
      </c>
    </row>
    <row r="930" spans="7:10" hidden="1" x14ac:dyDescent="0.3">
      <c r="G930" s="10" t="s">
        <v>1471</v>
      </c>
      <c r="H930" s="11" t="s">
        <v>2034</v>
      </c>
      <c r="I930" s="11" t="s">
        <v>2025</v>
      </c>
      <c r="J930" s="12">
        <v>2.38</v>
      </c>
    </row>
    <row r="931" spans="7:10" hidden="1" x14ac:dyDescent="0.3">
      <c r="G931" s="10" t="s">
        <v>1541</v>
      </c>
      <c r="H931" s="11" t="s">
        <v>2034</v>
      </c>
      <c r="I931" s="11" t="s">
        <v>2025</v>
      </c>
      <c r="J931" s="12">
        <v>1.1200000000000001</v>
      </c>
    </row>
    <row r="932" spans="7:10" hidden="1" x14ac:dyDescent="0.3">
      <c r="G932" s="7" t="s">
        <v>1610</v>
      </c>
      <c r="H932" s="8" t="s">
        <v>2065</v>
      </c>
      <c r="I932" s="8" t="s">
        <v>2025</v>
      </c>
      <c r="J932" s="9">
        <v>1.81</v>
      </c>
    </row>
    <row r="933" spans="7:10" hidden="1" x14ac:dyDescent="0.3">
      <c r="G933" s="10" t="s">
        <v>1637</v>
      </c>
      <c r="H933" s="11" t="s">
        <v>2034</v>
      </c>
      <c r="I933" s="11" t="s">
        <v>2025</v>
      </c>
      <c r="J933" s="12">
        <v>0.89</v>
      </c>
    </row>
    <row r="934" spans="7:10" hidden="1" x14ac:dyDescent="0.3">
      <c r="G934" s="10" t="s">
        <v>1701</v>
      </c>
      <c r="H934" s="11" t="s">
        <v>2034</v>
      </c>
      <c r="I934" s="11" t="s">
        <v>2025</v>
      </c>
      <c r="J934" s="12">
        <v>1.38</v>
      </c>
    </row>
    <row r="935" spans="7:10" hidden="1" x14ac:dyDescent="0.3">
      <c r="G935" s="10" t="s">
        <v>1781</v>
      </c>
      <c r="H935" s="11" t="s">
        <v>2065</v>
      </c>
      <c r="I935" s="11" t="s">
        <v>2025</v>
      </c>
      <c r="J935" s="12">
        <v>1.42</v>
      </c>
    </row>
    <row r="936" spans="7:10" hidden="1" x14ac:dyDescent="0.3">
      <c r="G936" s="10" t="s">
        <v>11</v>
      </c>
      <c r="H936" s="11" t="s">
        <v>2038</v>
      </c>
      <c r="I936" s="11" t="s">
        <v>1997</v>
      </c>
      <c r="J936" s="12">
        <v>173.09</v>
      </c>
    </row>
    <row r="937" spans="7:10" hidden="1" x14ac:dyDescent="0.3">
      <c r="G937" s="7" t="s">
        <v>44</v>
      </c>
      <c r="H937" s="8" t="s">
        <v>2041</v>
      </c>
      <c r="I937" s="8" t="s">
        <v>1997</v>
      </c>
      <c r="J937" s="9">
        <v>177.04</v>
      </c>
    </row>
    <row r="938" spans="7:10" hidden="1" x14ac:dyDescent="0.3">
      <c r="G938" s="7" t="s">
        <v>62</v>
      </c>
      <c r="H938" s="8" t="s">
        <v>2038</v>
      </c>
      <c r="I938" s="8" t="s">
        <v>1997</v>
      </c>
      <c r="J938" s="9">
        <v>80.709999999999994</v>
      </c>
    </row>
    <row r="939" spans="7:10" hidden="1" x14ac:dyDescent="0.3">
      <c r="G939" s="10" t="s">
        <v>65</v>
      </c>
      <c r="H939" s="11" t="s">
        <v>2038</v>
      </c>
      <c r="I939" s="11" t="s">
        <v>1997</v>
      </c>
      <c r="J939" s="12">
        <v>80.02</v>
      </c>
    </row>
    <row r="940" spans="7:10" hidden="1" x14ac:dyDescent="0.3">
      <c r="G940" s="7" t="s">
        <v>90</v>
      </c>
      <c r="H940" s="8" t="s">
        <v>2041</v>
      </c>
      <c r="I940" s="8" t="s">
        <v>1997</v>
      </c>
      <c r="J940" s="9">
        <v>60.16</v>
      </c>
    </row>
    <row r="941" spans="7:10" hidden="1" x14ac:dyDescent="0.3">
      <c r="G941" s="7" t="s">
        <v>94</v>
      </c>
      <c r="H941" s="8" t="s">
        <v>2039</v>
      </c>
      <c r="I941" s="8" t="s">
        <v>1997</v>
      </c>
      <c r="J941" s="9">
        <v>55.24</v>
      </c>
    </row>
    <row r="942" spans="7:10" hidden="1" x14ac:dyDescent="0.3">
      <c r="G942" s="10" t="s">
        <v>113</v>
      </c>
      <c r="H942" s="11" t="s">
        <v>2041</v>
      </c>
      <c r="I942" s="11" t="s">
        <v>1997</v>
      </c>
      <c r="J942" s="12">
        <v>112.61</v>
      </c>
    </row>
    <row r="943" spans="7:10" hidden="1" x14ac:dyDescent="0.3">
      <c r="G943" s="7" t="s">
        <v>132</v>
      </c>
      <c r="H943" s="8" t="s">
        <v>2034</v>
      </c>
      <c r="I943" s="8" t="s">
        <v>1997</v>
      </c>
      <c r="J943" s="9">
        <v>178.1</v>
      </c>
    </row>
    <row r="944" spans="7:10" hidden="1" x14ac:dyDescent="0.3">
      <c r="G944" s="10" t="s">
        <v>167</v>
      </c>
      <c r="H944" s="11" t="s">
        <v>2043</v>
      </c>
      <c r="I944" s="11" t="s">
        <v>1997</v>
      </c>
      <c r="J944" s="12">
        <v>51.3</v>
      </c>
    </row>
    <row r="945" spans="7:10" hidden="1" x14ac:dyDescent="0.3">
      <c r="G945" s="7" t="s">
        <v>198</v>
      </c>
      <c r="H945" s="8" t="s">
        <v>2038</v>
      </c>
      <c r="I945" s="8" t="s">
        <v>1997</v>
      </c>
      <c r="J945" s="9">
        <v>81.3</v>
      </c>
    </row>
    <row r="946" spans="7:10" hidden="1" x14ac:dyDescent="0.3">
      <c r="G946" s="10" t="s">
        <v>201</v>
      </c>
      <c r="H946" s="11" t="s">
        <v>2039</v>
      </c>
      <c r="I946" s="11" t="s">
        <v>1997</v>
      </c>
      <c r="J946" s="12">
        <v>66.510000000000005</v>
      </c>
    </row>
    <row r="947" spans="7:10" hidden="1" x14ac:dyDescent="0.3">
      <c r="G947" s="10" t="s">
        <v>219</v>
      </c>
      <c r="H947" s="11" t="s">
        <v>2038</v>
      </c>
      <c r="I947" s="11" t="s">
        <v>1997</v>
      </c>
      <c r="J947" s="12">
        <v>26.12</v>
      </c>
    </row>
    <row r="948" spans="7:10" hidden="1" x14ac:dyDescent="0.3">
      <c r="G948" s="10" t="s">
        <v>287</v>
      </c>
      <c r="H948" s="11" t="s">
        <v>2038</v>
      </c>
      <c r="I948" s="11" t="s">
        <v>1997</v>
      </c>
      <c r="J948" s="12">
        <v>22.8</v>
      </c>
    </row>
    <row r="949" spans="7:10" hidden="1" x14ac:dyDescent="0.3">
      <c r="G949" s="10" t="s">
        <v>310</v>
      </c>
      <c r="H949" s="11" t="s">
        <v>2043</v>
      </c>
      <c r="I949" s="11" t="s">
        <v>1997</v>
      </c>
      <c r="J949" s="12">
        <v>43.98</v>
      </c>
    </row>
    <row r="950" spans="7:10" hidden="1" x14ac:dyDescent="0.3">
      <c r="G950" s="7" t="s">
        <v>339</v>
      </c>
      <c r="H950" s="8" t="s">
        <v>2034</v>
      </c>
      <c r="I950" s="8" t="s">
        <v>1997</v>
      </c>
      <c r="J950" s="9">
        <v>27.99</v>
      </c>
    </row>
    <row r="951" spans="7:10" hidden="1" x14ac:dyDescent="0.3">
      <c r="G951" s="7" t="s">
        <v>398</v>
      </c>
      <c r="H951" s="8" t="s">
        <v>2041</v>
      </c>
      <c r="I951" s="8" t="s">
        <v>1997</v>
      </c>
      <c r="J951" s="9">
        <v>17.09</v>
      </c>
    </row>
    <row r="952" spans="7:10" hidden="1" x14ac:dyDescent="0.3">
      <c r="G952" s="7" t="s">
        <v>410</v>
      </c>
      <c r="H952" s="8" t="s">
        <v>2039</v>
      </c>
      <c r="I952" s="8" t="s">
        <v>1997</v>
      </c>
      <c r="J952" s="9">
        <v>18.43</v>
      </c>
    </row>
    <row r="953" spans="7:10" hidden="1" x14ac:dyDescent="0.3">
      <c r="G953" s="10" t="s">
        <v>428</v>
      </c>
      <c r="H953" s="11" t="s">
        <v>2034</v>
      </c>
      <c r="I953" s="11" t="s">
        <v>1997</v>
      </c>
      <c r="J953" s="12">
        <v>14.06</v>
      </c>
    </row>
    <row r="954" spans="7:10" hidden="1" x14ac:dyDescent="0.3">
      <c r="G954" s="7" t="s">
        <v>475</v>
      </c>
      <c r="H954" s="8" t="s">
        <v>2038</v>
      </c>
      <c r="I954" s="8" t="s">
        <v>1997</v>
      </c>
      <c r="J954" s="9">
        <v>22.07</v>
      </c>
    </row>
    <row r="955" spans="7:10" hidden="1" x14ac:dyDescent="0.3">
      <c r="G955" s="10" t="s">
        <v>514</v>
      </c>
      <c r="H955" s="11" t="s">
        <v>2038</v>
      </c>
      <c r="I955" s="11" t="s">
        <v>1997</v>
      </c>
      <c r="J955" s="12">
        <v>11.58</v>
      </c>
    </row>
    <row r="956" spans="7:10" hidden="1" x14ac:dyDescent="0.3">
      <c r="G956" s="10" t="s">
        <v>520</v>
      </c>
      <c r="H956" s="11" t="s">
        <v>2034</v>
      </c>
      <c r="I956" s="11" t="s">
        <v>1997</v>
      </c>
      <c r="J956" s="12">
        <v>192.6</v>
      </c>
    </row>
    <row r="957" spans="7:10" hidden="1" x14ac:dyDescent="0.3">
      <c r="G957" s="7" t="s">
        <v>521</v>
      </c>
      <c r="H957" s="8" t="s">
        <v>2041</v>
      </c>
      <c r="I957" s="8" t="s">
        <v>1997</v>
      </c>
      <c r="J957" s="9">
        <v>7.97</v>
      </c>
    </row>
    <row r="958" spans="7:10" hidden="1" x14ac:dyDescent="0.3">
      <c r="G958" s="7" t="s">
        <v>527</v>
      </c>
      <c r="H958" s="8" t="s">
        <v>2047</v>
      </c>
      <c r="I958" s="8" t="s">
        <v>1997</v>
      </c>
      <c r="J958" s="9">
        <v>22.25</v>
      </c>
    </row>
    <row r="959" spans="7:10" hidden="1" x14ac:dyDescent="0.3">
      <c r="G959" s="10" t="s">
        <v>541</v>
      </c>
      <c r="H959" s="11" t="s">
        <v>2042</v>
      </c>
      <c r="I959" s="11" t="s">
        <v>1997</v>
      </c>
      <c r="J959" s="12">
        <v>63.08</v>
      </c>
    </row>
    <row r="960" spans="7:10" hidden="1" x14ac:dyDescent="0.3">
      <c r="G960" s="7" t="s">
        <v>560</v>
      </c>
      <c r="H960" s="8" t="s">
        <v>2038</v>
      </c>
      <c r="I960" s="8" t="s">
        <v>1997</v>
      </c>
      <c r="J960" s="9">
        <v>17.07</v>
      </c>
    </row>
    <row r="961" spans="7:10" hidden="1" x14ac:dyDescent="0.3">
      <c r="G961" s="7" t="s">
        <v>562</v>
      </c>
      <c r="H961" s="8" t="s">
        <v>2038</v>
      </c>
      <c r="I961" s="8" t="s">
        <v>1997</v>
      </c>
      <c r="J961" s="9">
        <v>25.15</v>
      </c>
    </row>
    <row r="962" spans="7:10" hidden="1" x14ac:dyDescent="0.3">
      <c r="G962" s="10" t="s">
        <v>612</v>
      </c>
      <c r="H962" s="11" t="s">
        <v>2038</v>
      </c>
      <c r="I962" s="11" t="s">
        <v>1997</v>
      </c>
      <c r="J962" s="12">
        <v>4.8099999999999996</v>
      </c>
    </row>
    <row r="963" spans="7:10" hidden="1" x14ac:dyDescent="0.3">
      <c r="G963" s="10" t="s">
        <v>734</v>
      </c>
      <c r="H963" s="11" t="s">
        <v>2038</v>
      </c>
      <c r="I963" s="11" t="s">
        <v>1997</v>
      </c>
      <c r="J963" s="12">
        <v>11.65</v>
      </c>
    </row>
    <row r="964" spans="7:10" hidden="1" x14ac:dyDescent="0.3">
      <c r="G964" s="10" t="s">
        <v>738</v>
      </c>
      <c r="H964" s="11" t="s">
        <v>2034</v>
      </c>
      <c r="I964" s="11" t="s">
        <v>1997</v>
      </c>
      <c r="J964" s="12">
        <v>5.67</v>
      </c>
    </row>
    <row r="965" spans="7:10" hidden="1" x14ac:dyDescent="0.3">
      <c r="G965" s="7" t="s">
        <v>763</v>
      </c>
      <c r="H965" s="8" t="s">
        <v>2034</v>
      </c>
      <c r="I965" s="8" t="s">
        <v>1997</v>
      </c>
      <c r="J965" s="9">
        <v>14.32</v>
      </c>
    </row>
    <row r="966" spans="7:10" hidden="1" x14ac:dyDescent="0.3">
      <c r="G966" s="10" t="s">
        <v>769</v>
      </c>
      <c r="H966" s="11" t="s">
        <v>2038</v>
      </c>
      <c r="I966" s="11" t="s">
        <v>1997</v>
      </c>
      <c r="J966" s="12">
        <v>19.8</v>
      </c>
    </row>
    <row r="967" spans="7:10" hidden="1" x14ac:dyDescent="0.3">
      <c r="G967" s="10" t="s">
        <v>777</v>
      </c>
      <c r="H967" s="11" t="s">
        <v>2038</v>
      </c>
      <c r="I967" s="11" t="s">
        <v>1997</v>
      </c>
      <c r="J967" s="12">
        <v>13.93</v>
      </c>
    </row>
    <row r="968" spans="7:10" hidden="1" x14ac:dyDescent="0.3">
      <c r="G968" s="10" t="s">
        <v>784</v>
      </c>
      <c r="H968" s="11" t="s">
        <v>2057</v>
      </c>
      <c r="I968" s="11" t="s">
        <v>1997</v>
      </c>
      <c r="J968" s="12">
        <v>16.27</v>
      </c>
    </row>
    <row r="969" spans="7:10" hidden="1" x14ac:dyDescent="0.3">
      <c r="G969" s="10" t="s">
        <v>816</v>
      </c>
      <c r="H969" s="11" t="s">
        <v>2042</v>
      </c>
      <c r="I969" s="11" t="s">
        <v>1997</v>
      </c>
      <c r="J969" s="12">
        <v>9.65</v>
      </c>
    </row>
    <row r="970" spans="7:10" hidden="1" x14ac:dyDescent="0.3">
      <c r="G970" s="10" t="s">
        <v>845</v>
      </c>
      <c r="H970" s="11" t="s">
        <v>2035</v>
      </c>
      <c r="I970" s="11" t="s">
        <v>1997</v>
      </c>
      <c r="J970" s="12">
        <v>6.69</v>
      </c>
    </row>
    <row r="971" spans="7:10" hidden="1" x14ac:dyDescent="0.3">
      <c r="G971" s="10" t="s">
        <v>861</v>
      </c>
      <c r="H971" s="11" t="s">
        <v>2043</v>
      </c>
      <c r="I971" s="11" t="s">
        <v>1997</v>
      </c>
      <c r="J971" s="12">
        <v>7.06</v>
      </c>
    </row>
    <row r="972" spans="7:10" hidden="1" x14ac:dyDescent="0.3">
      <c r="G972" s="7" t="s">
        <v>870</v>
      </c>
      <c r="H972" s="8" t="s">
        <v>2038</v>
      </c>
      <c r="I972" s="8" t="s">
        <v>1997</v>
      </c>
      <c r="J972" s="9">
        <v>24.13</v>
      </c>
    </row>
    <row r="973" spans="7:10" hidden="1" x14ac:dyDescent="0.3">
      <c r="G973" s="10" t="s">
        <v>891</v>
      </c>
      <c r="H973" s="11" t="s">
        <v>2034</v>
      </c>
      <c r="I973" s="11" t="s">
        <v>1997</v>
      </c>
      <c r="J973" s="12">
        <v>9.7799999999999994</v>
      </c>
    </row>
    <row r="974" spans="7:10" hidden="1" x14ac:dyDescent="0.3">
      <c r="G974" s="10" t="s">
        <v>897</v>
      </c>
      <c r="H974" s="11" t="s">
        <v>2034</v>
      </c>
      <c r="I974" s="11" t="s">
        <v>1997</v>
      </c>
      <c r="J974" s="12">
        <v>6.52</v>
      </c>
    </row>
    <row r="975" spans="7:10" hidden="1" x14ac:dyDescent="0.3">
      <c r="G975" s="7" t="s">
        <v>912</v>
      </c>
      <c r="H975" s="8" t="s">
        <v>2034</v>
      </c>
      <c r="I975" s="8" t="s">
        <v>1997</v>
      </c>
      <c r="J975" s="9">
        <v>6.62</v>
      </c>
    </row>
    <row r="976" spans="7:10" hidden="1" x14ac:dyDescent="0.3">
      <c r="G976" s="7" t="s">
        <v>934</v>
      </c>
      <c r="H976" s="8" t="s">
        <v>2034</v>
      </c>
      <c r="I976" s="8" t="s">
        <v>1997</v>
      </c>
      <c r="J976" s="9">
        <v>19.72</v>
      </c>
    </row>
    <row r="977" spans="7:10" hidden="1" x14ac:dyDescent="0.3">
      <c r="G977" s="10" t="s">
        <v>1006</v>
      </c>
      <c r="H977" s="11" t="s">
        <v>2038</v>
      </c>
      <c r="I977" s="11" t="s">
        <v>1997</v>
      </c>
      <c r="J977" s="12">
        <v>4.8099999999999996</v>
      </c>
    </row>
    <row r="978" spans="7:10" hidden="1" x14ac:dyDescent="0.3">
      <c r="G978" s="10" t="s">
        <v>1012</v>
      </c>
      <c r="H978" s="11" t="s">
        <v>2038</v>
      </c>
      <c r="I978" s="11" t="s">
        <v>1997</v>
      </c>
      <c r="J978" s="12">
        <v>13.5</v>
      </c>
    </row>
    <row r="979" spans="7:10" hidden="1" x14ac:dyDescent="0.3">
      <c r="G979" s="7" t="s">
        <v>1043</v>
      </c>
      <c r="H979" s="8" t="s">
        <v>2034</v>
      </c>
      <c r="I979" s="8" t="s">
        <v>1997</v>
      </c>
      <c r="J979" s="9">
        <v>27.2</v>
      </c>
    </row>
    <row r="980" spans="7:10" hidden="1" x14ac:dyDescent="0.3">
      <c r="G980" s="10" t="s">
        <v>1046</v>
      </c>
      <c r="H980" s="11" t="s">
        <v>2034</v>
      </c>
      <c r="I980" s="11" t="s">
        <v>1997</v>
      </c>
      <c r="J980" s="12">
        <v>11.6</v>
      </c>
    </row>
    <row r="981" spans="7:10" hidden="1" x14ac:dyDescent="0.3">
      <c r="G981" s="7" t="s">
        <v>1057</v>
      </c>
      <c r="H981" s="8" t="s">
        <v>2039</v>
      </c>
      <c r="I981" s="8" t="s">
        <v>1997</v>
      </c>
      <c r="J981" s="9">
        <v>10.85</v>
      </c>
    </row>
    <row r="982" spans="7:10" hidden="1" x14ac:dyDescent="0.3">
      <c r="G982" s="7" t="s">
        <v>1112</v>
      </c>
      <c r="H982" s="8" t="s">
        <v>2034</v>
      </c>
      <c r="I982" s="8" t="s">
        <v>1997</v>
      </c>
      <c r="J982" s="9">
        <v>12.64</v>
      </c>
    </row>
    <row r="983" spans="7:10" hidden="1" x14ac:dyDescent="0.3">
      <c r="G983" s="10" t="s">
        <v>1143</v>
      </c>
      <c r="H983" s="11" t="s">
        <v>2079</v>
      </c>
      <c r="I983" s="11" t="s">
        <v>1997</v>
      </c>
      <c r="J983" s="12">
        <v>4.79</v>
      </c>
    </row>
    <row r="984" spans="7:10" hidden="1" x14ac:dyDescent="0.3">
      <c r="G984" s="10" t="s">
        <v>1149</v>
      </c>
      <c r="H984" s="11" t="s">
        <v>2034</v>
      </c>
      <c r="I984" s="11" t="s">
        <v>1997</v>
      </c>
      <c r="J984" s="12">
        <v>6.2</v>
      </c>
    </row>
    <row r="985" spans="7:10" hidden="1" x14ac:dyDescent="0.3">
      <c r="G985" s="10" t="s">
        <v>1191</v>
      </c>
      <c r="H985" s="11" t="s">
        <v>2039</v>
      </c>
      <c r="I985" s="11" t="s">
        <v>1997</v>
      </c>
      <c r="J985" s="12">
        <v>11.74</v>
      </c>
    </row>
    <row r="986" spans="7:10" hidden="1" x14ac:dyDescent="0.3">
      <c r="G986" s="10" t="s">
        <v>1197</v>
      </c>
      <c r="H986" s="11" t="s">
        <v>2034</v>
      </c>
      <c r="I986" s="11" t="s">
        <v>1997</v>
      </c>
      <c r="J986" s="12">
        <v>5.92</v>
      </c>
    </row>
    <row r="987" spans="7:10" hidden="1" x14ac:dyDescent="0.3">
      <c r="G987" s="10" t="s">
        <v>1248</v>
      </c>
      <c r="H987" s="11" t="s">
        <v>2034</v>
      </c>
      <c r="I987" s="11" t="s">
        <v>1997</v>
      </c>
      <c r="J987" s="12">
        <v>17.100000000000001</v>
      </c>
    </row>
    <row r="988" spans="7:10" hidden="1" x14ac:dyDescent="0.3">
      <c r="G988" s="7" t="s">
        <v>1325</v>
      </c>
      <c r="H988" s="8" t="s">
        <v>2034</v>
      </c>
      <c r="I988" s="8" t="s">
        <v>1997</v>
      </c>
      <c r="J988" s="9">
        <v>16.98</v>
      </c>
    </row>
    <row r="989" spans="7:10" hidden="1" x14ac:dyDescent="0.3">
      <c r="G989" s="7" t="s">
        <v>1370</v>
      </c>
      <c r="H989" s="8" t="s">
        <v>2034</v>
      </c>
      <c r="I989" s="8" t="s">
        <v>1997</v>
      </c>
      <c r="J989" s="9">
        <v>5.3</v>
      </c>
    </row>
    <row r="990" spans="7:10" hidden="1" x14ac:dyDescent="0.3">
      <c r="G990" s="10" t="s">
        <v>1383</v>
      </c>
      <c r="H990" s="11" t="s">
        <v>2034</v>
      </c>
      <c r="I990" s="11" t="s">
        <v>1997</v>
      </c>
      <c r="J990" s="12">
        <v>9.76</v>
      </c>
    </row>
    <row r="991" spans="7:10" hidden="1" x14ac:dyDescent="0.3">
      <c r="G991" s="7" t="s">
        <v>1452</v>
      </c>
      <c r="H991" s="8" t="s">
        <v>2038</v>
      </c>
      <c r="I991" s="8" t="s">
        <v>1997</v>
      </c>
      <c r="J991" s="9">
        <v>2.1800000000000002</v>
      </c>
    </row>
    <row r="992" spans="7:10" hidden="1" x14ac:dyDescent="0.3">
      <c r="G992" s="7" t="s">
        <v>1524</v>
      </c>
      <c r="H992" s="8" t="s">
        <v>2045</v>
      </c>
      <c r="I992" s="8" t="s">
        <v>1997</v>
      </c>
      <c r="J992" s="9">
        <v>3.95</v>
      </c>
    </row>
    <row r="993" spans="7:10" hidden="1" x14ac:dyDescent="0.3">
      <c r="G993" s="7" t="s">
        <v>1528</v>
      </c>
      <c r="H993" s="8" t="s">
        <v>2034</v>
      </c>
      <c r="I993" s="8" t="s">
        <v>1997</v>
      </c>
      <c r="J993" s="9">
        <v>6.29</v>
      </c>
    </row>
    <row r="994" spans="7:10" hidden="1" x14ac:dyDescent="0.3">
      <c r="G994" s="10" t="s">
        <v>1549</v>
      </c>
      <c r="H994" s="11" t="s">
        <v>2034</v>
      </c>
      <c r="I994" s="11" t="s">
        <v>1997</v>
      </c>
      <c r="J994" s="12">
        <v>8.9</v>
      </c>
    </row>
    <row r="995" spans="7:10" hidden="1" x14ac:dyDescent="0.3">
      <c r="G995" s="7" t="s">
        <v>1568</v>
      </c>
      <c r="H995" s="8" t="s">
        <v>2038</v>
      </c>
      <c r="I995" s="8" t="s">
        <v>1997</v>
      </c>
      <c r="J995" s="9">
        <v>6.84</v>
      </c>
    </row>
    <row r="996" spans="7:10" hidden="1" x14ac:dyDescent="0.3">
      <c r="G996" s="7" t="s">
        <v>1604</v>
      </c>
      <c r="H996" s="8" t="s">
        <v>2034</v>
      </c>
      <c r="I996" s="8" t="s">
        <v>1997</v>
      </c>
      <c r="J996" s="9">
        <v>3.29</v>
      </c>
    </row>
    <row r="997" spans="7:10" hidden="1" x14ac:dyDescent="0.3">
      <c r="G997" s="7" t="s">
        <v>1630</v>
      </c>
      <c r="H997" s="8" t="s">
        <v>2046</v>
      </c>
      <c r="I997" s="8" t="s">
        <v>1997</v>
      </c>
      <c r="J997" s="9">
        <v>5.79</v>
      </c>
    </row>
    <row r="998" spans="7:10" hidden="1" x14ac:dyDescent="0.3">
      <c r="G998" s="7" t="s">
        <v>1640</v>
      </c>
      <c r="H998" s="8" t="s">
        <v>2038</v>
      </c>
      <c r="I998" s="8" t="s">
        <v>1997</v>
      </c>
      <c r="J998" s="9">
        <v>4.34</v>
      </c>
    </row>
    <row r="999" spans="7:10" hidden="1" x14ac:dyDescent="0.3">
      <c r="G999" s="7" t="s">
        <v>1674</v>
      </c>
      <c r="H999" s="8" t="s">
        <v>2038</v>
      </c>
      <c r="I999" s="8" t="s">
        <v>1997</v>
      </c>
      <c r="J999" s="9">
        <v>4.3</v>
      </c>
    </row>
    <row r="1000" spans="7:10" hidden="1" x14ac:dyDescent="0.3">
      <c r="G1000" s="10" t="s">
        <v>1691</v>
      </c>
      <c r="H1000" s="11" t="s">
        <v>2034</v>
      </c>
      <c r="I1000" s="11" t="s">
        <v>1997</v>
      </c>
      <c r="J1000" s="12">
        <v>4.29</v>
      </c>
    </row>
    <row r="1001" spans="7:10" hidden="1" x14ac:dyDescent="0.3">
      <c r="G1001" s="10" t="s">
        <v>1856</v>
      </c>
      <c r="H1001" s="11" t="s">
        <v>2038</v>
      </c>
      <c r="I1001" s="11" t="s">
        <v>1997</v>
      </c>
      <c r="J1001" s="12">
        <v>3.57</v>
      </c>
    </row>
    <row r="1002" spans="7:10" hidden="1" x14ac:dyDescent="0.3">
      <c r="G1002" s="7" t="s">
        <v>1863</v>
      </c>
      <c r="H1002" s="8" t="s">
        <v>2038</v>
      </c>
      <c r="I1002" s="8" t="s">
        <v>1997</v>
      </c>
      <c r="J1002" s="9">
        <v>3.98</v>
      </c>
    </row>
    <row r="1003" spans="7:10" hidden="1" x14ac:dyDescent="0.3">
      <c r="G1003" s="10" t="s">
        <v>1864</v>
      </c>
      <c r="H1003" s="11" t="s">
        <v>2063</v>
      </c>
      <c r="I1003" s="11" t="s">
        <v>1997</v>
      </c>
      <c r="J1003" s="12">
        <v>2.88</v>
      </c>
    </row>
    <row r="1004" spans="7:10" hidden="1" x14ac:dyDescent="0.3">
      <c r="G1004" s="10" t="s">
        <v>1908</v>
      </c>
      <c r="H1004" s="11" t="s">
        <v>2038</v>
      </c>
      <c r="I1004" s="11" t="s">
        <v>1997</v>
      </c>
      <c r="J1004" s="12">
        <v>6.48</v>
      </c>
    </row>
    <row r="1005" spans="7:10" hidden="1" x14ac:dyDescent="0.3">
      <c r="G1005" s="10" t="s">
        <v>1918</v>
      </c>
      <c r="H1005" s="11" t="s">
        <v>2061</v>
      </c>
      <c r="I1005" s="11" t="s">
        <v>1997</v>
      </c>
      <c r="J1005" s="12">
        <v>1.32</v>
      </c>
    </row>
    <row r="1006" spans="7:10" hidden="1" x14ac:dyDescent="0.3">
      <c r="G1006" s="7" t="s">
        <v>54</v>
      </c>
      <c r="H1006" s="8" t="s">
        <v>2034</v>
      </c>
      <c r="I1006" s="8" t="s">
        <v>2026</v>
      </c>
      <c r="J1006" s="9">
        <v>41.36</v>
      </c>
    </row>
    <row r="1007" spans="7:10" hidden="1" x14ac:dyDescent="0.3">
      <c r="G1007" s="10" t="s">
        <v>237</v>
      </c>
      <c r="H1007" s="11" t="s">
        <v>2034</v>
      </c>
      <c r="I1007" s="11" t="s">
        <v>2026</v>
      </c>
      <c r="J1007" s="12">
        <v>12.89</v>
      </c>
    </row>
    <row r="1008" spans="7:10" hidden="1" x14ac:dyDescent="0.3">
      <c r="G1008" s="10" t="s">
        <v>245</v>
      </c>
      <c r="H1008" s="11" t="s">
        <v>2034</v>
      </c>
      <c r="I1008" s="11" t="s">
        <v>2026</v>
      </c>
      <c r="J1008" s="12">
        <v>10.49</v>
      </c>
    </row>
    <row r="1009" spans="7:10" hidden="1" x14ac:dyDescent="0.3">
      <c r="G1009" s="7" t="s">
        <v>376</v>
      </c>
      <c r="H1009" s="8" t="s">
        <v>2041</v>
      </c>
      <c r="I1009" s="8" t="s">
        <v>2026</v>
      </c>
      <c r="J1009" s="9">
        <v>10.06</v>
      </c>
    </row>
    <row r="1010" spans="7:10" hidden="1" x14ac:dyDescent="0.3">
      <c r="G1010" s="10" t="s">
        <v>412</v>
      </c>
      <c r="H1010" s="11" t="s">
        <v>2051</v>
      </c>
      <c r="I1010" s="11" t="s">
        <v>2026</v>
      </c>
      <c r="J1010" s="12">
        <v>17.57</v>
      </c>
    </row>
    <row r="1011" spans="7:10" hidden="1" x14ac:dyDescent="0.3">
      <c r="G1011" s="7" t="s">
        <v>433</v>
      </c>
      <c r="H1011" s="8" t="s">
        <v>2034</v>
      </c>
      <c r="I1011" s="8" t="s">
        <v>2026</v>
      </c>
      <c r="J1011" s="9">
        <v>6.14</v>
      </c>
    </row>
    <row r="1012" spans="7:10" hidden="1" x14ac:dyDescent="0.3">
      <c r="G1012" s="7" t="s">
        <v>467</v>
      </c>
      <c r="H1012" s="8" t="s">
        <v>2034</v>
      </c>
      <c r="I1012" s="8" t="s">
        <v>2026</v>
      </c>
      <c r="J1012" s="9">
        <v>5.26</v>
      </c>
    </row>
    <row r="1013" spans="7:10" hidden="1" x14ac:dyDescent="0.3">
      <c r="G1013" s="7" t="s">
        <v>493</v>
      </c>
      <c r="H1013" s="8" t="s">
        <v>2034</v>
      </c>
      <c r="I1013" s="8" t="s">
        <v>2026</v>
      </c>
      <c r="J1013" s="9">
        <v>14.61</v>
      </c>
    </row>
    <row r="1014" spans="7:10" hidden="1" x14ac:dyDescent="0.3">
      <c r="G1014" s="7" t="s">
        <v>703</v>
      </c>
      <c r="H1014" s="8" t="s">
        <v>2034</v>
      </c>
      <c r="I1014" s="8" t="s">
        <v>2026</v>
      </c>
      <c r="J1014" s="9">
        <v>19.760000000000002</v>
      </c>
    </row>
    <row r="1015" spans="7:10" hidden="1" x14ac:dyDescent="0.3">
      <c r="G1015" s="10" t="s">
        <v>764</v>
      </c>
      <c r="H1015" s="11" t="s">
        <v>2038</v>
      </c>
      <c r="I1015" s="11" t="s">
        <v>2026</v>
      </c>
      <c r="J1015" s="12">
        <v>7.81</v>
      </c>
    </row>
    <row r="1016" spans="7:10" hidden="1" x14ac:dyDescent="0.3">
      <c r="G1016" s="7" t="s">
        <v>932</v>
      </c>
      <c r="H1016" s="8" t="s">
        <v>2034</v>
      </c>
      <c r="I1016" s="8" t="s">
        <v>2026</v>
      </c>
      <c r="J1016" s="9">
        <v>3.62</v>
      </c>
    </row>
    <row r="1017" spans="7:10" hidden="1" x14ac:dyDescent="0.3">
      <c r="G1017" s="7" t="s">
        <v>942</v>
      </c>
      <c r="H1017" s="8" t="s">
        <v>2034</v>
      </c>
      <c r="I1017" s="8" t="s">
        <v>2026</v>
      </c>
      <c r="J1017" s="9">
        <v>3.76</v>
      </c>
    </row>
    <row r="1018" spans="7:10" hidden="1" x14ac:dyDescent="0.3">
      <c r="G1018" s="7" t="s">
        <v>976</v>
      </c>
      <c r="H1018" s="8" t="s">
        <v>2034</v>
      </c>
      <c r="I1018" s="8" t="s">
        <v>2026</v>
      </c>
      <c r="J1018" s="9">
        <v>4.0599999999999996</v>
      </c>
    </row>
    <row r="1019" spans="7:10" hidden="1" x14ac:dyDescent="0.3">
      <c r="G1019" s="10" t="s">
        <v>992</v>
      </c>
      <c r="H1019" s="11" t="s">
        <v>2034</v>
      </c>
      <c r="I1019" s="11" t="s">
        <v>2026</v>
      </c>
      <c r="J1019" s="12">
        <v>4.9400000000000004</v>
      </c>
    </row>
    <row r="1020" spans="7:10" hidden="1" x14ac:dyDescent="0.3">
      <c r="G1020" s="7" t="s">
        <v>1059</v>
      </c>
      <c r="H1020" s="8" t="s">
        <v>2034</v>
      </c>
      <c r="I1020" s="8" t="s">
        <v>2026</v>
      </c>
      <c r="J1020" s="9">
        <v>1.97</v>
      </c>
    </row>
    <row r="1021" spans="7:10" hidden="1" x14ac:dyDescent="0.3">
      <c r="G1021" s="10" t="s">
        <v>1068</v>
      </c>
      <c r="H1021" s="11" t="s">
        <v>2039</v>
      </c>
      <c r="I1021" s="11" t="s">
        <v>2026</v>
      </c>
      <c r="J1021" s="12">
        <v>8.2200000000000006</v>
      </c>
    </row>
    <row r="1022" spans="7:10" hidden="1" x14ac:dyDescent="0.3">
      <c r="G1022" s="7" t="s">
        <v>1196</v>
      </c>
      <c r="H1022" s="8" t="s">
        <v>2036</v>
      </c>
      <c r="I1022" s="8" t="s">
        <v>2026</v>
      </c>
      <c r="J1022" s="9">
        <v>2.99</v>
      </c>
    </row>
    <row r="1023" spans="7:10" hidden="1" x14ac:dyDescent="0.3">
      <c r="G1023" s="7" t="s">
        <v>1218</v>
      </c>
      <c r="H1023" s="8" t="s">
        <v>2034</v>
      </c>
      <c r="I1023" s="8" t="s">
        <v>2026</v>
      </c>
      <c r="J1023" s="9">
        <v>2.86</v>
      </c>
    </row>
    <row r="1024" spans="7:10" hidden="1" x14ac:dyDescent="0.3">
      <c r="G1024" s="7" t="s">
        <v>1321</v>
      </c>
      <c r="H1024" s="8" t="s">
        <v>2038</v>
      </c>
      <c r="I1024" s="8" t="s">
        <v>2026</v>
      </c>
      <c r="J1024" s="9">
        <v>2.23</v>
      </c>
    </row>
    <row r="1025" spans="7:10" hidden="1" x14ac:dyDescent="0.3">
      <c r="G1025" s="10" t="s">
        <v>1344</v>
      </c>
      <c r="H1025" s="11" t="s">
        <v>2034</v>
      </c>
      <c r="I1025" s="11" t="s">
        <v>2026</v>
      </c>
      <c r="J1025" s="12">
        <v>2.1800000000000002</v>
      </c>
    </row>
    <row r="1026" spans="7:10" hidden="1" x14ac:dyDescent="0.3">
      <c r="G1026" s="10" t="s">
        <v>1439</v>
      </c>
      <c r="H1026" s="11" t="s">
        <v>2034</v>
      </c>
      <c r="I1026" s="11" t="s">
        <v>2026</v>
      </c>
      <c r="J1026" s="12">
        <v>1.46</v>
      </c>
    </row>
    <row r="1027" spans="7:10" hidden="1" x14ac:dyDescent="0.3">
      <c r="G1027" s="10" t="s">
        <v>1481</v>
      </c>
      <c r="H1027" s="11" t="s">
        <v>2034</v>
      </c>
      <c r="I1027" s="11" t="s">
        <v>2026</v>
      </c>
      <c r="J1027" s="12">
        <v>1.61</v>
      </c>
    </row>
    <row r="1028" spans="7:10" hidden="1" x14ac:dyDescent="0.3">
      <c r="G1028" s="10" t="s">
        <v>1611</v>
      </c>
      <c r="H1028" s="11" t="s">
        <v>2076</v>
      </c>
      <c r="I1028" s="11" t="s">
        <v>2026</v>
      </c>
      <c r="J1028" s="12">
        <v>0.57999999999999996</v>
      </c>
    </row>
    <row r="1029" spans="7:10" hidden="1" x14ac:dyDescent="0.3">
      <c r="G1029" s="10" t="s">
        <v>1621</v>
      </c>
      <c r="H1029" s="11" t="s">
        <v>2034</v>
      </c>
      <c r="I1029" s="11" t="s">
        <v>2026</v>
      </c>
      <c r="J1029" s="12">
        <v>2.52</v>
      </c>
    </row>
    <row r="1030" spans="7:10" hidden="1" x14ac:dyDescent="0.3">
      <c r="G1030" s="10" t="s">
        <v>1645</v>
      </c>
      <c r="H1030" s="11" t="s">
        <v>2035</v>
      </c>
      <c r="I1030" s="11" t="s">
        <v>2026</v>
      </c>
      <c r="J1030" s="12">
        <v>1.37</v>
      </c>
    </row>
    <row r="1031" spans="7:10" hidden="1" x14ac:dyDescent="0.3">
      <c r="G1031" s="10" t="s">
        <v>1699</v>
      </c>
      <c r="H1031" s="11" t="s">
        <v>2039</v>
      </c>
      <c r="I1031" s="11" t="s">
        <v>2026</v>
      </c>
      <c r="J1031" s="12">
        <v>1.1200000000000001</v>
      </c>
    </row>
    <row r="1032" spans="7:10" hidden="1" x14ac:dyDescent="0.3">
      <c r="G1032" s="7" t="s">
        <v>1724</v>
      </c>
      <c r="H1032" s="8" t="s">
        <v>2038</v>
      </c>
      <c r="I1032" s="8" t="s">
        <v>2026</v>
      </c>
      <c r="J1032" s="9">
        <v>2.99</v>
      </c>
    </row>
    <row r="1033" spans="7:10" hidden="1" x14ac:dyDescent="0.3">
      <c r="G1033" s="7" t="s">
        <v>1832</v>
      </c>
      <c r="H1033" s="8" t="s">
        <v>2034</v>
      </c>
      <c r="I1033" s="8" t="s">
        <v>2026</v>
      </c>
      <c r="J1033" s="9">
        <v>0.28000000000000003</v>
      </c>
    </row>
    <row r="1034" spans="7:10" hidden="1" x14ac:dyDescent="0.3">
      <c r="G1034" s="7" t="s">
        <v>118</v>
      </c>
      <c r="H1034" s="8" t="s">
        <v>2039</v>
      </c>
      <c r="I1034" s="8" t="s">
        <v>2000</v>
      </c>
      <c r="J1034" s="9">
        <v>98.6</v>
      </c>
    </row>
    <row r="1035" spans="7:10" hidden="1" x14ac:dyDescent="0.3">
      <c r="G1035" s="10" t="s">
        <v>121</v>
      </c>
      <c r="H1035" s="11" t="s">
        <v>2035</v>
      </c>
      <c r="I1035" s="11" t="s">
        <v>2000</v>
      </c>
      <c r="J1035" s="12">
        <v>65.33</v>
      </c>
    </row>
    <row r="1036" spans="7:10" hidden="1" x14ac:dyDescent="0.3">
      <c r="G1036" s="7" t="s">
        <v>210</v>
      </c>
      <c r="H1036" s="8" t="s">
        <v>2041</v>
      </c>
      <c r="I1036" s="8" t="s">
        <v>2000</v>
      </c>
      <c r="J1036" s="9">
        <v>76.540000000000006</v>
      </c>
    </row>
    <row r="1037" spans="7:10" hidden="1" x14ac:dyDescent="0.3">
      <c r="G1037" s="7" t="s">
        <v>224</v>
      </c>
      <c r="H1037" s="8" t="s">
        <v>2038</v>
      </c>
      <c r="I1037" s="8" t="s">
        <v>2000</v>
      </c>
      <c r="J1037" s="9">
        <v>31.36</v>
      </c>
    </row>
    <row r="1038" spans="7:10" hidden="1" x14ac:dyDescent="0.3">
      <c r="G1038" s="7" t="s">
        <v>402</v>
      </c>
      <c r="H1038" s="8" t="s">
        <v>2034</v>
      </c>
      <c r="I1038" s="8" t="s">
        <v>2000</v>
      </c>
      <c r="J1038" s="9">
        <v>31.4</v>
      </c>
    </row>
    <row r="1039" spans="7:10" hidden="1" x14ac:dyDescent="0.3">
      <c r="G1039" s="10" t="s">
        <v>434</v>
      </c>
      <c r="H1039" s="11" t="s">
        <v>2034</v>
      </c>
      <c r="I1039" s="11" t="s">
        <v>2000</v>
      </c>
      <c r="J1039" s="12">
        <v>38.42</v>
      </c>
    </row>
    <row r="1040" spans="7:10" hidden="1" x14ac:dyDescent="0.3">
      <c r="G1040" s="7" t="s">
        <v>449</v>
      </c>
      <c r="H1040" s="8" t="s">
        <v>2047</v>
      </c>
      <c r="I1040" s="8" t="s">
        <v>2000</v>
      </c>
      <c r="J1040" s="9">
        <v>26.97</v>
      </c>
    </row>
    <row r="1041" spans="7:10" hidden="1" x14ac:dyDescent="0.3">
      <c r="G1041" s="10" t="s">
        <v>462</v>
      </c>
      <c r="H1041" s="11" t="s">
        <v>2034</v>
      </c>
      <c r="I1041" s="11" t="s">
        <v>2000</v>
      </c>
      <c r="J1041" s="12">
        <v>41.21</v>
      </c>
    </row>
    <row r="1042" spans="7:10" hidden="1" x14ac:dyDescent="0.3">
      <c r="G1042" s="10" t="s">
        <v>557</v>
      </c>
      <c r="H1042" s="11" t="s">
        <v>2035</v>
      </c>
      <c r="I1042" s="11" t="s">
        <v>2000</v>
      </c>
      <c r="J1042" s="12">
        <v>22.82</v>
      </c>
    </row>
    <row r="1043" spans="7:10" hidden="1" x14ac:dyDescent="0.3">
      <c r="G1043" s="10" t="s">
        <v>559</v>
      </c>
      <c r="H1043" s="11" t="s">
        <v>1975</v>
      </c>
      <c r="I1043" s="11" t="s">
        <v>2000</v>
      </c>
      <c r="J1043" s="12">
        <v>23.86</v>
      </c>
    </row>
    <row r="1044" spans="7:10" hidden="1" x14ac:dyDescent="0.3">
      <c r="G1044" s="10" t="s">
        <v>572</v>
      </c>
      <c r="H1044" s="11" t="s">
        <v>2052</v>
      </c>
      <c r="I1044" s="11" t="s">
        <v>2000</v>
      </c>
      <c r="J1044" s="12">
        <v>8.99</v>
      </c>
    </row>
    <row r="1045" spans="7:10" hidden="1" x14ac:dyDescent="0.3">
      <c r="G1045" s="10" t="s">
        <v>616</v>
      </c>
      <c r="H1045" s="11" t="s">
        <v>2036</v>
      </c>
      <c r="I1045" s="11" t="s">
        <v>2000</v>
      </c>
      <c r="J1045" s="12">
        <v>70.56</v>
      </c>
    </row>
    <row r="1046" spans="7:10" hidden="1" x14ac:dyDescent="0.3">
      <c r="G1046" s="7" t="s">
        <v>629</v>
      </c>
      <c r="H1046" s="8" t="s">
        <v>2034</v>
      </c>
      <c r="I1046" s="8" t="s">
        <v>2000</v>
      </c>
      <c r="J1046" s="9">
        <v>59.53</v>
      </c>
    </row>
    <row r="1047" spans="7:10" hidden="1" x14ac:dyDescent="0.3">
      <c r="G1047" s="7" t="s">
        <v>663</v>
      </c>
      <c r="H1047" s="8" t="s">
        <v>1975</v>
      </c>
      <c r="I1047" s="8" t="s">
        <v>2000</v>
      </c>
      <c r="J1047" s="9">
        <v>27.39</v>
      </c>
    </row>
    <row r="1048" spans="7:10" hidden="1" x14ac:dyDescent="0.3">
      <c r="G1048" s="7" t="s">
        <v>699</v>
      </c>
      <c r="H1048" s="8" t="s">
        <v>2050</v>
      </c>
      <c r="I1048" s="8" t="s">
        <v>2000</v>
      </c>
      <c r="J1048" s="9">
        <v>24.38</v>
      </c>
    </row>
    <row r="1049" spans="7:10" hidden="1" x14ac:dyDescent="0.3">
      <c r="G1049" s="10" t="s">
        <v>718</v>
      </c>
      <c r="H1049" s="11" t="s">
        <v>2035</v>
      </c>
      <c r="I1049" s="11" t="s">
        <v>2000</v>
      </c>
      <c r="J1049" s="12">
        <v>29.13</v>
      </c>
    </row>
    <row r="1050" spans="7:10" hidden="1" x14ac:dyDescent="0.3">
      <c r="G1050" s="10" t="s">
        <v>931</v>
      </c>
      <c r="H1050" s="11" t="s">
        <v>2034</v>
      </c>
      <c r="I1050" s="11" t="s">
        <v>2000</v>
      </c>
      <c r="J1050" s="12">
        <v>19.809999999999999</v>
      </c>
    </row>
    <row r="1051" spans="7:10" hidden="1" x14ac:dyDescent="0.3">
      <c r="G1051" s="7" t="s">
        <v>1210</v>
      </c>
      <c r="H1051" s="8" t="s">
        <v>2050</v>
      </c>
      <c r="I1051" s="8" t="s">
        <v>2000</v>
      </c>
      <c r="J1051" s="9">
        <v>5.75</v>
      </c>
    </row>
    <row r="1052" spans="7:10" hidden="1" x14ac:dyDescent="0.3">
      <c r="G1052" s="10" t="s">
        <v>1240</v>
      </c>
      <c r="H1052" s="11" t="s">
        <v>2034</v>
      </c>
      <c r="I1052" s="11" t="s">
        <v>2000</v>
      </c>
      <c r="J1052" s="12">
        <v>9.69</v>
      </c>
    </row>
    <row r="1053" spans="7:10" hidden="1" x14ac:dyDescent="0.3">
      <c r="G1053" s="7" t="s">
        <v>1392</v>
      </c>
      <c r="H1053" s="8" t="s">
        <v>2034</v>
      </c>
      <c r="I1053" s="8" t="s">
        <v>2000</v>
      </c>
      <c r="J1053" s="9">
        <v>5</v>
      </c>
    </row>
    <row r="1054" spans="7:10" hidden="1" x14ac:dyDescent="0.3">
      <c r="G1054" s="7" t="s">
        <v>1402</v>
      </c>
      <c r="H1054" s="8" t="s">
        <v>2047</v>
      </c>
      <c r="I1054" s="8" t="s">
        <v>2000</v>
      </c>
      <c r="J1054" s="9">
        <v>8.1199999999999992</v>
      </c>
    </row>
    <row r="1055" spans="7:10" hidden="1" x14ac:dyDescent="0.3">
      <c r="G1055" s="10" t="s">
        <v>1437</v>
      </c>
      <c r="H1055" s="11" t="s">
        <v>2053</v>
      </c>
      <c r="I1055" s="11" t="s">
        <v>2000</v>
      </c>
      <c r="J1055" s="12">
        <v>9.84</v>
      </c>
    </row>
    <row r="1056" spans="7:10" hidden="1" x14ac:dyDescent="0.3">
      <c r="G1056" s="10" t="s">
        <v>1595</v>
      </c>
      <c r="H1056" s="11" t="s">
        <v>2034</v>
      </c>
      <c r="I1056" s="11" t="s">
        <v>2000</v>
      </c>
      <c r="J1056" s="12">
        <v>5.72</v>
      </c>
    </row>
    <row r="1057" spans="7:10" hidden="1" x14ac:dyDescent="0.3">
      <c r="G1057" s="10" t="s">
        <v>1667</v>
      </c>
      <c r="H1057" s="11" t="s">
        <v>2044</v>
      </c>
      <c r="I1057" s="11" t="s">
        <v>2000</v>
      </c>
      <c r="J1057" s="12">
        <v>4.7300000000000004</v>
      </c>
    </row>
    <row r="1058" spans="7:10" hidden="1" x14ac:dyDescent="0.3">
      <c r="G1058" s="10" t="s">
        <v>1683</v>
      </c>
      <c r="H1058" s="11" t="s">
        <v>2047</v>
      </c>
      <c r="I1058" s="11" t="s">
        <v>2000</v>
      </c>
      <c r="J1058" s="12">
        <v>9.8800000000000008</v>
      </c>
    </row>
    <row r="1059" spans="7:10" hidden="1" x14ac:dyDescent="0.3">
      <c r="G1059" s="7" t="s">
        <v>1768</v>
      </c>
      <c r="H1059" s="8" t="s">
        <v>2034</v>
      </c>
      <c r="I1059" s="8" t="s">
        <v>2000</v>
      </c>
      <c r="J1059" s="9">
        <v>8.58</v>
      </c>
    </row>
    <row r="1060" spans="7:10" hidden="1" x14ac:dyDescent="0.3">
      <c r="G1060" s="7" t="s">
        <v>1839</v>
      </c>
      <c r="H1060" s="8" t="s">
        <v>2047</v>
      </c>
      <c r="I1060" s="8" t="s">
        <v>2000</v>
      </c>
      <c r="J1060" s="9">
        <v>5.76</v>
      </c>
    </row>
    <row r="1061" spans="7:10" hidden="1" x14ac:dyDescent="0.3">
      <c r="G1061" s="7" t="s">
        <v>12</v>
      </c>
      <c r="H1061" s="8" t="s">
        <v>2034</v>
      </c>
      <c r="I1061" s="8" t="s">
        <v>2023</v>
      </c>
      <c r="J1061" s="9">
        <v>312.43</v>
      </c>
    </row>
    <row r="1062" spans="7:10" hidden="1" x14ac:dyDescent="0.3">
      <c r="G1062" s="7" t="s">
        <v>70</v>
      </c>
      <c r="H1062" s="8" t="s">
        <v>2034</v>
      </c>
      <c r="I1062" s="8" t="s">
        <v>2023</v>
      </c>
      <c r="J1062" s="9">
        <v>81.510000000000005</v>
      </c>
    </row>
    <row r="1063" spans="7:10" hidden="1" x14ac:dyDescent="0.3">
      <c r="G1063" s="10" t="s">
        <v>137</v>
      </c>
      <c r="H1063" s="11" t="s">
        <v>2034</v>
      </c>
      <c r="I1063" s="11" t="s">
        <v>2023</v>
      </c>
      <c r="J1063" s="12">
        <v>52.62</v>
      </c>
    </row>
    <row r="1064" spans="7:10" hidden="1" x14ac:dyDescent="0.3">
      <c r="G1064" s="10" t="s">
        <v>161</v>
      </c>
      <c r="H1064" s="11" t="s">
        <v>2034</v>
      </c>
      <c r="I1064" s="11" t="s">
        <v>2023</v>
      </c>
      <c r="J1064" s="12">
        <v>43.24</v>
      </c>
    </row>
    <row r="1065" spans="7:10" hidden="1" x14ac:dyDescent="0.3">
      <c r="G1065" s="10" t="s">
        <v>227</v>
      </c>
      <c r="H1065" s="11" t="s">
        <v>2034</v>
      </c>
      <c r="I1065" s="11" t="s">
        <v>2023</v>
      </c>
      <c r="J1065" s="12">
        <v>22.39</v>
      </c>
    </row>
    <row r="1066" spans="7:10" hidden="1" x14ac:dyDescent="0.3">
      <c r="G1066" s="10" t="s">
        <v>231</v>
      </c>
      <c r="H1066" s="11" t="s">
        <v>2034</v>
      </c>
      <c r="I1066" s="11" t="s">
        <v>2023</v>
      </c>
      <c r="J1066" s="12">
        <v>43.21</v>
      </c>
    </row>
    <row r="1067" spans="7:10" hidden="1" x14ac:dyDescent="0.3">
      <c r="G1067" s="10" t="s">
        <v>259</v>
      </c>
      <c r="H1067" s="11" t="s">
        <v>2039</v>
      </c>
      <c r="I1067" s="11" t="s">
        <v>2023</v>
      </c>
      <c r="J1067" s="12">
        <v>32.85</v>
      </c>
    </row>
    <row r="1068" spans="7:10" hidden="1" x14ac:dyDescent="0.3">
      <c r="G1068" s="10" t="s">
        <v>261</v>
      </c>
      <c r="H1068" s="11" t="s">
        <v>2034</v>
      </c>
      <c r="I1068" s="11" t="s">
        <v>2023</v>
      </c>
      <c r="J1068" s="12">
        <v>54.28</v>
      </c>
    </row>
    <row r="1069" spans="7:10" hidden="1" x14ac:dyDescent="0.3">
      <c r="G1069" s="7" t="s">
        <v>284</v>
      </c>
      <c r="H1069" s="8" t="s">
        <v>2034</v>
      </c>
      <c r="I1069" s="8" t="s">
        <v>2023</v>
      </c>
      <c r="J1069" s="9">
        <v>37.01</v>
      </c>
    </row>
    <row r="1070" spans="7:10" hidden="1" x14ac:dyDescent="0.3">
      <c r="G1070" s="10" t="s">
        <v>285</v>
      </c>
      <c r="H1070" s="11" t="s">
        <v>2034</v>
      </c>
      <c r="I1070" s="11" t="s">
        <v>2023</v>
      </c>
      <c r="J1070" s="12">
        <v>38.950000000000003</v>
      </c>
    </row>
    <row r="1071" spans="7:10" hidden="1" x14ac:dyDescent="0.3">
      <c r="G1071" s="10" t="s">
        <v>318</v>
      </c>
      <c r="H1071" s="11" t="s">
        <v>2038</v>
      </c>
      <c r="I1071" s="11" t="s">
        <v>2023</v>
      </c>
      <c r="J1071" s="12">
        <v>40.15</v>
      </c>
    </row>
    <row r="1072" spans="7:10" hidden="1" x14ac:dyDescent="0.3">
      <c r="G1072" s="10" t="s">
        <v>320</v>
      </c>
      <c r="H1072" s="11" t="s">
        <v>2034</v>
      </c>
      <c r="I1072" s="11" t="s">
        <v>2023</v>
      </c>
      <c r="J1072" s="12">
        <v>29.38</v>
      </c>
    </row>
    <row r="1073" spans="7:10" hidden="1" x14ac:dyDescent="0.3">
      <c r="G1073" s="7" t="s">
        <v>396</v>
      </c>
      <c r="H1073" s="8" t="s">
        <v>2034</v>
      </c>
      <c r="I1073" s="8" t="s">
        <v>2023</v>
      </c>
      <c r="J1073" s="9">
        <v>18.78</v>
      </c>
    </row>
    <row r="1074" spans="7:10" hidden="1" x14ac:dyDescent="0.3">
      <c r="G1074" s="7" t="s">
        <v>417</v>
      </c>
      <c r="H1074" s="8" t="s">
        <v>2035</v>
      </c>
      <c r="I1074" s="8" t="s">
        <v>2023</v>
      </c>
      <c r="J1074" s="9">
        <v>14.72</v>
      </c>
    </row>
    <row r="1075" spans="7:10" hidden="1" x14ac:dyDescent="0.3">
      <c r="G1075" s="10" t="s">
        <v>446</v>
      </c>
      <c r="H1075" s="11" t="s">
        <v>2034</v>
      </c>
      <c r="I1075" s="11" t="s">
        <v>2023</v>
      </c>
      <c r="J1075" s="12">
        <v>16.02</v>
      </c>
    </row>
    <row r="1076" spans="7:10" hidden="1" x14ac:dyDescent="0.3">
      <c r="G1076" s="10" t="s">
        <v>480</v>
      </c>
      <c r="H1076" s="11" t="s">
        <v>2035</v>
      </c>
      <c r="I1076" s="11" t="s">
        <v>2023</v>
      </c>
      <c r="J1076" s="12">
        <v>14.42</v>
      </c>
    </row>
    <row r="1077" spans="7:10" hidden="1" x14ac:dyDescent="0.3">
      <c r="G1077" s="7" t="s">
        <v>485</v>
      </c>
      <c r="H1077" s="8" t="s">
        <v>2035</v>
      </c>
      <c r="I1077" s="8" t="s">
        <v>2023</v>
      </c>
      <c r="J1077" s="9">
        <v>14.58</v>
      </c>
    </row>
    <row r="1078" spans="7:10" hidden="1" x14ac:dyDescent="0.3">
      <c r="G1078" s="10" t="s">
        <v>492</v>
      </c>
      <c r="H1078" s="11" t="s">
        <v>2034</v>
      </c>
      <c r="I1078" s="11" t="s">
        <v>2023</v>
      </c>
      <c r="J1078" s="12">
        <v>13.4</v>
      </c>
    </row>
    <row r="1079" spans="7:10" hidden="1" x14ac:dyDescent="0.3">
      <c r="G1079" s="7" t="s">
        <v>495</v>
      </c>
      <c r="H1079" s="8" t="s">
        <v>2034</v>
      </c>
      <c r="I1079" s="8" t="s">
        <v>2023</v>
      </c>
      <c r="J1079" s="9">
        <v>16.079999999999998</v>
      </c>
    </row>
    <row r="1080" spans="7:10" hidden="1" x14ac:dyDescent="0.3">
      <c r="G1080" s="10" t="s">
        <v>518</v>
      </c>
      <c r="H1080" s="11" t="s">
        <v>2034</v>
      </c>
      <c r="I1080" s="11" t="s">
        <v>2023</v>
      </c>
      <c r="J1080" s="12">
        <v>4.55</v>
      </c>
    </row>
    <row r="1081" spans="7:10" hidden="1" x14ac:dyDescent="0.3">
      <c r="G1081" s="7" t="s">
        <v>647</v>
      </c>
      <c r="H1081" s="8" t="s">
        <v>2034</v>
      </c>
      <c r="I1081" s="8" t="s">
        <v>2023</v>
      </c>
      <c r="J1081" s="9">
        <v>16.059999999999999</v>
      </c>
    </row>
    <row r="1082" spans="7:10" hidden="1" x14ac:dyDescent="0.3">
      <c r="G1082" s="7" t="s">
        <v>651</v>
      </c>
      <c r="H1082" s="8" t="s">
        <v>2034</v>
      </c>
      <c r="I1082" s="8" t="s">
        <v>2023</v>
      </c>
      <c r="J1082" s="9">
        <v>5.75</v>
      </c>
    </row>
    <row r="1083" spans="7:10" hidden="1" x14ac:dyDescent="0.3">
      <c r="G1083" s="7" t="s">
        <v>672</v>
      </c>
      <c r="H1083" s="8" t="s">
        <v>2057</v>
      </c>
      <c r="I1083" s="8" t="s">
        <v>2023</v>
      </c>
      <c r="J1083" s="9">
        <v>7.57</v>
      </c>
    </row>
    <row r="1084" spans="7:10" hidden="1" x14ac:dyDescent="0.3">
      <c r="G1084" s="7" t="s">
        <v>725</v>
      </c>
      <c r="H1084" s="8" t="s">
        <v>2034</v>
      </c>
      <c r="I1084" s="8" t="s">
        <v>2023</v>
      </c>
      <c r="J1084" s="9">
        <v>19.25</v>
      </c>
    </row>
    <row r="1085" spans="7:10" hidden="1" x14ac:dyDescent="0.3">
      <c r="G1085" s="7" t="s">
        <v>731</v>
      </c>
      <c r="H1085" s="8" t="s">
        <v>2034</v>
      </c>
      <c r="I1085" s="8" t="s">
        <v>2023</v>
      </c>
      <c r="J1085" s="9">
        <v>9.6999999999999993</v>
      </c>
    </row>
    <row r="1086" spans="7:10" hidden="1" x14ac:dyDescent="0.3">
      <c r="G1086" s="10" t="s">
        <v>798</v>
      </c>
      <c r="H1086" s="11" t="s">
        <v>2035</v>
      </c>
      <c r="I1086" s="11" t="s">
        <v>2023</v>
      </c>
      <c r="J1086" s="12">
        <v>10.34</v>
      </c>
    </row>
    <row r="1087" spans="7:10" hidden="1" x14ac:dyDescent="0.3">
      <c r="G1087" s="10" t="s">
        <v>800</v>
      </c>
      <c r="H1087" s="11" t="s">
        <v>2035</v>
      </c>
      <c r="I1087" s="11" t="s">
        <v>2023</v>
      </c>
      <c r="J1087" s="12">
        <v>13.33</v>
      </c>
    </row>
    <row r="1088" spans="7:10" hidden="1" x14ac:dyDescent="0.3">
      <c r="G1088" s="7" t="s">
        <v>809</v>
      </c>
      <c r="H1088" s="8" t="s">
        <v>2034</v>
      </c>
      <c r="I1088" s="8" t="s">
        <v>2023</v>
      </c>
      <c r="J1088" s="9">
        <v>14.28</v>
      </c>
    </row>
    <row r="1089" spans="7:10" hidden="1" x14ac:dyDescent="0.3">
      <c r="G1089" s="7" t="s">
        <v>827</v>
      </c>
      <c r="H1089" s="8" t="s">
        <v>2034</v>
      </c>
      <c r="I1089" s="8" t="s">
        <v>2023</v>
      </c>
      <c r="J1089" s="9">
        <v>7.72</v>
      </c>
    </row>
    <row r="1090" spans="7:10" hidden="1" x14ac:dyDescent="0.3">
      <c r="G1090" s="10" t="s">
        <v>889</v>
      </c>
      <c r="H1090" s="11" t="s">
        <v>2034</v>
      </c>
      <c r="I1090" s="11" t="s">
        <v>2023</v>
      </c>
      <c r="J1090" s="12">
        <v>8.49</v>
      </c>
    </row>
    <row r="1091" spans="7:10" hidden="1" x14ac:dyDescent="0.3">
      <c r="G1091" s="10" t="s">
        <v>905</v>
      </c>
      <c r="H1091" s="11" t="s">
        <v>2038</v>
      </c>
      <c r="I1091" s="11" t="s">
        <v>2023</v>
      </c>
      <c r="J1091" s="12">
        <v>17.55</v>
      </c>
    </row>
    <row r="1092" spans="7:10" hidden="1" x14ac:dyDescent="0.3">
      <c r="G1092" s="10" t="s">
        <v>933</v>
      </c>
      <c r="H1092" s="11" t="s">
        <v>2034</v>
      </c>
      <c r="I1092" s="11" t="s">
        <v>2023</v>
      </c>
      <c r="J1092" s="12">
        <v>5.59</v>
      </c>
    </row>
    <row r="1093" spans="7:10" hidden="1" x14ac:dyDescent="0.3">
      <c r="G1093" s="10" t="s">
        <v>953</v>
      </c>
      <c r="H1093" s="11" t="s">
        <v>2043</v>
      </c>
      <c r="I1093" s="11" t="s">
        <v>2023</v>
      </c>
      <c r="J1093" s="12">
        <v>7.04</v>
      </c>
    </row>
    <row r="1094" spans="7:10" hidden="1" x14ac:dyDescent="0.3">
      <c r="G1094" s="7" t="s">
        <v>964</v>
      </c>
      <c r="H1094" s="8" t="s">
        <v>2034</v>
      </c>
      <c r="I1094" s="8" t="s">
        <v>2023</v>
      </c>
      <c r="J1094" s="9">
        <v>5.76</v>
      </c>
    </row>
    <row r="1095" spans="7:10" hidden="1" x14ac:dyDescent="0.3">
      <c r="G1095" s="10" t="s">
        <v>973</v>
      </c>
      <c r="H1095" s="11" t="s">
        <v>2041</v>
      </c>
      <c r="I1095" s="11" t="s">
        <v>2023</v>
      </c>
      <c r="J1095" s="12">
        <v>18.25</v>
      </c>
    </row>
    <row r="1096" spans="7:10" hidden="1" x14ac:dyDescent="0.3">
      <c r="G1096" s="10" t="s">
        <v>978</v>
      </c>
      <c r="H1096" s="11" t="s">
        <v>2038</v>
      </c>
      <c r="I1096" s="11" t="s">
        <v>2023</v>
      </c>
      <c r="J1096" s="12">
        <v>10.29</v>
      </c>
    </row>
    <row r="1097" spans="7:10" hidden="1" x14ac:dyDescent="0.3">
      <c r="G1097" s="7" t="s">
        <v>983</v>
      </c>
      <c r="H1097" s="8" t="s">
        <v>2034</v>
      </c>
      <c r="I1097" s="8" t="s">
        <v>2023</v>
      </c>
      <c r="J1097" s="9">
        <v>7.19</v>
      </c>
    </row>
    <row r="1098" spans="7:10" hidden="1" x14ac:dyDescent="0.3">
      <c r="G1098" s="7" t="s">
        <v>1009</v>
      </c>
      <c r="H1098" s="8" t="s">
        <v>2035</v>
      </c>
      <c r="I1098" s="8" t="s">
        <v>2023</v>
      </c>
      <c r="J1098" s="9">
        <v>5.38</v>
      </c>
    </row>
    <row r="1099" spans="7:10" hidden="1" x14ac:dyDescent="0.3">
      <c r="G1099" s="7" t="s">
        <v>1065</v>
      </c>
      <c r="H1099" s="8" t="s">
        <v>2047</v>
      </c>
      <c r="I1099" s="8" t="s">
        <v>2023</v>
      </c>
      <c r="J1099" s="9">
        <v>6.15</v>
      </c>
    </row>
    <row r="1100" spans="7:10" hidden="1" x14ac:dyDescent="0.3">
      <c r="G1100" s="7" t="s">
        <v>1075</v>
      </c>
      <c r="H1100" s="8" t="s">
        <v>2034</v>
      </c>
      <c r="I1100" s="8" t="s">
        <v>2023</v>
      </c>
      <c r="J1100" s="9">
        <v>8.3000000000000007</v>
      </c>
    </row>
    <row r="1101" spans="7:10" hidden="1" x14ac:dyDescent="0.3">
      <c r="G1101" s="10" t="s">
        <v>1125</v>
      </c>
      <c r="H1101" s="11" t="s">
        <v>2047</v>
      </c>
      <c r="I1101" s="11" t="s">
        <v>2023</v>
      </c>
      <c r="J1101" s="12">
        <v>6.68</v>
      </c>
    </row>
    <row r="1102" spans="7:10" hidden="1" x14ac:dyDescent="0.3">
      <c r="G1102" s="7" t="s">
        <v>1140</v>
      </c>
      <c r="H1102" s="8" t="s">
        <v>2034</v>
      </c>
      <c r="I1102" s="8" t="s">
        <v>2023</v>
      </c>
      <c r="J1102" s="9">
        <v>16.84</v>
      </c>
    </row>
    <row r="1103" spans="7:10" hidden="1" x14ac:dyDescent="0.3">
      <c r="G1103" s="7" t="s">
        <v>1160</v>
      </c>
      <c r="H1103" s="8" t="s">
        <v>2038</v>
      </c>
      <c r="I1103" s="8" t="s">
        <v>2023</v>
      </c>
      <c r="J1103" s="9">
        <v>5.19</v>
      </c>
    </row>
    <row r="1104" spans="7:10" hidden="1" x14ac:dyDescent="0.3">
      <c r="G1104" s="7" t="s">
        <v>1178</v>
      </c>
      <c r="H1104" s="8" t="s">
        <v>2038</v>
      </c>
      <c r="I1104" s="8" t="s">
        <v>2023</v>
      </c>
      <c r="J1104" s="9">
        <v>9.82</v>
      </c>
    </row>
    <row r="1105" spans="7:10" hidden="1" x14ac:dyDescent="0.3">
      <c r="G1105" s="10" t="s">
        <v>2024</v>
      </c>
      <c r="H1105" s="11" t="s">
        <v>2038</v>
      </c>
      <c r="I1105" s="11" t="s">
        <v>2023</v>
      </c>
      <c r="J1105" s="12">
        <v>3.47</v>
      </c>
    </row>
    <row r="1106" spans="7:10" hidden="1" x14ac:dyDescent="0.3">
      <c r="G1106" s="10" t="s">
        <v>1254</v>
      </c>
      <c r="H1106" s="11" t="s">
        <v>2052</v>
      </c>
      <c r="I1106" s="11" t="s">
        <v>2023</v>
      </c>
      <c r="J1106" s="12">
        <v>2.66</v>
      </c>
    </row>
    <row r="1107" spans="7:10" hidden="1" x14ac:dyDescent="0.3">
      <c r="G1107" s="10" t="s">
        <v>1256</v>
      </c>
      <c r="H1107" s="11" t="s">
        <v>2034</v>
      </c>
      <c r="I1107" s="11" t="s">
        <v>2023</v>
      </c>
      <c r="J1107" s="12">
        <v>6.29</v>
      </c>
    </row>
    <row r="1108" spans="7:10" hidden="1" x14ac:dyDescent="0.3">
      <c r="G1108" s="10" t="s">
        <v>1299</v>
      </c>
      <c r="H1108" s="11" t="s">
        <v>2038</v>
      </c>
      <c r="I1108" s="11" t="s">
        <v>2023</v>
      </c>
      <c r="J1108" s="12">
        <v>11.4</v>
      </c>
    </row>
    <row r="1109" spans="7:10" hidden="1" x14ac:dyDescent="0.3">
      <c r="G1109" s="7" t="s">
        <v>1350</v>
      </c>
      <c r="H1109" s="8" t="s">
        <v>2034</v>
      </c>
      <c r="I1109" s="8" t="s">
        <v>2023</v>
      </c>
      <c r="J1109" s="9">
        <v>11.16</v>
      </c>
    </row>
    <row r="1110" spans="7:10" hidden="1" x14ac:dyDescent="0.3">
      <c r="G1110" s="7" t="s">
        <v>1364</v>
      </c>
      <c r="H1110" s="8" t="s">
        <v>2080</v>
      </c>
      <c r="I1110" s="8" t="s">
        <v>2023</v>
      </c>
      <c r="J1110" s="9">
        <v>4.88</v>
      </c>
    </row>
    <row r="1111" spans="7:10" hidden="1" x14ac:dyDescent="0.3">
      <c r="G1111" s="7" t="s">
        <v>1440</v>
      </c>
      <c r="H1111" s="8" t="s">
        <v>2034</v>
      </c>
      <c r="I1111" s="8" t="s">
        <v>2023</v>
      </c>
      <c r="J1111" s="9">
        <v>5.96</v>
      </c>
    </row>
    <row r="1112" spans="7:10" hidden="1" x14ac:dyDescent="0.3">
      <c r="G1112" s="10" t="s">
        <v>1443</v>
      </c>
      <c r="H1112" s="11" t="s">
        <v>2034</v>
      </c>
      <c r="I1112" s="11" t="s">
        <v>2023</v>
      </c>
      <c r="J1112" s="12">
        <v>2.78</v>
      </c>
    </row>
    <row r="1113" spans="7:10" hidden="1" x14ac:dyDescent="0.3">
      <c r="G1113" s="7" t="s">
        <v>1444</v>
      </c>
      <c r="H1113" s="8" t="s">
        <v>2034</v>
      </c>
      <c r="I1113" s="8" t="s">
        <v>2023</v>
      </c>
      <c r="J1113" s="9">
        <v>5.62</v>
      </c>
    </row>
    <row r="1114" spans="7:10" hidden="1" x14ac:dyDescent="0.3">
      <c r="G1114" s="7" t="s">
        <v>1474</v>
      </c>
      <c r="H1114" s="8" t="s">
        <v>2034</v>
      </c>
      <c r="I1114" s="8" t="s">
        <v>2023</v>
      </c>
      <c r="J1114" s="9">
        <v>4.26</v>
      </c>
    </row>
    <row r="1115" spans="7:10" hidden="1" x14ac:dyDescent="0.3">
      <c r="G1115" s="7" t="s">
        <v>1504</v>
      </c>
      <c r="H1115" s="8" t="s">
        <v>2034</v>
      </c>
      <c r="I1115" s="8" t="s">
        <v>2023</v>
      </c>
      <c r="J1115" s="9">
        <v>9.16</v>
      </c>
    </row>
    <row r="1116" spans="7:10" hidden="1" x14ac:dyDescent="0.3">
      <c r="G1116" s="7" t="s">
        <v>1516</v>
      </c>
      <c r="H1116" s="8" t="s">
        <v>2047</v>
      </c>
      <c r="I1116" s="8" t="s">
        <v>2023</v>
      </c>
      <c r="J1116" s="9">
        <v>9.59</v>
      </c>
    </row>
    <row r="1117" spans="7:10" hidden="1" x14ac:dyDescent="0.3">
      <c r="G1117" s="7" t="s">
        <v>1526</v>
      </c>
      <c r="H1117" s="8" t="s">
        <v>2034</v>
      </c>
      <c r="I1117" s="8" t="s">
        <v>2023</v>
      </c>
      <c r="J1117" s="9">
        <v>3.59</v>
      </c>
    </row>
    <row r="1118" spans="7:10" hidden="1" x14ac:dyDescent="0.3">
      <c r="G1118" s="10" t="s">
        <v>1531</v>
      </c>
      <c r="H1118" s="11" t="s">
        <v>2080</v>
      </c>
      <c r="I1118" s="11" t="s">
        <v>2023</v>
      </c>
      <c r="J1118" s="12">
        <v>2.89</v>
      </c>
    </row>
    <row r="1119" spans="7:10" hidden="1" x14ac:dyDescent="0.3">
      <c r="G1119" s="10" t="s">
        <v>1535</v>
      </c>
      <c r="H1119" s="11" t="s">
        <v>2038</v>
      </c>
      <c r="I1119" s="11" t="s">
        <v>2023</v>
      </c>
      <c r="J1119" s="12">
        <v>8.5</v>
      </c>
    </row>
    <row r="1120" spans="7:10" hidden="1" x14ac:dyDescent="0.3">
      <c r="G1120" s="7" t="s">
        <v>1554</v>
      </c>
      <c r="H1120" s="8" t="s">
        <v>2035</v>
      </c>
      <c r="I1120" s="8" t="s">
        <v>2023</v>
      </c>
      <c r="J1120" s="9">
        <v>7.46</v>
      </c>
    </row>
    <row r="1121" spans="7:10" hidden="1" x14ac:dyDescent="0.3">
      <c r="G1121" s="10" t="s">
        <v>1575</v>
      </c>
      <c r="H1121" s="11" t="s">
        <v>2034</v>
      </c>
      <c r="I1121" s="11" t="s">
        <v>2023</v>
      </c>
      <c r="J1121" s="12">
        <v>7.75</v>
      </c>
    </row>
    <row r="1122" spans="7:10" hidden="1" x14ac:dyDescent="0.3">
      <c r="G1122" s="10" t="s">
        <v>1593</v>
      </c>
      <c r="H1122" s="11" t="s">
        <v>2034</v>
      </c>
      <c r="I1122" s="11" t="s">
        <v>2023</v>
      </c>
      <c r="J1122" s="12">
        <v>2.35</v>
      </c>
    </row>
    <row r="1123" spans="7:10" hidden="1" x14ac:dyDescent="0.3">
      <c r="G1123" s="10" t="s">
        <v>1613</v>
      </c>
      <c r="H1123" s="11" t="s">
        <v>2034</v>
      </c>
      <c r="I1123" s="11" t="s">
        <v>2023</v>
      </c>
      <c r="J1123" s="12">
        <v>4.74</v>
      </c>
    </row>
    <row r="1124" spans="7:10" hidden="1" x14ac:dyDescent="0.3">
      <c r="G1124" s="7" t="s">
        <v>1614</v>
      </c>
      <c r="H1124" s="8" t="s">
        <v>2034</v>
      </c>
      <c r="I1124" s="8" t="s">
        <v>2023</v>
      </c>
      <c r="J1124" s="9">
        <v>5.08</v>
      </c>
    </row>
    <row r="1125" spans="7:10" hidden="1" x14ac:dyDescent="0.3">
      <c r="G1125" s="7" t="s">
        <v>1628</v>
      </c>
      <c r="H1125" s="8" t="s">
        <v>2038</v>
      </c>
      <c r="I1125" s="8" t="s">
        <v>2023</v>
      </c>
      <c r="J1125" s="9">
        <v>5.87</v>
      </c>
    </row>
    <row r="1126" spans="7:10" hidden="1" x14ac:dyDescent="0.3">
      <c r="G1126" s="7" t="s">
        <v>1636</v>
      </c>
      <c r="H1126" s="8" t="s">
        <v>2034</v>
      </c>
      <c r="I1126" s="8" t="s">
        <v>2023</v>
      </c>
      <c r="J1126" s="9">
        <v>3.41</v>
      </c>
    </row>
    <row r="1127" spans="7:10" hidden="1" x14ac:dyDescent="0.3">
      <c r="G1127" s="10" t="s">
        <v>1655</v>
      </c>
      <c r="H1127" s="11" t="s">
        <v>2038</v>
      </c>
      <c r="I1127" s="11" t="s">
        <v>2023</v>
      </c>
      <c r="J1127" s="12">
        <v>7.76</v>
      </c>
    </row>
    <row r="1128" spans="7:10" hidden="1" x14ac:dyDescent="0.3">
      <c r="G1128" s="7" t="s">
        <v>1690</v>
      </c>
      <c r="H1128" s="8" t="s">
        <v>2038</v>
      </c>
      <c r="I1128" s="8" t="s">
        <v>2023</v>
      </c>
      <c r="J1128" s="9">
        <v>3.72</v>
      </c>
    </row>
    <row r="1129" spans="7:10" hidden="1" x14ac:dyDescent="0.3">
      <c r="G1129" s="10" t="s">
        <v>1697</v>
      </c>
      <c r="H1129" s="11" t="s">
        <v>2034</v>
      </c>
      <c r="I1129" s="11" t="s">
        <v>2023</v>
      </c>
      <c r="J1129" s="12">
        <v>1.31</v>
      </c>
    </row>
    <row r="1130" spans="7:10" hidden="1" x14ac:dyDescent="0.3">
      <c r="G1130" s="7" t="s">
        <v>1702</v>
      </c>
      <c r="H1130" s="8" t="s">
        <v>2034</v>
      </c>
      <c r="I1130" s="8" t="s">
        <v>2023</v>
      </c>
      <c r="J1130" s="9">
        <v>10.19</v>
      </c>
    </row>
    <row r="1131" spans="7:10" hidden="1" x14ac:dyDescent="0.3">
      <c r="G1131" s="7" t="s">
        <v>1802</v>
      </c>
      <c r="H1131" s="8" t="s">
        <v>2060</v>
      </c>
      <c r="I1131" s="8" t="s">
        <v>2023</v>
      </c>
      <c r="J1131" s="9">
        <v>3</v>
      </c>
    </row>
    <row r="1132" spans="7:10" hidden="1" x14ac:dyDescent="0.3">
      <c r="G1132" s="7" t="s">
        <v>1810</v>
      </c>
      <c r="H1132" s="8" t="s">
        <v>2035</v>
      </c>
      <c r="I1132" s="8" t="s">
        <v>2023</v>
      </c>
      <c r="J1132" s="9">
        <v>4.45</v>
      </c>
    </row>
    <row r="1133" spans="7:10" hidden="1" x14ac:dyDescent="0.3">
      <c r="G1133" s="10" t="s">
        <v>1811</v>
      </c>
      <c r="H1133" s="11" t="s">
        <v>2034</v>
      </c>
      <c r="I1133" s="11" t="s">
        <v>2023</v>
      </c>
      <c r="J1133" s="12">
        <v>7.88</v>
      </c>
    </row>
    <row r="1134" spans="7:10" hidden="1" x14ac:dyDescent="0.3">
      <c r="G1134" s="10" t="s">
        <v>1815</v>
      </c>
      <c r="H1134" s="11" t="s">
        <v>2034</v>
      </c>
      <c r="I1134" s="11" t="s">
        <v>2023</v>
      </c>
      <c r="J1134" s="12">
        <v>7.85</v>
      </c>
    </row>
    <row r="1135" spans="7:10" hidden="1" x14ac:dyDescent="0.3">
      <c r="G1135" s="7" t="s">
        <v>1818</v>
      </c>
      <c r="H1135" s="8" t="s">
        <v>2035</v>
      </c>
      <c r="I1135" s="8" t="s">
        <v>2023</v>
      </c>
      <c r="J1135" s="9">
        <v>3.51</v>
      </c>
    </row>
    <row r="1136" spans="7:10" hidden="1" x14ac:dyDescent="0.3">
      <c r="G1136" s="10" t="s">
        <v>1825</v>
      </c>
      <c r="H1136" s="11" t="s">
        <v>2034</v>
      </c>
      <c r="I1136" s="11" t="s">
        <v>2023</v>
      </c>
      <c r="J1136" s="12">
        <v>3.64</v>
      </c>
    </row>
    <row r="1137" spans="7:10" hidden="1" x14ac:dyDescent="0.3">
      <c r="G1137" s="7" t="s">
        <v>1830</v>
      </c>
      <c r="H1137" s="8" t="s">
        <v>2034</v>
      </c>
      <c r="I1137" s="8" t="s">
        <v>2023</v>
      </c>
      <c r="J1137" s="9">
        <v>6.03</v>
      </c>
    </row>
    <row r="1138" spans="7:10" hidden="1" x14ac:dyDescent="0.3">
      <c r="G1138" s="10" t="s">
        <v>1846</v>
      </c>
      <c r="H1138" s="11" t="s">
        <v>2060</v>
      </c>
      <c r="I1138" s="11" t="s">
        <v>2023</v>
      </c>
      <c r="J1138" s="12">
        <v>4.5599999999999996</v>
      </c>
    </row>
    <row r="1139" spans="7:10" hidden="1" x14ac:dyDescent="0.3">
      <c r="G1139" s="10" t="s">
        <v>1888</v>
      </c>
      <c r="H1139" s="11" t="s">
        <v>2034</v>
      </c>
      <c r="I1139" s="11" t="s">
        <v>2023</v>
      </c>
      <c r="J1139" s="12">
        <v>6.25</v>
      </c>
    </row>
    <row r="1140" spans="7:10" hidden="1" x14ac:dyDescent="0.3">
      <c r="G1140" s="10" t="s">
        <v>1892</v>
      </c>
      <c r="H1140" s="11" t="s">
        <v>2034</v>
      </c>
      <c r="I1140" s="11" t="s">
        <v>2023</v>
      </c>
      <c r="J1140" s="12">
        <v>1.52</v>
      </c>
    </row>
    <row r="1141" spans="7:10" hidden="1" x14ac:dyDescent="0.3">
      <c r="G1141" s="10" t="s">
        <v>1896</v>
      </c>
      <c r="H1141" s="11" t="s">
        <v>2034</v>
      </c>
      <c r="I1141" s="11" t="s">
        <v>2023</v>
      </c>
      <c r="J1141" s="12">
        <v>2.2200000000000002</v>
      </c>
    </row>
    <row r="1142" spans="7:10" hidden="1" x14ac:dyDescent="0.3">
      <c r="G1142" s="7" t="s">
        <v>1915</v>
      </c>
      <c r="H1142" s="8" t="s">
        <v>2060</v>
      </c>
      <c r="I1142" s="8" t="s">
        <v>2023</v>
      </c>
      <c r="J1142" s="9">
        <v>3.02</v>
      </c>
    </row>
    <row r="1143" spans="7:10" hidden="1" x14ac:dyDescent="0.3">
      <c r="G1143" s="7" t="s">
        <v>1919</v>
      </c>
      <c r="H1143" s="8" t="s">
        <v>2035</v>
      </c>
      <c r="I1143" s="8" t="s">
        <v>2023</v>
      </c>
      <c r="J1143" s="9">
        <v>3.04</v>
      </c>
    </row>
    <row r="1144" spans="7:10" hidden="1" x14ac:dyDescent="0.3">
      <c r="G1144" s="7" t="s">
        <v>1936</v>
      </c>
      <c r="H1144" s="8" t="s">
        <v>2034</v>
      </c>
      <c r="I1144" s="8" t="s">
        <v>2023</v>
      </c>
      <c r="J1144" s="9">
        <v>6.05</v>
      </c>
    </row>
    <row r="1145" spans="7:10" hidden="1" x14ac:dyDescent="0.3">
      <c r="G1145" s="7" t="s">
        <v>1948</v>
      </c>
      <c r="H1145" s="8" t="s">
        <v>2034</v>
      </c>
      <c r="I1145" s="8" t="s">
        <v>2023</v>
      </c>
      <c r="J1145" s="9">
        <v>5.98</v>
      </c>
    </row>
    <row r="1146" spans="7:10" hidden="1" x14ac:dyDescent="0.3">
      <c r="G1146" s="7" t="s">
        <v>126</v>
      </c>
      <c r="H1146" s="8" t="s">
        <v>2034</v>
      </c>
      <c r="I1146" s="8" t="s">
        <v>1987</v>
      </c>
      <c r="J1146" s="9">
        <v>36.340000000000003</v>
      </c>
    </row>
    <row r="1147" spans="7:10" hidden="1" x14ac:dyDescent="0.3">
      <c r="G1147" s="7" t="s">
        <v>214</v>
      </c>
      <c r="H1147" s="8" t="s">
        <v>2057</v>
      </c>
      <c r="I1147" s="8" t="s">
        <v>1987</v>
      </c>
      <c r="J1147" s="9">
        <v>30.23</v>
      </c>
    </row>
    <row r="1148" spans="7:10" hidden="1" x14ac:dyDescent="0.3">
      <c r="G1148" s="7" t="s">
        <v>238</v>
      </c>
      <c r="H1148" s="8" t="s">
        <v>2034</v>
      </c>
      <c r="I1148" s="8" t="s">
        <v>1987</v>
      </c>
      <c r="J1148" s="9">
        <v>22.01</v>
      </c>
    </row>
    <row r="1149" spans="7:10" hidden="1" x14ac:dyDescent="0.3">
      <c r="G1149" s="7" t="s">
        <v>311</v>
      </c>
      <c r="H1149" s="8" t="s">
        <v>2038</v>
      </c>
      <c r="I1149" s="8" t="s">
        <v>1987</v>
      </c>
      <c r="J1149" s="9">
        <v>31.82</v>
      </c>
    </row>
    <row r="1150" spans="7:10" hidden="1" x14ac:dyDescent="0.3">
      <c r="G1150" s="7" t="s">
        <v>317</v>
      </c>
      <c r="H1150" s="8" t="s">
        <v>2037</v>
      </c>
      <c r="I1150" s="8" t="s">
        <v>1987</v>
      </c>
      <c r="J1150" s="9">
        <v>21.3</v>
      </c>
    </row>
    <row r="1151" spans="7:10" hidden="1" x14ac:dyDescent="0.3">
      <c r="G1151" s="10" t="s">
        <v>328</v>
      </c>
      <c r="H1151" s="11" t="s">
        <v>2039</v>
      </c>
      <c r="I1151" s="11" t="s">
        <v>1987</v>
      </c>
      <c r="J1151" s="12">
        <v>13.8</v>
      </c>
    </row>
    <row r="1152" spans="7:10" hidden="1" x14ac:dyDescent="0.3">
      <c r="G1152" s="7" t="s">
        <v>382</v>
      </c>
      <c r="H1152" s="8" t="s">
        <v>2034</v>
      </c>
      <c r="I1152" s="8" t="s">
        <v>1987</v>
      </c>
      <c r="J1152" s="9">
        <v>12.92</v>
      </c>
    </row>
    <row r="1153" spans="7:10" hidden="1" x14ac:dyDescent="0.3">
      <c r="G1153" s="7" t="s">
        <v>479</v>
      </c>
      <c r="H1153" s="8" t="s">
        <v>2038</v>
      </c>
      <c r="I1153" s="8" t="s">
        <v>1987</v>
      </c>
      <c r="J1153" s="9">
        <v>13.39</v>
      </c>
    </row>
    <row r="1154" spans="7:10" hidden="1" x14ac:dyDescent="0.3">
      <c r="G1154" s="7" t="s">
        <v>511</v>
      </c>
      <c r="H1154" s="8" t="s">
        <v>2041</v>
      </c>
      <c r="I1154" s="8" t="s">
        <v>1987</v>
      </c>
      <c r="J1154" s="9">
        <v>17.68</v>
      </c>
    </row>
    <row r="1155" spans="7:10" hidden="1" x14ac:dyDescent="0.3">
      <c r="G1155" s="10" t="s">
        <v>516</v>
      </c>
      <c r="H1155" s="11" t="s">
        <v>2038</v>
      </c>
      <c r="I1155" s="11" t="s">
        <v>1987</v>
      </c>
      <c r="J1155" s="12">
        <v>9.17</v>
      </c>
    </row>
    <row r="1156" spans="7:10" hidden="1" x14ac:dyDescent="0.3">
      <c r="G1156" s="10" t="s">
        <v>528</v>
      </c>
      <c r="H1156" s="11" t="s">
        <v>2034</v>
      </c>
      <c r="I1156" s="11" t="s">
        <v>1987</v>
      </c>
      <c r="J1156" s="12">
        <v>7.98</v>
      </c>
    </row>
    <row r="1157" spans="7:10" hidden="1" x14ac:dyDescent="0.3">
      <c r="G1157" s="10" t="s">
        <v>543</v>
      </c>
      <c r="H1157" s="11" t="s">
        <v>2041</v>
      </c>
      <c r="I1157" s="11" t="s">
        <v>1987</v>
      </c>
      <c r="J1157" s="12">
        <v>11.23</v>
      </c>
    </row>
    <row r="1158" spans="7:10" hidden="1" x14ac:dyDescent="0.3">
      <c r="G1158" s="7" t="s">
        <v>556</v>
      </c>
      <c r="H1158" s="8" t="s">
        <v>2038</v>
      </c>
      <c r="I1158" s="8" t="s">
        <v>1987</v>
      </c>
      <c r="J1158" s="9">
        <v>16.239999999999998</v>
      </c>
    </row>
    <row r="1159" spans="7:10" hidden="1" x14ac:dyDescent="0.3">
      <c r="G1159" s="10" t="s">
        <v>574</v>
      </c>
      <c r="H1159" s="11" t="s">
        <v>2034</v>
      </c>
      <c r="I1159" s="11" t="s">
        <v>1987</v>
      </c>
      <c r="J1159" s="12">
        <v>11.12</v>
      </c>
    </row>
    <row r="1160" spans="7:10" hidden="1" x14ac:dyDescent="0.3">
      <c r="G1160" s="10" t="s">
        <v>600</v>
      </c>
      <c r="H1160" s="11" t="s">
        <v>2038</v>
      </c>
      <c r="I1160" s="11" t="s">
        <v>1987</v>
      </c>
      <c r="J1160" s="12">
        <v>24.17</v>
      </c>
    </row>
    <row r="1161" spans="7:10" hidden="1" x14ac:dyDescent="0.3">
      <c r="G1161" s="10" t="s">
        <v>642</v>
      </c>
      <c r="H1161" s="11" t="s">
        <v>2057</v>
      </c>
      <c r="I1161" s="11" t="s">
        <v>1987</v>
      </c>
      <c r="J1161" s="12">
        <v>7.96</v>
      </c>
    </row>
    <row r="1162" spans="7:10" hidden="1" x14ac:dyDescent="0.3">
      <c r="G1162" s="7" t="s">
        <v>657</v>
      </c>
      <c r="H1162" s="8" t="s">
        <v>2057</v>
      </c>
      <c r="I1162" s="8" t="s">
        <v>1987</v>
      </c>
      <c r="J1162" s="9">
        <v>6.63</v>
      </c>
    </row>
    <row r="1163" spans="7:10" hidden="1" x14ac:dyDescent="0.3">
      <c r="G1163" s="10" t="s">
        <v>690</v>
      </c>
      <c r="H1163" s="11" t="s">
        <v>2057</v>
      </c>
      <c r="I1163" s="11" t="s">
        <v>1987</v>
      </c>
      <c r="J1163" s="12">
        <v>8.4</v>
      </c>
    </row>
    <row r="1164" spans="7:10" hidden="1" x14ac:dyDescent="0.3">
      <c r="G1164" s="10" t="s">
        <v>700</v>
      </c>
      <c r="H1164" s="11" t="s">
        <v>2034</v>
      </c>
      <c r="I1164" s="11" t="s">
        <v>1987</v>
      </c>
      <c r="J1164" s="12">
        <v>8.6199999999999992</v>
      </c>
    </row>
    <row r="1165" spans="7:10" hidden="1" x14ac:dyDescent="0.3">
      <c r="G1165" s="10" t="s">
        <v>722</v>
      </c>
      <c r="H1165" s="11" t="s">
        <v>2038</v>
      </c>
      <c r="I1165" s="11" t="s">
        <v>1987</v>
      </c>
      <c r="J1165" s="12">
        <v>13.81</v>
      </c>
    </row>
    <row r="1166" spans="7:10" hidden="1" x14ac:dyDescent="0.3">
      <c r="G1166" s="10" t="s">
        <v>724</v>
      </c>
      <c r="H1166" s="11" t="s">
        <v>2039</v>
      </c>
      <c r="I1166" s="11" t="s">
        <v>1987</v>
      </c>
      <c r="J1166" s="12">
        <v>17.7</v>
      </c>
    </row>
    <row r="1167" spans="7:10" hidden="1" x14ac:dyDescent="0.3">
      <c r="G1167" s="7" t="s">
        <v>735</v>
      </c>
      <c r="H1167" s="8" t="s">
        <v>2034</v>
      </c>
      <c r="I1167" s="8" t="s">
        <v>1987</v>
      </c>
      <c r="J1167" s="9">
        <v>10.26</v>
      </c>
    </row>
    <row r="1168" spans="7:10" hidden="1" x14ac:dyDescent="0.3">
      <c r="G1168" s="10" t="s">
        <v>812</v>
      </c>
      <c r="H1168" s="11" t="s">
        <v>2038</v>
      </c>
      <c r="I1168" s="11" t="s">
        <v>1987</v>
      </c>
      <c r="J1168" s="12">
        <v>3.08</v>
      </c>
    </row>
    <row r="1169" spans="7:10" hidden="1" x14ac:dyDescent="0.3">
      <c r="G1169" s="10" t="s">
        <v>847</v>
      </c>
      <c r="H1169" s="11" t="s">
        <v>2034</v>
      </c>
      <c r="I1169" s="11" t="s">
        <v>1987</v>
      </c>
      <c r="J1169" s="12">
        <v>9.92</v>
      </c>
    </row>
    <row r="1170" spans="7:10" hidden="1" x14ac:dyDescent="0.3">
      <c r="G1170" s="10" t="s">
        <v>901</v>
      </c>
      <c r="H1170" s="11" t="s">
        <v>2034</v>
      </c>
      <c r="I1170" s="11" t="s">
        <v>1987</v>
      </c>
      <c r="J1170" s="12">
        <v>5.12</v>
      </c>
    </row>
    <row r="1171" spans="7:10" hidden="1" x14ac:dyDescent="0.3">
      <c r="G1171" s="10" t="s">
        <v>909</v>
      </c>
      <c r="H1171" s="11" t="s">
        <v>2038</v>
      </c>
      <c r="I1171" s="11" t="s">
        <v>1987</v>
      </c>
      <c r="J1171" s="12">
        <v>6.8</v>
      </c>
    </row>
    <row r="1172" spans="7:10" hidden="1" x14ac:dyDescent="0.3">
      <c r="G1172" s="10" t="s">
        <v>949</v>
      </c>
      <c r="H1172" s="11" t="s">
        <v>2043</v>
      </c>
      <c r="I1172" s="11" t="s">
        <v>1987</v>
      </c>
      <c r="J1172" s="12">
        <v>11.5</v>
      </c>
    </row>
    <row r="1173" spans="7:10" hidden="1" x14ac:dyDescent="0.3">
      <c r="G1173" s="7" t="s">
        <v>974</v>
      </c>
      <c r="H1173" s="8" t="s">
        <v>2057</v>
      </c>
      <c r="I1173" s="8" t="s">
        <v>1987</v>
      </c>
      <c r="J1173" s="9">
        <v>6.19</v>
      </c>
    </row>
    <row r="1174" spans="7:10" hidden="1" x14ac:dyDescent="0.3">
      <c r="G1174" s="10" t="s">
        <v>1024</v>
      </c>
      <c r="H1174" s="11" t="s">
        <v>2051</v>
      </c>
      <c r="I1174" s="11" t="s">
        <v>1987</v>
      </c>
      <c r="J1174" s="12">
        <v>4.7300000000000004</v>
      </c>
    </row>
    <row r="1175" spans="7:10" hidden="1" x14ac:dyDescent="0.3">
      <c r="G1175" s="7" t="s">
        <v>1029</v>
      </c>
      <c r="H1175" s="8" t="s">
        <v>2038</v>
      </c>
      <c r="I1175" s="8" t="s">
        <v>1987</v>
      </c>
      <c r="J1175" s="9">
        <v>11.58</v>
      </c>
    </row>
    <row r="1176" spans="7:10" hidden="1" x14ac:dyDescent="0.3">
      <c r="G1176" s="10" t="s">
        <v>1044</v>
      </c>
      <c r="H1176" s="11" t="s">
        <v>2038</v>
      </c>
      <c r="I1176" s="11" t="s">
        <v>1987</v>
      </c>
      <c r="J1176" s="12">
        <v>4.53</v>
      </c>
    </row>
    <row r="1177" spans="7:10" hidden="1" x14ac:dyDescent="0.3">
      <c r="G1177" s="10" t="s">
        <v>1097</v>
      </c>
      <c r="H1177" s="11" t="s">
        <v>2038</v>
      </c>
      <c r="I1177" s="11" t="s">
        <v>1987</v>
      </c>
      <c r="J1177" s="12">
        <v>10.16</v>
      </c>
    </row>
    <row r="1178" spans="7:10" hidden="1" x14ac:dyDescent="0.3">
      <c r="G1178" s="10" t="s">
        <v>1113</v>
      </c>
      <c r="H1178" s="11" t="s">
        <v>2034</v>
      </c>
      <c r="I1178" s="11" t="s">
        <v>1987</v>
      </c>
      <c r="J1178" s="12">
        <v>5.53</v>
      </c>
    </row>
    <row r="1179" spans="7:10" hidden="1" x14ac:dyDescent="0.3">
      <c r="G1179" s="10" t="s">
        <v>1115</v>
      </c>
      <c r="H1179" s="11" t="s">
        <v>2037</v>
      </c>
      <c r="I1179" s="11" t="s">
        <v>1987</v>
      </c>
      <c r="J1179" s="12">
        <v>7.21</v>
      </c>
    </row>
    <row r="1180" spans="7:10" hidden="1" x14ac:dyDescent="0.3">
      <c r="G1180" s="7" t="s">
        <v>1116</v>
      </c>
      <c r="H1180" s="8" t="s">
        <v>2038</v>
      </c>
      <c r="I1180" s="8" t="s">
        <v>1987</v>
      </c>
      <c r="J1180" s="9">
        <v>7.24</v>
      </c>
    </row>
    <row r="1181" spans="7:10" hidden="1" x14ac:dyDescent="0.3">
      <c r="G1181" s="10" t="s">
        <v>1137</v>
      </c>
      <c r="H1181" s="11" t="s">
        <v>2038</v>
      </c>
      <c r="I1181" s="11" t="s">
        <v>1987</v>
      </c>
      <c r="J1181" s="12">
        <v>2.61</v>
      </c>
    </row>
    <row r="1182" spans="7:10" hidden="1" x14ac:dyDescent="0.3">
      <c r="G1182" s="7" t="s">
        <v>1200</v>
      </c>
      <c r="H1182" s="8" t="s">
        <v>2061</v>
      </c>
      <c r="I1182" s="8" t="s">
        <v>1987</v>
      </c>
      <c r="J1182" s="9">
        <v>4.41</v>
      </c>
    </row>
    <row r="1183" spans="7:10" hidden="1" x14ac:dyDescent="0.3">
      <c r="G1183" s="10" t="s">
        <v>1236</v>
      </c>
      <c r="H1183" s="11" t="s">
        <v>2034</v>
      </c>
      <c r="I1183" s="11" t="s">
        <v>1987</v>
      </c>
      <c r="J1183" s="12">
        <v>6.12</v>
      </c>
    </row>
    <row r="1184" spans="7:10" hidden="1" x14ac:dyDescent="0.3">
      <c r="G1184" s="7" t="s">
        <v>1237</v>
      </c>
      <c r="H1184" s="8" t="s">
        <v>2043</v>
      </c>
      <c r="I1184" s="8" t="s">
        <v>1987</v>
      </c>
      <c r="J1184" s="9">
        <v>4.78</v>
      </c>
    </row>
    <row r="1185" spans="7:10" hidden="1" x14ac:dyDescent="0.3">
      <c r="G1185" s="10" t="s">
        <v>1238</v>
      </c>
      <c r="H1185" s="11" t="s">
        <v>2064</v>
      </c>
      <c r="I1185" s="11" t="s">
        <v>1987</v>
      </c>
      <c r="J1185" s="12">
        <v>5.7</v>
      </c>
    </row>
    <row r="1186" spans="7:10" hidden="1" x14ac:dyDescent="0.3">
      <c r="G1186" s="7" t="s">
        <v>1241</v>
      </c>
      <c r="H1186" s="8" t="s">
        <v>2053</v>
      </c>
      <c r="I1186" s="8" t="s">
        <v>1987</v>
      </c>
      <c r="J1186" s="9">
        <v>4.99</v>
      </c>
    </row>
    <row r="1187" spans="7:10" hidden="1" x14ac:dyDescent="0.3">
      <c r="G1187" s="7" t="s">
        <v>1255</v>
      </c>
      <c r="H1187" s="8" t="s">
        <v>2038</v>
      </c>
      <c r="I1187" s="8" t="s">
        <v>1987</v>
      </c>
      <c r="J1187" s="9">
        <v>4.8600000000000003</v>
      </c>
    </row>
    <row r="1188" spans="7:10" hidden="1" x14ac:dyDescent="0.3">
      <c r="G1188" s="7" t="s">
        <v>1272</v>
      </c>
      <c r="H1188" s="8" t="s">
        <v>2057</v>
      </c>
      <c r="I1188" s="8" t="s">
        <v>1987</v>
      </c>
      <c r="J1188" s="9">
        <v>3.49</v>
      </c>
    </row>
    <row r="1189" spans="7:10" hidden="1" x14ac:dyDescent="0.3">
      <c r="G1189" s="7" t="s">
        <v>1290</v>
      </c>
      <c r="H1189" s="8" t="s">
        <v>2038</v>
      </c>
      <c r="I1189" s="8" t="s">
        <v>1987</v>
      </c>
      <c r="J1189" s="9">
        <v>5.42</v>
      </c>
    </row>
    <row r="1190" spans="7:10" hidden="1" x14ac:dyDescent="0.3">
      <c r="G1190" s="7" t="s">
        <v>1337</v>
      </c>
      <c r="H1190" s="8" t="s">
        <v>2038</v>
      </c>
      <c r="I1190" s="8" t="s">
        <v>1987</v>
      </c>
      <c r="J1190" s="9">
        <v>7.88</v>
      </c>
    </row>
    <row r="1191" spans="7:10" hidden="1" x14ac:dyDescent="0.3">
      <c r="G1191" s="10" t="s">
        <v>1405</v>
      </c>
      <c r="H1191" s="11" t="s">
        <v>2038</v>
      </c>
      <c r="I1191" s="11" t="s">
        <v>1987</v>
      </c>
      <c r="J1191" s="12">
        <v>5.32</v>
      </c>
    </row>
    <row r="1192" spans="7:10" hidden="1" x14ac:dyDescent="0.3">
      <c r="G1192" s="7" t="s">
        <v>1412</v>
      </c>
      <c r="H1192" s="8" t="s">
        <v>2065</v>
      </c>
      <c r="I1192" s="8" t="s">
        <v>1987</v>
      </c>
      <c r="J1192" s="9">
        <v>3.82</v>
      </c>
    </row>
    <row r="1193" spans="7:10" hidden="1" x14ac:dyDescent="0.3">
      <c r="G1193" s="10" t="s">
        <v>1417</v>
      </c>
      <c r="H1193" s="11" t="s">
        <v>2061</v>
      </c>
      <c r="I1193" s="11" t="s">
        <v>1987</v>
      </c>
      <c r="J1193" s="12">
        <v>3.29</v>
      </c>
    </row>
    <row r="1194" spans="7:10" hidden="1" x14ac:dyDescent="0.3">
      <c r="G1194" s="10" t="s">
        <v>1501</v>
      </c>
      <c r="H1194" s="11" t="s">
        <v>2061</v>
      </c>
      <c r="I1194" s="11" t="s">
        <v>1987</v>
      </c>
      <c r="J1194" s="12">
        <v>2.1800000000000002</v>
      </c>
    </row>
    <row r="1195" spans="7:10" hidden="1" x14ac:dyDescent="0.3">
      <c r="G1195" s="10" t="s">
        <v>1505</v>
      </c>
      <c r="H1195" s="11" t="s">
        <v>2043</v>
      </c>
      <c r="I1195" s="11" t="s">
        <v>1987</v>
      </c>
      <c r="J1195" s="12">
        <v>4.5</v>
      </c>
    </row>
    <row r="1196" spans="7:10" hidden="1" x14ac:dyDescent="0.3">
      <c r="G1196" s="7" t="s">
        <v>1606</v>
      </c>
      <c r="H1196" s="8" t="s">
        <v>2042</v>
      </c>
      <c r="I1196" s="8" t="s">
        <v>1987</v>
      </c>
      <c r="J1196" s="9">
        <v>4.1500000000000004</v>
      </c>
    </row>
    <row r="1197" spans="7:10" hidden="1" x14ac:dyDescent="0.3">
      <c r="G1197" s="7" t="s">
        <v>1616</v>
      </c>
      <c r="H1197" s="8" t="s">
        <v>2066</v>
      </c>
      <c r="I1197" s="8" t="s">
        <v>1987</v>
      </c>
      <c r="J1197" s="9">
        <v>3.64</v>
      </c>
    </row>
    <row r="1198" spans="7:10" hidden="1" x14ac:dyDescent="0.3">
      <c r="G1198" s="10" t="s">
        <v>1619</v>
      </c>
      <c r="H1198" s="11" t="s">
        <v>2034</v>
      </c>
      <c r="I1198" s="11" t="s">
        <v>1987</v>
      </c>
      <c r="J1198" s="12">
        <v>5.17</v>
      </c>
    </row>
    <row r="1199" spans="7:10" hidden="1" x14ac:dyDescent="0.3">
      <c r="G1199" s="7" t="s">
        <v>1656</v>
      </c>
      <c r="H1199" s="8" t="s">
        <v>2041</v>
      </c>
      <c r="I1199" s="8" t="s">
        <v>1987</v>
      </c>
      <c r="J1199" s="9">
        <v>5.51</v>
      </c>
    </row>
    <row r="1200" spans="7:10" hidden="1" x14ac:dyDescent="0.3">
      <c r="G1200" s="7" t="s">
        <v>1700</v>
      </c>
      <c r="H1200" s="8" t="s">
        <v>2045</v>
      </c>
      <c r="I1200" s="8" t="s">
        <v>1987</v>
      </c>
      <c r="J1200" s="9">
        <v>2.94</v>
      </c>
    </row>
    <row r="1201" spans="7:10" hidden="1" x14ac:dyDescent="0.3">
      <c r="G1201" s="10" t="s">
        <v>1767</v>
      </c>
      <c r="H1201" s="11" t="s">
        <v>2040</v>
      </c>
      <c r="I1201" s="11" t="s">
        <v>1987</v>
      </c>
      <c r="J1201" s="12">
        <v>2.36</v>
      </c>
    </row>
    <row r="1202" spans="7:10" hidden="1" x14ac:dyDescent="0.3">
      <c r="G1202" s="10" t="s">
        <v>1809</v>
      </c>
      <c r="H1202" s="11" t="s">
        <v>2038</v>
      </c>
      <c r="I1202" s="11" t="s">
        <v>1987</v>
      </c>
      <c r="J1202" s="12">
        <v>4.82</v>
      </c>
    </row>
    <row r="1203" spans="7:10" hidden="1" x14ac:dyDescent="0.3">
      <c r="G1203" s="7" t="s">
        <v>1836</v>
      </c>
      <c r="H1203" s="8" t="s">
        <v>2045</v>
      </c>
      <c r="I1203" s="8" t="s">
        <v>1987</v>
      </c>
      <c r="J1203" s="9">
        <v>3.21</v>
      </c>
    </row>
    <row r="1204" spans="7:10" hidden="1" x14ac:dyDescent="0.3">
      <c r="G1204" s="7" t="s">
        <v>1855</v>
      </c>
      <c r="H1204" s="8" t="s">
        <v>2035</v>
      </c>
      <c r="I1204" s="8" t="s">
        <v>1987</v>
      </c>
      <c r="J1204" s="9">
        <v>5.53</v>
      </c>
    </row>
    <row r="1205" spans="7:10" hidden="1" x14ac:dyDescent="0.3">
      <c r="G1205" s="7" t="s">
        <v>1865</v>
      </c>
      <c r="H1205" s="8" t="s">
        <v>2041</v>
      </c>
      <c r="I1205" s="8" t="s">
        <v>1987</v>
      </c>
      <c r="J1205" s="9">
        <v>4.3499999999999996</v>
      </c>
    </row>
    <row r="1206" spans="7:10" hidden="1" x14ac:dyDescent="0.3">
      <c r="G1206" s="10" t="s">
        <v>1912</v>
      </c>
      <c r="H1206" s="11" t="s">
        <v>2039</v>
      </c>
      <c r="I1206" s="11" t="s">
        <v>1987</v>
      </c>
      <c r="J1206" s="12">
        <v>6.44</v>
      </c>
    </row>
    <row r="1207" spans="7:10" hidden="1" x14ac:dyDescent="0.3">
      <c r="G1207" s="7" t="s">
        <v>1923</v>
      </c>
      <c r="H1207" s="8" t="s">
        <v>2034</v>
      </c>
      <c r="I1207" s="8" t="s">
        <v>1987</v>
      </c>
      <c r="J1207" s="9">
        <v>3.11</v>
      </c>
    </row>
    <row r="1208" spans="7:10" hidden="1" x14ac:dyDescent="0.3">
      <c r="G1208" s="7" t="s">
        <v>1928</v>
      </c>
      <c r="H1208" s="8" t="s">
        <v>2034</v>
      </c>
      <c r="I1208" s="8" t="s">
        <v>1987</v>
      </c>
      <c r="J1208" s="9">
        <v>2.95</v>
      </c>
    </row>
    <row r="1209" spans="7:10" hidden="1" x14ac:dyDescent="0.3">
      <c r="G1209" s="10" t="s">
        <v>1937</v>
      </c>
      <c r="H1209" s="11" t="s">
        <v>2038</v>
      </c>
      <c r="I1209" s="11" t="s">
        <v>1987</v>
      </c>
      <c r="J1209" s="12">
        <v>3.62</v>
      </c>
    </row>
    <row r="1210" spans="7:10" hidden="1" x14ac:dyDescent="0.3">
      <c r="G1210" s="10" t="s">
        <v>3</v>
      </c>
      <c r="H1210" s="11" t="s">
        <v>2034</v>
      </c>
      <c r="I1210" s="11" t="s">
        <v>2005</v>
      </c>
      <c r="J1210" s="12">
        <v>106.98</v>
      </c>
    </row>
    <row r="1211" spans="7:10" hidden="1" x14ac:dyDescent="0.3">
      <c r="G1211" s="10" t="s">
        <v>27</v>
      </c>
      <c r="H1211" s="11" t="s">
        <v>2039</v>
      </c>
      <c r="I1211" s="11" t="s">
        <v>2005</v>
      </c>
      <c r="J1211" s="12">
        <v>115.2</v>
      </c>
    </row>
    <row r="1212" spans="7:10" hidden="1" x14ac:dyDescent="0.3">
      <c r="G1212" s="7" t="s">
        <v>28</v>
      </c>
      <c r="H1212" s="8" t="s">
        <v>2041</v>
      </c>
      <c r="I1212" s="8" t="s">
        <v>2005</v>
      </c>
      <c r="J1212" s="9">
        <v>124.41</v>
      </c>
    </row>
    <row r="1213" spans="7:10" hidden="1" x14ac:dyDescent="0.3">
      <c r="G1213" s="10" t="s">
        <v>59</v>
      </c>
      <c r="H1213" s="11" t="s">
        <v>2034</v>
      </c>
      <c r="I1213" s="11" t="s">
        <v>2005</v>
      </c>
      <c r="J1213" s="12">
        <v>44.78</v>
      </c>
    </row>
    <row r="1214" spans="7:10" hidden="1" x14ac:dyDescent="0.3">
      <c r="G1214" s="7" t="s">
        <v>68</v>
      </c>
      <c r="H1214" s="8" t="s">
        <v>2042</v>
      </c>
      <c r="I1214" s="8" t="s">
        <v>2005</v>
      </c>
      <c r="J1214" s="9">
        <v>88.95</v>
      </c>
    </row>
    <row r="1215" spans="7:10" hidden="1" x14ac:dyDescent="0.3">
      <c r="G1215" s="10" t="s">
        <v>69</v>
      </c>
      <c r="H1215" s="11" t="s">
        <v>2037</v>
      </c>
      <c r="I1215" s="11" t="s">
        <v>2005</v>
      </c>
      <c r="J1215" s="12">
        <v>64.930000000000007</v>
      </c>
    </row>
    <row r="1216" spans="7:10" hidden="1" x14ac:dyDescent="0.3">
      <c r="G1216" s="7" t="s">
        <v>72</v>
      </c>
      <c r="H1216" s="8" t="s">
        <v>2034</v>
      </c>
      <c r="I1216" s="8" t="s">
        <v>2005</v>
      </c>
      <c r="J1216" s="9">
        <v>31.71</v>
      </c>
    </row>
    <row r="1217" spans="7:10" hidden="1" x14ac:dyDescent="0.3">
      <c r="G1217" s="10" t="s">
        <v>77</v>
      </c>
      <c r="H1217" s="11" t="s">
        <v>2035</v>
      </c>
      <c r="I1217" s="11" t="s">
        <v>2005</v>
      </c>
      <c r="J1217" s="12">
        <v>75.61</v>
      </c>
    </row>
    <row r="1218" spans="7:10" hidden="1" x14ac:dyDescent="0.3">
      <c r="G1218" s="10" t="s">
        <v>79</v>
      </c>
      <c r="H1218" s="11" t="s">
        <v>2041</v>
      </c>
      <c r="I1218" s="11" t="s">
        <v>2005</v>
      </c>
      <c r="J1218" s="12">
        <v>62.06</v>
      </c>
    </row>
    <row r="1219" spans="7:10" hidden="1" x14ac:dyDescent="0.3">
      <c r="G1219" s="10" t="s">
        <v>93</v>
      </c>
      <c r="H1219" s="11" t="s">
        <v>2047</v>
      </c>
      <c r="I1219" s="11" t="s">
        <v>2005</v>
      </c>
      <c r="J1219" s="12">
        <v>26.7</v>
      </c>
    </row>
    <row r="1220" spans="7:10" hidden="1" x14ac:dyDescent="0.3">
      <c r="G1220" s="10" t="s">
        <v>97</v>
      </c>
      <c r="H1220" s="11" t="s">
        <v>2036</v>
      </c>
      <c r="I1220" s="11" t="s">
        <v>2005</v>
      </c>
      <c r="J1220" s="12">
        <v>46.38</v>
      </c>
    </row>
    <row r="1221" spans="7:10" hidden="1" x14ac:dyDescent="0.3">
      <c r="G1221" s="7" t="s">
        <v>110</v>
      </c>
      <c r="H1221" s="8" t="s">
        <v>2034</v>
      </c>
      <c r="I1221" s="8" t="s">
        <v>2005</v>
      </c>
      <c r="J1221" s="9">
        <v>35.380000000000003</v>
      </c>
    </row>
    <row r="1222" spans="7:10" hidden="1" x14ac:dyDescent="0.3">
      <c r="G1222" s="7" t="s">
        <v>124</v>
      </c>
      <c r="H1222" s="8" t="s">
        <v>2034</v>
      </c>
      <c r="I1222" s="8" t="s">
        <v>2005</v>
      </c>
      <c r="J1222" s="9">
        <v>27.08</v>
      </c>
    </row>
    <row r="1223" spans="7:10" hidden="1" x14ac:dyDescent="0.3">
      <c r="G1223" s="7" t="s">
        <v>136</v>
      </c>
      <c r="H1223" s="8" t="s">
        <v>2037</v>
      </c>
      <c r="I1223" s="8" t="s">
        <v>2005</v>
      </c>
      <c r="J1223" s="9">
        <v>31.68</v>
      </c>
    </row>
    <row r="1224" spans="7:10" hidden="1" x14ac:dyDescent="0.3">
      <c r="G1224" s="10" t="s">
        <v>148</v>
      </c>
      <c r="H1224" s="11" t="s">
        <v>2034</v>
      </c>
      <c r="I1224" s="11" t="s">
        <v>2005</v>
      </c>
      <c r="J1224" s="12">
        <v>24.37</v>
      </c>
    </row>
    <row r="1225" spans="7:10" hidden="1" x14ac:dyDescent="0.3">
      <c r="G1225" s="7" t="s">
        <v>162</v>
      </c>
      <c r="H1225" s="8" t="s">
        <v>2047</v>
      </c>
      <c r="I1225" s="8" t="s">
        <v>2005</v>
      </c>
      <c r="J1225" s="9">
        <v>18.739999999999998</v>
      </c>
    </row>
    <row r="1226" spans="7:10" hidden="1" x14ac:dyDescent="0.3">
      <c r="G1226" s="10" t="s">
        <v>163</v>
      </c>
      <c r="H1226" s="11" t="s">
        <v>2035</v>
      </c>
      <c r="I1226" s="11" t="s">
        <v>2005</v>
      </c>
      <c r="J1226" s="12">
        <v>49.15</v>
      </c>
    </row>
    <row r="1227" spans="7:10" hidden="1" x14ac:dyDescent="0.3">
      <c r="G1227" s="7" t="s">
        <v>194</v>
      </c>
      <c r="H1227" s="8" t="s">
        <v>2035</v>
      </c>
      <c r="I1227" s="8" t="s">
        <v>2005</v>
      </c>
      <c r="J1227" s="9">
        <v>52.53</v>
      </c>
    </row>
    <row r="1228" spans="7:10" hidden="1" x14ac:dyDescent="0.3">
      <c r="G1228" s="7" t="s">
        <v>204</v>
      </c>
      <c r="H1228" s="8" t="s">
        <v>2038</v>
      </c>
      <c r="I1228" s="8" t="s">
        <v>2005</v>
      </c>
      <c r="J1228" s="9">
        <v>26.61</v>
      </c>
    </row>
    <row r="1229" spans="7:10" hidden="1" x14ac:dyDescent="0.3">
      <c r="G1229" s="10" t="s">
        <v>215</v>
      </c>
      <c r="H1229" s="11" t="s">
        <v>2034</v>
      </c>
      <c r="I1229" s="11" t="s">
        <v>2005</v>
      </c>
      <c r="J1229" s="12">
        <v>14.36</v>
      </c>
    </row>
    <row r="1230" spans="7:10" hidden="1" x14ac:dyDescent="0.3">
      <c r="G1230" s="7" t="s">
        <v>218</v>
      </c>
      <c r="H1230" s="8" t="s">
        <v>2034</v>
      </c>
      <c r="I1230" s="8" t="s">
        <v>2005</v>
      </c>
      <c r="J1230" s="9">
        <v>16.02</v>
      </c>
    </row>
    <row r="1231" spans="7:10" hidden="1" x14ac:dyDescent="0.3">
      <c r="G1231" s="7" t="s">
        <v>220</v>
      </c>
      <c r="H1231" s="8" t="s">
        <v>2039</v>
      </c>
      <c r="I1231" s="8" t="s">
        <v>2005</v>
      </c>
      <c r="J1231" s="9">
        <v>38.130000000000003</v>
      </c>
    </row>
    <row r="1232" spans="7:10" hidden="1" x14ac:dyDescent="0.3">
      <c r="G1232" s="7" t="s">
        <v>230</v>
      </c>
      <c r="H1232" s="8" t="s">
        <v>2034</v>
      </c>
      <c r="I1232" s="8" t="s">
        <v>2005</v>
      </c>
      <c r="J1232" s="9">
        <v>13.93</v>
      </c>
    </row>
    <row r="1233" spans="7:10" hidden="1" x14ac:dyDescent="0.3">
      <c r="G1233" s="10" t="s">
        <v>273</v>
      </c>
      <c r="H1233" s="11" t="s">
        <v>2038</v>
      </c>
      <c r="I1233" s="11" t="s">
        <v>2005</v>
      </c>
      <c r="J1233" s="12">
        <v>18.760000000000002</v>
      </c>
    </row>
    <row r="1234" spans="7:10" hidden="1" x14ac:dyDescent="0.3">
      <c r="G1234" s="10" t="s">
        <v>277</v>
      </c>
      <c r="H1234" s="11" t="s">
        <v>2034</v>
      </c>
      <c r="I1234" s="11" t="s">
        <v>2005</v>
      </c>
      <c r="J1234" s="12">
        <v>10.5</v>
      </c>
    </row>
    <row r="1235" spans="7:10" hidden="1" x14ac:dyDescent="0.3">
      <c r="G1235" s="10" t="s">
        <v>279</v>
      </c>
      <c r="H1235" s="11" t="s">
        <v>2051</v>
      </c>
      <c r="I1235" s="11" t="s">
        <v>2005</v>
      </c>
      <c r="J1235" s="12">
        <v>13.09</v>
      </c>
    </row>
    <row r="1236" spans="7:10" hidden="1" x14ac:dyDescent="0.3">
      <c r="G1236" s="7" t="s">
        <v>2006</v>
      </c>
      <c r="H1236" s="8" t="s">
        <v>2045</v>
      </c>
      <c r="I1236" s="8" t="s">
        <v>2005</v>
      </c>
      <c r="J1236" s="9">
        <v>9.41</v>
      </c>
    </row>
    <row r="1237" spans="7:10" hidden="1" x14ac:dyDescent="0.3">
      <c r="G1237" s="10" t="s">
        <v>316</v>
      </c>
      <c r="H1237" s="11" t="s">
        <v>2065</v>
      </c>
      <c r="I1237" s="11" t="s">
        <v>2005</v>
      </c>
      <c r="J1237" s="12">
        <v>9.4</v>
      </c>
    </row>
    <row r="1238" spans="7:10" hidden="1" x14ac:dyDescent="0.3">
      <c r="G1238" s="7" t="s">
        <v>319</v>
      </c>
      <c r="H1238" s="8" t="s">
        <v>2034</v>
      </c>
      <c r="I1238" s="8" t="s">
        <v>2005</v>
      </c>
      <c r="J1238" s="9">
        <v>14.3</v>
      </c>
    </row>
    <row r="1239" spans="7:10" hidden="1" x14ac:dyDescent="0.3">
      <c r="G1239" s="10" t="s">
        <v>352</v>
      </c>
      <c r="H1239" s="11" t="s">
        <v>2038</v>
      </c>
      <c r="I1239" s="11" t="s">
        <v>2005</v>
      </c>
      <c r="J1239" s="12">
        <v>19.86</v>
      </c>
    </row>
    <row r="1240" spans="7:10" hidden="1" x14ac:dyDescent="0.3">
      <c r="G1240" s="10" t="s">
        <v>2007</v>
      </c>
      <c r="H1240" s="11" t="s">
        <v>2038</v>
      </c>
      <c r="I1240" s="11" t="s">
        <v>2005</v>
      </c>
      <c r="J1240" s="12">
        <v>17.75</v>
      </c>
    </row>
    <row r="1241" spans="7:10" hidden="1" x14ac:dyDescent="0.3">
      <c r="G1241" s="7" t="s">
        <v>413</v>
      </c>
      <c r="H1241" s="8" t="s">
        <v>2034</v>
      </c>
      <c r="I1241" s="8" t="s">
        <v>2005</v>
      </c>
      <c r="J1241" s="9">
        <v>9.84</v>
      </c>
    </row>
    <row r="1242" spans="7:10" hidden="1" x14ac:dyDescent="0.3">
      <c r="G1242" s="10" t="s">
        <v>420</v>
      </c>
      <c r="H1242" s="11" t="s">
        <v>2037</v>
      </c>
      <c r="I1242" s="11" t="s">
        <v>2005</v>
      </c>
      <c r="J1242" s="12">
        <v>20.11</v>
      </c>
    </row>
    <row r="1243" spans="7:10" hidden="1" x14ac:dyDescent="0.3">
      <c r="G1243" s="7" t="s">
        <v>427</v>
      </c>
      <c r="H1243" s="8" t="s">
        <v>2053</v>
      </c>
      <c r="I1243" s="8" t="s">
        <v>2005</v>
      </c>
      <c r="J1243" s="9">
        <v>5.86</v>
      </c>
    </row>
    <row r="1244" spans="7:10" hidden="1" x14ac:dyDescent="0.3">
      <c r="G1244" s="10" t="s">
        <v>448</v>
      </c>
      <c r="H1244" s="11" t="s">
        <v>2063</v>
      </c>
      <c r="I1244" s="11" t="s">
        <v>2005</v>
      </c>
      <c r="J1244" s="12">
        <v>16.350000000000001</v>
      </c>
    </row>
    <row r="1245" spans="7:10" hidden="1" x14ac:dyDescent="0.3">
      <c r="G1245" s="7" t="s">
        <v>463</v>
      </c>
      <c r="H1245" s="8" t="s">
        <v>2034</v>
      </c>
      <c r="I1245" s="8" t="s">
        <v>2005</v>
      </c>
      <c r="J1245" s="9">
        <v>5.45</v>
      </c>
    </row>
    <row r="1246" spans="7:10" hidden="1" x14ac:dyDescent="0.3">
      <c r="G1246" s="7" t="s">
        <v>503</v>
      </c>
      <c r="H1246" s="8" t="s">
        <v>2034</v>
      </c>
      <c r="I1246" s="8" t="s">
        <v>2005</v>
      </c>
      <c r="J1246" s="9">
        <v>11.65</v>
      </c>
    </row>
    <row r="1247" spans="7:10" hidden="1" x14ac:dyDescent="0.3">
      <c r="G1247" s="7" t="s">
        <v>2008</v>
      </c>
      <c r="H1247" s="8" t="s">
        <v>2045</v>
      </c>
      <c r="I1247" s="8" t="s">
        <v>2005</v>
      </c>
      <c r="J1247" s="9">
        <v>7.3</v>
      </c>
    </row>
    <row r="1248" spans="7:10" hidden="1" x14ac:dyDescent="0.3">
      <c r="G1248" s="7" t="s">
        <v>532</v>
      </c>
      <c r="H1248" s="8" t="s">
        <v>2034</v>
      </c>
      <c r="I1248" s="8" t="s">
        <v>2005</v>
      </c>
      <c r="J1248" s="9">
        <v>10.44</v>
      </c>
    </row>
    <row r="1249" spans="7:10" hidden="1" x14ac:dyDescent="0.3">
      <c r="G1249" s="10" t="s">
        <v>535</v>
      </c>
      <c r="H1249" s="11" t="s">
        <v>1975</v>
      </c>
      <c r="I1249" s="11" t="s">
        <v>2005</v>
      </c>
      <c r="J1249" s="12">
        <v>4.4800000000000004</v>
      </c>
    </row>
    <row r="1250" spans="7:10" hidden="1" x14ac:dyDescent="0.3">
      <c r="G1250" s="7" t="s">
        <v>536</v>
      </c>
      <c r="H1250" s="8" t="s">
        <v>2062</v>
      </c>
      <c r="I1250" s="8" t="s">
        <v>2005</v>
      </c>
      <c r="J1250" s="9">
        <v>8.64</v>
      </c>
    </row>
    <row r="1251" spans="7:10" hidden="1" x14ac:dyDescent="0.3">
      <c r="G1251" s="7" t="s">
        <v>544</v>
      </c>
      <c r="H1251" s="8" t="s">
        <v>2042</v>
      </c>
      <c r="I1251" s="8" t="s">
        <v>2005</v>
      </c>
      <c r="J1251" s="9">
        <v>14.13</v>
      </c>
    </row>
    <row r="1252" spans="7:10" hidden="1" x14ac:dyDescent="0.3">
      <c r="G1252" s="10" t="s">
        <v>2009</v>
      </c>
      <c r="H1252" s="11" t="s">
        <v>1975</v>
      </c>
      <c r="I1252" s="11" t="s">
        <v>2005</v>
      </c>
      <c r="J1252" s="12">
        <v>5.79</v>
      </c>
    </row>
    <row r="1253" spans="7:10" hidden="1" x14ac:dyDescent="0.3">
      <c r="G1253" s="10" t="s">
        <v>566</v>
      </c>
      <c r="H1253" s="11" t="s">
        <v>2035</v>
      </c>
      <c r="I1253" s="11" t="s">
        <v>2005</v>
      </c>
      <c r="J1253" s="12">
        <v>9.2100000000000009</v>
      </c>
    </row>
    <row r="1254" spans="7:10" hidden="1" x14ac:dyDescent="0.3">
      <c r="G1254" s="7" t="s">
        <v>587</v>
      </c>
      <c r="H1254" s="8" t="s">
        <v>2042</v>
      </c>
      <c r="I1254" s="8" t="s">
        <v>2005</v>
      </c>
      <c r="J1254" s="9">
        <v>13.63</v>
      </c>
    </row>
    <row r="1255" spans="7:10" hidden="1" x14ac:dyDescent="0.3">
      <c r="G1255" s="7" t="s">
        <v>619</v>
      </c>
      <c r="H1255" s="8" t="s">
        <v>2034</v>
      </c>
      <c r="I1255" s="8" t="s">
        <v>2005</v>
      </c>
      <c r="J1255" s="9">
        <v>4.34</v>
      </c>
    </row>
    <row r="1256" spans="7:10" hidden="1" x14ac:dyDescent="0.3">
      <c r="G1256" s="7" t="s">
        <v>625</v>
      </c>
      <c r="H1256" s="8" t="s">
        <v>2041</v>
      </c>
      <c r="I1256" s="8" t="s">
        <v>2005</v>
      </c>
      <c r="J1256" s="9">
        <v>11.91</v>
      </c>
    </row>
    <row r="1257" spans="7:10" hidden="1" x14ac:dyDescent="0.3">
      <c r="G1257" s="10" t="s">
        <v>626</v>
      </c>
      <c r="H1257" s="11" t="s">
        <v>2034</v>
      </c>
      <c r="I1257" s="11" t="s">
        <v>2005</v>
      </c>
      <c r="J1257" s="12">
        <v>9.67</v>
      </c>
    </row>
    <row r="1258" spans="7:10" hidden="1" x14ac:dyDescent="0.3">
      <c r="G1258" s="10" t="s">
        <v>650</v>
      </c>
      <c r="H1258" s="11" t="s">
        <v>2034</v>
      </c>
      <c r="I1258" s="11" t="s">
        <v>2005</v>
      </c>
      <c r="J1258" s="12">
        <v>4.22</v>
      </c>
    </row>
    <row r="1259" spans="7:10" hidden="1" x14ac:dyDescent="0.3">
      <c r="G1259" s="10" t="s">
        <v>654</v>
      </c>
      <c r="H1259" s="11" t="s">
        <v>2034</v>
      </c>
      <c r="I1259" s="11" t="s">
        <v>2005</v>
      </c>
      <c r="J1259" s="12">
        <v>7.5</v>
      </c>
    </row>
    <row r="1260" spans="7:10" hidden="1" x14ac:dyDescent="0.3">
      <c r="G1260" s="7" t="s">
        <v>685</v>
      </c>
      <c r="H1260" s="8" t="s">
        <v>2034</v>
      </c>
      <c r="I1260" s="8" t="s">
        <v>2005</v>
      </c>
      <c r="J1260" s="9">
        <v>6.35</v>
      </c>
    </row>
    <row r="1261" spans="7:10" hidden="1" x14ac:dyDescent="0.3">
      <c r="G1261" s="7" t="s">
        <v>721</v>
      </c>
      <c r="H1261" s="8" t="s">
        <v>2051</v>
      </c>
      <c r="I1261" s="8" t="s">
        <v>2005</v>
      </c>
      <c r="J1261" s="9">
        <v>11.29</v>
      </c>
    </row>
    <row r="1262" spans="7:10" hidden="1" x14ac:dyDescent="0.3">
      <c r="G1262" s="7" t="s">
        <v>755</v>
      </c>
      <c r="H1262" s="8" t="s">
        <v>2034</v>
      </c>
      <c r="I1262" s="8" t="s">
        <v>2005</v>
      </c>
      <c r="J1262" s="9">
        <v>5</v>
      </c>
    </row>
    <row r="1263" spans="7:10" hidden="1" x14ac:dyDescent="0.3">
      <c r="G1263" s="7" t="s">
        <v>757</v>
      </c>
      <c r="H1263" s="8" t="s">
        <v>2035</v>
      </c>
      <c r="I1263" s="8" t="s">
        <v>2005</v>
      </c>
      <c r="J1263" s="9">
        <v>17.170000000000002</v>
      </c>
    </row>
    <row r="1264" spans="7:10" hidden="1" x14ac:dyDescent="0.3">
      <c r="G1264" s="7" t="s">
        <v>761</v>
      </c>
      <c r="H1264" s="8" t="s">
        <v>2040</v>
      </c>
      <c r="I1264" s="8" t="s">
        <v>2005</v>
      </c>
      <c r="J1264" s="9">
        <v>8.2899999999999991</v>
      </c>
    </row>
    <row r="1265" spans="7:10" hidden="1" x14ac:dyDescent="0.3">
      <c r="G1265" s="7" t="s">
        <v>2010</v>
      </c>
      <c r="H1265" s="8" t="s">
        <v>1975</v>
      </c>
      <c r="I1265" s="8" t="s">
        <v>2005</v>
      </c>
      <c r="J1265" s="9">
        <v>5.35</v>
      </c>
    </row>
    <row r="1266" spans="7:10" hidden="1" x14ac:dyDescent="0.3">
      <c r="G1266" s="7" t="s">
        <v>768</v>
      </c>
      <c r="H1266" s="8" t="s">
        <v>2034</v>
      </c>
      <c r="I1266" s="8" t="s">
        <v>2005</v>
      </c>
      <c r="J1266" s="9">
        <v>3.77</v>
      </c>
    </row>
    <row r="1267" spans="7:10" hidden="1" x14ac:dyDescent="0.3">
      <c r="G1267" s="7" t="s">
        <v>803</v>
      </c>
      <c r="H1267" s="8" t="s">
        <v>2034</v>
      </c>
      <c r="I1267" s="8" t="s">
        <v>2005</v>
      </c>
      <c r="J1267" s="9">
        <v>2.2999999999999998</v>
      </c>
    </row>
    <row r="1268" spans="7:10" hidden="1" x14ac:dyDescent="0.3">
      <c r="G1268" s="7" t="s">
        <v>2011</v>
      </c>
      <c r="H1268" s="8" t="s">
        <v>2038</v>
      </c>
      <c r="I1268" s="8" t="s">
        <v>2005</v>
      </c>
      <c r="J1268" s="9">
        <v>9.7200000000000006</v>
      </c>
    </row>
    <row r="1269" spans="7:10" hidden="1" x14ac:dyDescent="0.3">
      <c r="G1269" s="7" t="s">
        <v>2012</v>
      </c>
      <c r="H1269" s="8" t="s">
        <v>2038</v>
      </c>
      <c r="I1269" s="8" t="s">
        <v>2005</v>
      </c>
      <c r="J1269" s="9">
        <v>9.6300000000000008</v>
      </c>
    </row>
    <row r="1270" spans="7:10" hidden="1" x14ac:dyDescent="0.3">
      <c r="G1270" s="7" t="s">
        <v>846</v>
      </c>
      <c r="H1270" s="8" t="s">
        <v>2034</v>
      </c>
      <c r="I1270" s="8" t="s">
        <v>2005</v>
      </c>
      <c r="J1270" s="9">
        <v>1.66</v>
      </c>
    </row>
    <row r="1271" spans="7:10" hidden="1" x14ac:dyDescent="0.3">
      <c r="G1271" s="10" t="s">
        <v>853</v>
      </c>
      <c r="H1271" s="11" t="s">
        <v>2043</v>
      </c>
      <c r="I1271" s="11" t="s">
        <v>2005</v>
      </c>
      <c r="J1271" s="12">
        <v>6.42</v>
      </c>
    </row>
    <row r="1272" spans="7:10" hidden="1" x14ac:dyDescent="0.3">
      <c r="G1272" s="10" t="s">
        <v>899</v>
      </c>
      <c r="H1272" s="11" t="s">
        <v>2051</v>
      </c>
      <c r="I1272" s="11" t="s">
        <v>2005</v>
      </c>
      <c r="J1272" s="12">
        <v>4.5999999999999996</v>
      </c>
    </row>
    <row r="1273" spans="7:10" hidden="1" x14ac:dyDescent="0.3">
      <c r="G1273" s="7" t="s">
        <v>920</v>
      </c>
      <c r="H1273" s="8" t="s">
        <v>2037</v>
      </c>
      <c r="I1273" s="8" t="s">
        <v>2005</v>
      </c>
      <c r="J1273" s="9">
        <v>8</v>
      </c>
    </row>
    <row r="1274" spans="7:10" hidden="1" x14ac:dyDescent="0.3">
      <c r="G1274" s="7" t="s">
        <v>930</v>
      </c>
      <c r="H1274" s="8" t="s">
        <v>2034</v>
      </c>
      <c r="I1274" s="8" t="s">
        <v>2005</v>
      </c>
      <c r="J1274" s="9">
        <v>4.3600000000000003</v>
      </c>
    </row>
    <row r="1275" spans="7:10" hidden="1" x14ac:dyDescent="0.3">
      <c r="G1275" s="10" t="s">
        <v>935</v>
      </c>
      <c r="H1275" s="11" t="s">
        <v>2034</v>
      </c>
      <c r="I1275" s="11" t="s">
        <v>2005</v>
      </c>
      <c r="J1275" s="12">
        <v>3.12</v>
      </c>
    </row>
    <row r="1276" spans="7:10" hidden="1" x14ac:dyDescent="0.3">
      <c r="G1276" s="10" t="s">
        <v>943</v>
      </c>
      <c r="H1276" s="11" t="s">
        <v>2034</v>
      </c>
      <c r="I1276" s="11" t="s">
        <v>2005</v>
      </c>
      <c r="J1276" s="12">
        <v>8.06</v>
      </c>
    </row>
    <row r="1277" spans="7:10" hidden="1" x14ac:dyDescent="0.3">
      <c r="G1277" s="10" t="s">
        <v>955</v>
      </c>
      <c r="H1277" s="11" t="s">
        <v>2034</v>
      </c>
      <c r="I1277" s="11" t="s">
        <v>2005</v>
      </c>
      <c r="J1277" s="12">
        <v>3.7</v>
      </c>
    </row>
    <row r="1278" spans="7:10" hidden="1" x14ac:dyDescent="0.3">
      <c r="G1278" s="7" t="s">
        <v>991</v>
      </c>
      <c r="H1278" s="8" t="s">
        <v>2049</v>
      </c>
      <c r="I1278" s="8" t="s">
        <v>2005</v>
      </c>
      <c r="J1278" s="9">
        <v>4.49</v>
      </c>
    </row>
    <row r="1279" spans="7:10" hidden="1" x14ac:dyDescent="0.3">
      <c r="G1279" s="7" t="s">
        <v>1035</v>
      </c>
      <c r="H1279" s="8" t="s">
        <v>1977</v>
      </c>
      <c r="I1279" s="8" t="s">
        <v>2005</v>
      </c>
      <c r="J1279" s="9">
        <v>5.63</v>
      </c>
    </row>
    <row r="1280" spans="7:10" hidden="1" x14ac:dyDescent="0.3">
      <c r="G1280" s="10" t="s">
        <v>1091</v>
      </c>
      <c r="H1280" s="11" t="s">
        <v>2042</v>
      </c>
      <c r="I1280" s="11" t="s">
        <v>2005</v>
      </c>
      <c r="J1280" s="12">
        <v>3.41</v>
      </c>
    </row>
    <row r="1281" spans="7:10" hidden="1" x14ac:dyDescent="0.3">
      <c r="G1281" s="10" t="s">
        <v>1103</v>
      </c>
      <c r="H1281" s="11" t="s">
        <v>2042</v>
      </c>
      <c r="I1281" s="11" t="s">
        <v>2005</v>
      </c>
      <c r="J1281" s="12">
        <v>6.42</v>
      </c>
    </row>
    <row r="1282" spans="7:10" hidden="1" x14ac:dyDescent="0.3">
      <c r="G1282" s="7" t="s">
        <v>1106</v>
      </c>
      <c r="H1282" s="8" t="s">
        <v>1977</v>
      </c>
      <c r="I1282" s="8" t="s">
        <v>2005</v>
      </c>
      <c r="J1282" s="9">
        <v>5.75</v>
      </c>
    </row>
    <row r="1283" spans="7:10" hidden="1" x14ac:dyDescent="0.3">
      <c r="G1283" s="7" t="s">
        <v>1118</v>
      </c>
      <c r="H1283" s="8" t="s">
        <v>2051</v>
      </c>
      <c r="I1283" s="8" t="s">
        <v>2005</v>
      </c>
      <c r="J1283" s="9">
        <v>4.5599999999999996</v>
      </c>
    </row>
    <row r="1284" spans="7:10" hidden="1" x14ac:dyDescent="0.3">
      <c r="G1284" s="7" t="s">
        <v>1154</v>
      </c>
      <c r="H1284" s="8" t="s">
        <v>2034</v>
      </c>
      <c r="I1284" s="8" t="s">
        <v>2005</v>
      </c>
      <c r="J1284" s="9">
        <v>1.53</v>
      </c>
    </row>
    <row r="1285" spans="7:10" hidden="1" x14ac:dyDescent="0.3">
      <c r="G1285" s="10" t="s">
        <v>1157</v>
      </c>
      <c r="H1285" s="11" t="s">
        <v>2034</v>
      </c>
      <c r="I1285" s="11" t="s">
        <v>2005</v>
      </c>
      <c r="J1285" s="12">
        <v>4.04</v>
      </c>
    </row>
    <row r="1286" spans="7:10" hidden="1" x14ac:dyDescent="0.3">
      <c r="G1286" s="10" t="s">
        <v>1177</v>
      </c>
      <c r="H1286" s="11" t="s">
        <v>2035</v>
      </c>
      <c r="I1286" s="11" t="s">
        <v>2005</v>
      </c>
      <c r="J1286" s="12">
        <v>2.27</v>
      </c>
    </row>
    <row r="1287" spans="7:10" hidden="1" x14ac:dyDescent="0.3">
      <c r="G1287" s="10" t="s">
        <v>1189</v>
      </c>
      <c r="H1287" s="11" t="s">
        <v>2047</v>
      </c>
      <c r="I1287" s="11" t="s">
        <v>2005</v>
      </c>
      <c r="J1287" s="12">
        <v>6.1</v>
      </c>
    </row>
    <row r="1288" spans="7:10" hidden="1" x14ac:dyDescent="0.3">
      <c r="G1288" s="7" t="s">
        <v>1220</v>
      </c>
      <c r="H1288" s="8" t="s">
        <v>2051</v>
      </c>
      <c r="I1288" s="8" t="s">
        <v>2005</v>
      </c>
      <c r="J1288" s="9">
        <v>3.17</v>
      </c>
    </row>
    <row r="1289" spans="7:10" hidden="1" x14ac:dyDescent="0.3">
      <c r="G1289" s="7" t="s">
        <v>1233</v>
      </c>
      <c r="H1289" s="8" t="s">
        <v>2034</v>
      </c>
      <c r="I1289" s="8" t="s">
        <v>2005</v>
      </c>
      <c r="J1289" s="9">
        <v>1.3</v>
      </c>
    </row>
    <row r="1290" spans="7:10" hidden="1" x14ac:dyDescent="0.3">
      <c r="G1290" s="7" t="s">
        <v>1264</v>
      </c>
      <c r="H1290" s="8" t="s">
        <v>2037</v>
      </c>
      <c r="I1290" s="8" t="s">
        <v>2005</v>
      </c>
      <c r="J1290" s="9">
        <v>5.16</v>
      </c>
    </row>
    <row r="1291" spans="7:10" hidden="1" x14ac:dyDescent="0.3">
      <c r="G1291" s="10" t="s">
        <v>1271</v>
      </c>
      <c r="H1291" s="11" t="s">
        <v>2045</v>
      </c>
      <c r="I1291" s="11" t="s">
        <v>2005</v>
      </c>
      <c r="J1291" s="12">
        <v>6.21</v>
      </c>
    </row>
    <row r="1292" spans="7:10" hidden="1" x14ac:dyDescent="0.3">
      <c r="G1292" s="7" t="s">
        <v>1276</v>
      </c>
      <c r="H1292" s="8" t="s">
        <v>2034</v>
      </c>
      <c r="I1292" s="8" t="s">
        <v>2005</v>
      </c>
      <c r="J1292" s="9">
        <v>2.0699999999999998</v>
      </c>
    </row>
    <row r="1293" spans="7:10" hidden="1" x14ac:dyDescent="0.3">
      <c r="G1293" s="10" t="s">
        <v>1303</v>
      </c>
      <c r="H1293" s="11" t="s">
        <v>2034</v>
      </c>
      <c r="I1293" s="11" t="s">
        <v>2005</v>
      </c>
      <c r="J1293" s="12">
        <v>2.85</v>
      </c>
    </row>
    <row r="1294" spans="7:10" hidden="1" x14ac:dyDescent="0.3">
      <c r="G1294" s="10" t="s">
        <v>1318</v>
      </c>
      <c r="H1294" s="11" t="s">
        <v>2041</v>
      </c>
      <c r="I1294" s="11" t="s">
        <v>2005</v>
      </c>
      <c r="J1294" s="12">
        <v>4.6500000000000004</v>
      </c>
    </row>
    <row r="1295" spans="7:10" hidden="1" x14ac:dyDescent="0.3">
      <c r="G1295" s="10" t="s">
        <v>1373</v>
      </c>
      <c r="H1295" s="11" t="s">
        <v>2065</v>
      </c>
      <c r="I1295" s="11" t="s">
        <v>2005</v>
      </c>
      <c r="J1295" s="12">
        <v>2.64</v>
      </c>
    </row>
    <row r="1296" spans="7:10" hidden="1" x14ac:dyDescent="0.3">
      <c r="G1296" s="7" t="s">
        <v>1390</v>
      </c>
      <c r="H1296" s="8" t="s">
        <v>2042</v>
      </c>
      <c r="I1296" s="8" t="s">
        <v>2005</v>
      </c>
      <c r="J1296" s="9">
        <v>3.87</v>
      </c>
    </row>
    <row r="1297" spans="7:10" hidden="1" x14ac:dyDescent="0.3">
      <c r="G1297" s="10" t="s">
        <v>1429</v>
      </c>
      <c r="H1297" s="11" t="s">
        <v>2051</v>
      </c>
      <c r="I1297" s="11" t="s">
        <v>2005</v>
      </c>
      <c r="J1297" s="12">
        <v>4.21</v>
      </c>
    </row>
    <row r="1298" spans="7:10" hidden="1" x14ac:dyDescent="0.3">
      <c r="G1298" s="7" t="s">
        <v>1432</v>
      </c>
      <c r="H1298" s="8" t="s">
        <v>2034</v>
      </c>
      <c r="I1298" s="8" t="s">
        <v>2005</v>
      </c>
      <c r="J1298" s="9">
        <v>3.05</v>
      </c>
    </row>
    <row r="1299" spans="7:10" hidden="1" x14ac:dyDescent="0.3">
      <c r="G1299" s="10" t="s">
        <v>1465</v>
      </c>
      <c r="H1299" s="11" t="s">
        <v>2035</v>
      </c>
      <c r="I1299" s="11" t="s">
        <v>2005</v>
      </c>
      <c r="J1299" s="12">
        <v>1.88</v>
      </c>
    </row>
    <row r="1300" spans="7:10" hidden="1" x14ac:dyDescent="0.3">
      <c r="G1300" s="10" t="s">
        <v>1477</v>
      </c>
      <c r="H1300" s="11" t="s">
        <v>2039</v>
      </c>
      <c r="I1300" s="11" t="s">
        <v>2005</v>
      </c>
      <c r="J1300" s="12">
        <v>3.77</v>
      </c>
    </row>
    <row r="1301" spans="7:10" hidden="1" x14ac:dyDescent="0.3">
      <c r="G1301" s="7" t="s">
        <v>1486</v>
      </c>
      <c r="H1301" s="8" t="s">
        <v>2037</v>
      </c>
      <c r="I1301" s="8" t="s">
        <v>2005</v>
      </c>
      <c r="J1301" s="9">
        <v>4.41</v>
      </c>
    </row>
    <row r="1302" spans="7:10" hidden="1" x14ac:dyDescent="0.3">
      <c r="G1302" s="10" t="s">
        <v>1491</v>
      </c>
      <c r="H1302" s="11" t="s">
        <v>2034</v>
      </c>
      <c r="I1302" s="11" t="s">
        <v>2005</v>
      </c>
      <c r="J1302" s="12">
        <v>1.62</v>
      </c>
    </row>
    <row r="1303" spans="7:10" hidden="1" x14ac:dyDescent="0.3">
      <c r="G1303" s="10" t="s">
        <v>1527</v>
      </c>
      <c r="H1303" s="11" t="s">
        <v>2051</v>
      </c>
      <c r="I1303" s="11" t="s">
        <v>2005</v>
      </c>
      <c r="J1303" s="12">
        <v>2.79</v>
      </c>
    </row>
    <row r="1304" spans="7:10" hidden="1" x14ac:dyDescent="0.3">
      <c r="G1304" s="7" t="s">
        <v>1532</v>
      </c>
      <c r="H1304" s="8" t="s">
        <v>2047</v>
      </c>
      <c r="I1304" s="8" t="s">
        <v>2005</v>
      </c>
      <c r="J1304" s="9">
        <v>3.46</v>
      </c>
    </row>
    <row r="1305" spans="7:10" hidden="1" x14ac:dyDescent="0.3">
      <c r="G1305" s="10" t="s">
        <v>1533</v>
      </c>
      <c r="H1305" s="11" t="s">
        <v>2039</v>
      </c>
      <c r="I1305" s="11" t="s">
        <v>2005</v>
      </c>
      <c r="J1305" s="12">
        <v>1.81</v>
      </c>
    </row>
    <row r="1306" spans="7:10" hidden="1" x14ac:dyDescent="0.3">
      <c r="G1306" s="10" t="s">
        <v>1545</v>
      </c>
      <c r="H1306" s="11" t="s">
        <v>2034</v>
      </c>
      <c r="I1306" s="11" t="s">
        <v>2005</v>
      </c>
      <c r="J1306" s="12">
        <v>1.1200000000000001</v>
      </c>
    </row>
    <row r="1307" spans="7:10" hidden="1" x14ac:dyDescent="0.3">
      <c r="G1307" s="10" t="s">
        <v>1585</v>
      </c>
      <c r="H1307" s="11" t="s">
        <v>2034</v>
      </c>
      <c r="I1307" s="11" t="s">
        <v>2005</v>
      </c>
      <c r="J1307" s="12">
        <v>2.61</v>
      </c>
    </row>
    <row r="1308" spans="7:10" hidden="1" x14ac:dyDescent="0.3">
      <c r="G1308" s="7" t="s">
        <v>1608</v>
      </c>
      <c r="H1308" s="8" t="s">
        <v>2034</v>
      </c>
      <c r="I1308" s="8" t="s">
        <v>2005</v>
      </c>
      <c r="J1308" s="9">
        <v>2.34</v>
      </c>
    </row>
    <row r="1309" spans="7:10" hidden="1" x14ac:dyDescent="0.3">
      <c r="G1309" s="10" t="s">
        <v>1629</v>
      </c>
      <c r="H1309" s="11" t="s">
        <v>2038</v>
      </c>
      <c r="I1309" s="11" t="s">
        <v>2005</v>
      </c>
      <c r="J1309" s="12">
        <v>3.72</v>
      </c>
    </row>
    <row r="1310" spans="7:10" hidden="1" x14ac:dyDescent="0.3">
      <c r="G1310" s="7" t="s">
        <v>1670</v>
      </c>
      <c r="H1310" s="8" t="s">
        <v>2038</v>
      </c>
      <c r="I1310" s="8" t="s">
        <v>2005</v>
      </c>
      <c r="J1310" s="9">
        <v>3.68</v>
      </c>
    </row>
    <row r="1311" spans="7:10" hidden="1" x14ac:dyDescent="0.3">
      <c r="G1311" s="7" t="s">
        <v>2013</v>
      </c>
      <c r="H1311" s="8" t="s">
        <v>2034</v>
      </c>
      <c r="I1311" s="8" t="s">
        <v>2005</v>
      </c>
      <c r="J1311" s="9">
        <v>1.64</v>
      </c>
    </row>
    <row r="1312" spans="7:10" hidden="1" x14ac:dyDescent="0.3">
      <c r="G1312" s="10" t="s">
        <v>1922</v>
      </c>
      <c r="H1312" s="11" t="s">
        <v>2034</v>
      </c>
      <c r="I1312" s="11" t="s">
        <v>2005</v>
      </c>
      <c r="J1312" s="12">
        <v>0.56999999999999995</v>
      </c>
    </row>
    <row r="1313" spans="7:10" hidden="1" x14ac:dyDescent="0.3">
      <c r="G1313" s="7" t="s">
        <v>1950</v>
      </c>
      <c r="H1313" s="8" t="s">
        <v>2034</v>
      </c>
      <c r="I1313" s="8" t="s">
        <v>2005</v>
      </c>
      <c r="J1313" s="9">
        <v>2.93</v>
      </c>
    </row>
    <row r="1314" spans="7:10" hidden="1" x14ac:dyDescent="0.3">
      <c r="G1314" s="7" t="s">
        <v>2014</v>
      </c>
      <c r="H1314" s="8" t="s">
        <v>2034</v>
      </c>
      <c r="I1314" s="8" t="s">
        <v>2005</v>
      </c>
      <c r="J1314" s="9">
        <v>2.62</v>
      </c>
    </row>
    <row r="1315" spans="7:10" hidden="1" x14ac:dyDescent="0.3">
      <c r="G1315" s="10" t="s">
        <v>1970</v>
      </c>
      <c r="H1315" s="11" t="s">
        <v>2034</v>
      </c>
      <c r="I1315" s="11" t="s">
        <v>2005</v>
      </c>
      <c r="J1315" s="12">
        <v>2.2000000000000002</v>
      </c>
    </row>
    <row r="1316" spans="7:10" hidden="1" x14ac:dyDescent="0.3">
      <c r="G1316" s="7" t="s">
        <v>178</v>
      </c>
      <c r="H1316" s="8" t="s">
        <v>2039</v>
      </c>
      <c r="I1316" s="8" t="s">
        <v>1993</v>
      </c>
      <c r="J1316" s="9">
        <v>43.45</v>
      </c>
    </row>
    <row r="1317" spans="7:10" hidden="1" x14ac:dyDescent="0.3">
      <c r="G1317" s="7" t="s">
        <v>232</v>
      </c>
      <c r="H1317" s="8" t="s">
        <v>2039</v>
      </c>
      <c r="I1317" s="8" t="s">
        <v>1993</v>
      </c>
      <c r="J1317" s="9">
        <v>31.75</v>
      </c>
    </row>
    <row r="1318" spans="7:10" hidden="1" x14ac:dyDescent="0.3">
      <c r="G1318" s="7" t="s">
        <v>240</v>
      </c>
      <c r="H1318" s="8" t="s">
        <v>2060</v>
      </c>
      <c r="I1318" s="8" t="s">
        <v>1993</v>
      </c>
      <c r="J1318" s="9">
        <v>15.33</v>
      </c>
    </row>
    <row r="1319" spans="7:10" hidden="1" x14ac:dyDescent="0.3">
      <c r="G1319" s="10" t="s">
        <v>251</v>
      </c>
      <c r="H1319" s="11" t="s">
        <v>2039</v>
      </c>
      <c r="I1319" s="11" t="s">
        <v>1993</v>
      </c>
      <c r="J1319" s="12">
        <v>18.88</v>
      </c>
    </row>
    <row r="1320" spans="7:10" hidden="1" x14ac:dyDescent="0.3">
      <c r="G1320" s="10" t="s">
        <v>257</v>
      </c>
      <c r="H1320" s="11" t="s">
        <v>2039</v>
      </c>
      <c r="I1320" s="11" t="s">
        <v>1993</v>
      </c>
      <c r="J1320" s="12">
        <v>26.49</v>
      </c>
    </row>
    <row r="1321" spans="7:10" hidden="1" x14ac:dyDescent="0.3">
      <c r="G1321" s="7" t="s">
        <v>359</v>
      </c>
      <c r="H1321" s="8" t="s">
        <v>2062</v>
      </c>
      <c r="I1321" s="8" t="s">
        <v>1993</v>
      </c>
      <c r="J1321" s="9">
        <v>16.66</v>
      </c>
    </row>
    <row r="1322" spans="7:10" hidden="1" x14ac:dyDescent="0.3">
      <c r="G1322" s="10" t="s">
        <v>377</v>
      </c>
      <c r="H1322" s="11" t="s">
        <v>2037</v>
      </c>
      <c r="I1322" s="11" t="s">
        <v>1993</v>
      </c>
      <c r="J1322" s="12">
        <v>11.59</v>
      </c>
    </row>
    <row r="1323" spans="7:10" hidden="1" x14ac:dyDescent="0.3">
      <c r="G1323" s="10" t="s">
        <v>401</v>
      </c>
      <c r="H1323" s="11" t="s">
        <v>2034</v>
      </c>
      <c r="I1323" s="11" t="s">
        <v>1993</v>
      </c>
      <c r="J1323" s="12">
        <v>14.45</v>
      </c>
    </row>
    <row r="1324" spans="7:10" hidden="1" x14ac:dyDescent="0.3">
      <c r="G1324" s="10" t="s">
        <v>432</v>
      </c>
      <c r="H1324" s="11" t="s">
        <v>2034</v>
      </c>
      <c r="I1324" s="11" t="s">
        <v>1993</v>
      </c>
      <c r="J1324" s="12">
        <v>14.25</v>
      </c>
    </row>
    <row r="1325" spans="7:10" hidden="1" x14ac:dyDescent="0.3">
      <c r="G1325" s="7" t="s">
        <v>439</v>
      </c>
      <c r="H1325" s="8" t="s">
        <v>2040</v>
      </c>
      <c r="I1325" s="8" t="s">
        <v>1993</v>
      </c>
      <c r="J1325" s="9">
        <v>14.87</v>
      </c>
    </row>
    <row r="1326" spans="7:10" hidden="1" x14ac:dyDescent="0.3">
      <c r="G1326" s="7" t="s">
        <v>441</v>
      </c>
      <c r="H1326" s="8" t="s">
        <v>2034</v>
      </c>
      <c r="I1326" s="8" t="s">
        <v>1993</v>
      </c>
      <c r="J1326" s="9">
        <v>14.69</v>
      </c>
    </row>
    <row r="1327" spans="7:10" hidden="1" x14ac:dyDescent="0.3">
      <c r="G1327" s="10" t="s">
        <v>452</v>
      </c>
      <c r="H1327" s="11" t="s">
        <v>2034</v>
      </c>
      <c r="I1327" s="11" t="s">
        <v>1993</v>
      </c>
      <c r="J1327" s="12">
        <v>12.64</v>
      </c>
    </row>
    <row r="1328" spans="7:10" hidden="1" x14ac:dyDescent="0.3">
      <c r="G1328" s="7" t="s">
        <v>455</v>
      </c>
      <c r="H1328" s="8" t="s">
        <v>2038</v>
      </c>
      <c r="I1328" s="8" t="s">
        <v>1993</v>
      </c>
      <c r="J1328" s="9">
        <v>12.93</v>
      </c>
    </row>
    <row r="1329" spans="7:10" hidden="1" x14ac:dyDescent="0.3">
      <c r="G1329" s="10" t="s">
        <v>460</v>
      </c>
      <c r="H1329" s="11" t="s">
        <v>2040</v>
      </c>
      <c r="I1329" s="11" t="s">
        <v>1993</v>
      </c>
      <c r="J1329" s="12">
        <v>9.86</v>
      </c>
    </row>
    <row r="1330" spans="7:10" hidden="1" x14ac:dyDescent="0.3">
      <c r="G1330" s="10" t="s">
        <v>470</v>
      </c>
      <c r="H1330" s="11" t="s">
        <v>2034</v>
      </c>
      <c r="I1330" s="11" t="s">
        <v>1993</v>
      </c>
      <c r="J1330" s="12">
        <v>13.87</v>
      </c>
    </row>
    <row r="1331" spans="7:10" hidden="1" x14ac:dyDescent="0.3">
      <c r="G1331" s="10" t="s">
        <v>669</v>
      </c>
      <c r="H1331" s="11" t="s">
        <v>2038</v>
      </c>
      <c r="I1331" s="11" t="s">
        <v>1993</v>
      </c>
      <c r="J1331" s="12">
        <v>12.74</v>
      </c>
    </row>
    <row r="1332" spans="7:10" hidden="1" x14ac:dyDescent="0.3">
      <c r="G1332" s="10" t="s">
        <v>688</v>
      </c>
      <c r="H1332" s="11" t="s">
        <v>2035</v>
      </c>
      <c r="I1332" s="11" t="s">
        <v>1993</v>
      </c>
      <c r="J1332" s="12">
        <v>6.38</v>
      </c>
    </row>
    <row r="1333" spans="7:10" hidden="1" x14ac:dyDescent="0.3">
      <c r="G1333" s="7" t="s">
        <v>701</v>
      </c>
      <c r="H1333" s="8" t="s">
        <v>2040</v>
      </c>
      <c r="I1333" s="8" t="s">
        <v>1993</v>
      </c>
      <c r="J1333" s="9">
        <v>8.3800000000000008</v>
      </c>
    </row>
    <row r="1334" spans="7:10" hidden="1" x14ac:dyDescent="0.3">
      <c r="G1334" s="7" t="s">
        <v>705</v>
      </c>
      <c r="H1334" s="8" t="s">
        <v>2057</v>
      </c>
      <c r="I1334" s="8" t="s">
        <v>1993</v>
      </c>
      <c r="J1334" s="9">
        <v>18.25</v>
      </c>
    </row>
    <row r="1335" spans="7:10" hidden="1" x14ac:dyDescent="0.3">
      <c r="G1335" s="7" t="s">
        <v>729</v>
      </c>
      <c r="H1335" s="8" t="s">
        <v>2040</v>
      </c>
      <c r="I1335" s="8" t="s">
        <v>1993</v>
      </c>
      <c r="J1335" s="9">
        <v>5.2</v>
      </c>
    </row>
    <row r="1336" spans="7:10" hidden="1" x14ac:dyDescent="0.3">
      <c r="G1336" s="10" t="s">
        <v>748</v>
      </c>
      <c r="H1336" s="11" t="s">
        <v>2034</v>
      </c>
      <c r="I1336" s="11" t="s">
        <v>1993</v>
      </c>
      <c r="J1336" s="12">
        <v>9.44</v>
      </c>
    </row>
    <row r="1337" spans="7:10" hidden="1" x14ac:dyDescent="0.3">
      <c r="G1337" s="7" t="s">
        <v>751</v>
      </c>
      <c r="H1337" s="8" t="s">
        <v>2038</v>
      </c>
      <c r="I1337" s="8" t="s">
        <v>1993</v>
      </c>
      <c r="J1337" s="9">
        <v>13.24</v>
      </c>
    </row>
    <row r="1338" spans="7:10" hidden="1" x14ac:dyDescent="0.3">
      <c r="G1338" s="7" t="s">
        <v>783</v>
      </c>
      <c r="H1338" s="8" t="s">
        <v>2038</v>
      </c>
      <c r="I1338" s="8" t="s">
        <v>1993</v>
      </c>
      <c r="J1338" s="9">
        <v>13.11</v>
      </c>
    </row>
    <row r="1339" spans="7:10" hidden="1" x14ac:dyDescent="0.3">
      <c r="G1339" s="7" t="s">
        <v>819</v>
      </c>
      <c r="H1339" s="8" t="s">
        <v>2067</v>
      </c>
      <c r="I1339" s="8" t="s">
        <v>1993</v>
      </c>
      <c r="J1339" s="9">
        <v>4.95</v>
      </c>
    </row>
    <row r="1340" spans="7:10" hidden="1" x14ac:dyDescent="0.3">
      <c r="G1340" s="10" t="s">
        <v>820</v>
      </c>
      <c r="H1340" s="11" t="s">
        <v>2040</v>
      </c>
      <c r="I1340" s="11" t="s">
        <v>1993</v>
      </c>
      <c r="J1340" s="12">
        <v>5.49</v>
      </c>
    </row>
    <row r="1341" spans="7:10" hidden="1" x14ac:dyDescent="0.3">
      <c r="G1341" s="7" t="s">
        <v>836</v>
      </c>
      <c r="H1341" s="8" t="s">
        <v>2038</v>
      </c>
      <c r="I1341" s="8" t="s">
        <v>1993</v>
      </c>
      <c r="J1341" s="9">
        <v>13.85</v>
      </c>
    </row>
    <row r="1342" spans="7:10" hidden="1" x14ac:dyDescent="0.3">
      <c r="G1342" s="10" t="s">
        <v>841</v>
      </c>
      <c r="H1342" s="11" t="s">
        <v>2038</v>
      </c>
      <c r="I1342" s="11" t="s">
        <v>1993</v>
      </c>
      <c r="J1342" s="12">
        <v>15.94</v>
      </c>
    </row>
    <row r="1343" spans="7:10" hidden="1" x14ac:dyDescent="0.3">
      <c r="G1343" s="7" t="s">
        <v>848</v>
      </c>
      <c r="H1343" s="8" t="s">
        <v>2041</v>
      </c>
      <c r="I1343" s="8" t="s">
        <v>1993</v>
      </c>
      <c r="J1343" s="9">
        <v>9.4</v>
      </c>
    </row>
    <row r="1344" spans="7:10" hidden="1" x14ac:dyDescent="0.3">
      <c r="G1344" s="10" t="s">
        <v>865</v>
      </c>
      <c r="H1344" s="11" t="s">
        <v>2034</v>
      </c>
      <c r="I1344" s="11" t="s">
        <v>1993</v>
      </c>
      <c r="J1344" s="12">
        <v>6.2</v>
      </c>
    </row>
    <row r="1345" spans="7:10" hidden="1" x14ac:dyDescent="0.3">
      <c r="G1345" s="7" t="s">
        <v>880</v>
      </c>
      <c r="H1345" s="8" t="s">
        <v>2038</v>
      </c>
      <c r="I1345" s="8" t="s">
        <v>1993</v>
      </c>
      <c r="J1345" s="9">
        <v>15.74</v>
      </c>
    </row>
    <row r="1346" spans="7:10" hidden="1" x14ac:dyDescent="0.3">
      <c r="G1346" s="7" t="s">
        <v>884</v>
      </c>
      <c r="H1346" s="8" t="s">
        <v>2038</v>
      </c>
      <c r="I1346" s="8" t="s">
        <v>1993</v>
      </c>
      <c r="J1346" s="9">
        <v>9.1999999999999993</v>
      </c>
    </row>
    <row r="1347" spans="7:10" hidden="1" x14ac:dyDescent="0.3">
      <c r="G1347" s="7" t="s">
        <v>938</v>
      </c>
      <c r="H1347" s="8" t="s">
        <v>2039</v>
      </c>
      <c r="I1347" s="8" t="s">
        <v>1993</v>
      </c>
      <c r="J1347" s="9">
        <v>10.6</v>
      </c>
    </row>
    <row r="1348" spans="7:10" hidden="1" x14ac:dyDescent="0.3">
      <c r="G1348" s="7" t="s">
        <v>977</v>
      </c>
      <c r="H1348" s="8" t="s">
        <v>1975</v>
      </c>
      <c r="I1348" s="8" t="s">
        <v>1993</v>
      </c>
      <c r="J1348" s="9">
        <v>4.5199999999999996</v>
      </c>
    </row>
    <row r="1349" spans="7:10" hidden="1" x14ac:dyDescent="0.3">
      <c r="G1349" s="10" t="s">
        <v>982</v>
      </c>
      <c r="H1349" s="11" t="s">
        <v>2035</v>
      </c>
      <c r="I1349" s="11" t="s">
        <v>1993</v>
      </c>
      <c r="J1349" s="12">
        <v>6.45</v>
      </c>
    </row>
    <row r="1350" spans="7:10" hidden="1" x14ac:dyDescent="0.3">
      <c r="G1350" s="7" t="s">
        <v>1007</v>
      </c>
      <c r="H1350" s="8" t="s">
        <v>2052</v>
      </c>
      <c r="I1350" s="8" t="s">
        <v>1993</v>
      </c>
      <c r="J1350" s="9">
        <v>2.87</v>
      </c>
    </row>
    <row r="1351" spans="7:10" hidden="1" x14ac:dyDescent="0.3">
      <c r="G1351" s="7" t="s">
        <v>1033</v>
      </c>
      <c r="H1351" s="8" t="s">
        <v>2035</v>
      </c>
      <c r="I1351" s="8" t="s">
        <v>1993</v>
      </c>
      <c r="J1351" s="9">
        <v>3.93</v>
      </c>
    </row>
    <row r="1352" spans="7:10" hidden="1" x14ac:dyDescent="0.3">
      <c r="G1352" s="10" t="s">
        <v>1058</v>
      </c>
      <c r="H1352" s="11" t="s">
        <v>2034</v>
      </c>
      <c r="I1352" s="11" t="s">
        <v>1993</v>
      </c>
      <c r="J1352" s="12">
        <v>11.94</v>
      </c>
    </row>
    <row r="1353" spans="7:10" hidden="1" x14ac:dyDescent="0.3">
      <c r="G1353" s="10" t="s">
        <v>1081</v>
      </c>
      <c r="H1353" s="11" t="s">
        <v>2034</v>
      </c>
      <c r="I1353" s="11" t="s">
        <v>1993</v>
      </c>
      <c r="J1353" s="12">
        <v>5.28</v>
      </c>
    </row>
    <row r="1354" spans="7:10" hidden="1" x14ac:dyDescent="0.3">
      <c r="G1354" s="7" t="s">
        <v>1124</v>
      </c>
      <c r="H1354" s="8" t="s">
        <v>2038</v>
      </c>
      <c r="I1354" s="8" t="s">
        <v>1993</v>
      </c>
      <c r="J1354" s="9">
        <v>8</v>
      </c>
    </row>
    <row r="1355" spans="7:10" hidden="1" x14ac:dyDescent="0.3">
      <c r="G1355" s="7" t="s">
        <v>1132</v>
      </c>
      <c r="H1355" s="8" t="s">
        <v>2035</v>
      </c>
      <c r="I1355" s="8" t="s">
        <v>1993</v>
      </c>
      <c r="J1355" s="9">
        <v>4.5</v>
      </c>
    </row>
    <row r="1356" spans="7:10" hidden="1" x14ac:dyDescent="0.3">
      <c r="G1356" s="7" t="s">
        <v>1146</v>
      </c>
      <c r="H1356" s="8" t="s">
        <v>2038</v>
      </c>
      <c r="I1356" s="8" t="s">
        <v>1993</v>
      </c>
      <c r="J1356" s="9">
        <v>8.14</v>
      </c>
    </row>
    <row r="1357" spans="7:10" hidden="1" x14ac:dyDescent="0.3">
      <c r="G1357" s="10" t="s">
        <v>1147</v>
      </c>
      <c r="H1357" s="11" t="s">
        <v>2041</v>
      </c>
      <c r="I1357" s="11" t="s">
        <v>1993</v>
      </c>
      <c r="J1357" s="12">
        <v>16.21</v>
      </c>
    </row>
    <row r="1358" spans="7:10" hidden="1" x14ac:dyDescent="0.3">
      <c r="G1358" s="7" t="s">
        <v>1148</v>
      </c>
      <c r="H1358" s="8" t="s">
        <v>2035</v>
      </c>
      <c r="I1358" s="8" t="s">
        <v>1993</v>
      </c>
      <c r="J1358" s="9">
        <v>5.16</v>
      </c>
    </row>
    <row r="1359" spans="7:10" hidden="1" x14ac:dyDescent="0.3">
      <c r="G1359" s="10" t="s">
        <v>1179</v>
      </c>
      <c r="H1359" s="11" t="s">
        <v>2042</v>
      </c>
      <c r="I1359" s="11" t="s">
        <v>1993</v>
      </c>
      <c r="J1359" s="12">
        <v>6.35</v>
      </c>
    </row>
    <row r="1360" spans="7:10" hidden="1" x14ac:dyDescent="0.3">
      <c r="G1360" s="7" t="s">
        <v>1204</v>
      </c>
      <c r="H1360" s="8" t="s">
        <v>2042</v>
      </c>
      <c r="I1360" s="8" t="s">
        <v>1993</v>
      </c>
      <c r="J1360" s="9">
        <v>3.76</v>
      </c>
    </row>
    <row r="1361" spans="7:10" hidden="1" x14ac:dyDescent="0.3">
      <c r="G1361" s="10" t="s">
        <v>1994</v>
      </c>
      <c r="H1361" s="11" t="s">
        <v>2038</v>
      </c>
      <c r="I1361" s="11" t="s">
        <v>1993</v>
      </c>
      <c r="J1361" s="12">
        <v>4.59</v>
      </c>
    </row>
    <row r="1362" spans="7:10" hidden="1" x14ac:dyDescent="0.3">
      <c r="G1362" s="10" t="s">
        <v>1273</v>
      </c>
      <c r="H1362" s="11" t="s">
        <v>2034</v>
      </c>
      <c r="I1362" s="11" t="s">
        <v>1993</v>
      </c>
      <c r="J1362" s="12">
        <v>2.9</v>
      </c>
    </row>
    <row r="1363" spans="7:10" hidden="1" x14ac:dyDescent="0.3">
      <c r="G1363" s="7" t="s">
        <v>1288</v>
      </c>
      <c r="H1363" s="8" t="s">
        <v>2039</v>
      </c>
      <c r="I1363" s="8" t="s">
        <v>1993</v>
      </c>
      <c r="J1363" s="9">
        <v>3.9</v>
      </c>
    </row>
    <row r="1364" spans="7:10" hidden="1" x14ac:dyDescent="0.3">
      <c r="G1364" s="7" t="s">
        <v>1309</v>
      </c>
      <c r="H1364" s="8" t="s">
        <v>2034</v>
      </c>
      <c r="I1364" s="8" t="s">
        <v>1993</v>
      </c>
      <c r="J1364" s="9">
        <v>5.35</v>
      </c>
    </row>
    <row r="1365" spans="7:10" hidden="1" x14ac:dyDescent="0.3">
      <c r="G1365" s="7" t="s">
        <v>1323</v>
      </c>
      <c r="H1365" s="8" t="s">
        <v>2043</v>
      </c>
      <c r="I1365" s="8" t="s">
        <v>1993</v>
      </c>
      <c r="J1365" s="9">
        <v>4.6500000000000004</v>
      </c>
    </row>
    <row r="1366" spans="7:10" hidden="1" x14ac:dyDescent="0.3">
      <c r="G1366" s="10" t="s">
        <v>1326</v>
      </c>
      <c r="H1366" s="11" t="s">
        <v>2035</v>
      </c>
      <c r="I1366" s="11" t="s">
        <v>1993</v>
      </c>
      <c r="J1366" s="12">
        <v>6.72</v>
      </c>
    </row>
    <row r="1367" spans="7:10" hidden="1" x14ac:dyDescent="0.3">
      <c r="G1367" s="10" t="s">
        <v>1379</v>
      </c>
      <c r="H1367" s="11" t="s">
        <v>2034</v>
      </c>
      <c r="I1367" s="11" t="s">
        <v>1993</v>
      </c>
      <c r="J1367" s="12">
        <v>4.82</v>
      </c>
    </row>
    <row r="1368" spans="7:10" hidden="1" x14ac:dyDescent="0.3">
      <c r="G1368" s="10" t="s">
        <v>1397</v>
      </c>
      <c r="H1368" s="11" t="s">
        <v>2034</v>
      </c>
      <c r="I1368" s="11" t="s">
        <v>1993</v>
      </c>
      <c r="J1368" s="12">
        <v>4.88</v>
      </c>
    </row>
    <row r="1369" spans="7:10" hidden="1" x14ac:dyDescent="0.3">
      <c r="G1369" s="10" t="s">
        <v>1461</v>
      </c>
      <c r="H1369" s="11" t="s">
        <v>2043</v>
      </c>
      <c r="I1369" s="11" t="s">
        <v>1993</v>
      </c>
      <c r="J1369" s="12">
        <v>5.09</v>
      </c>
    </row>
    <row r="1370" spans="7:10" hidden="1" x14ac:dyDescent="0.3">
      <c r="G1370" s="7" t="s">
        <v>1466</v>
      </c>
      <c r="H1370" s="8" t="s">
        <v>2034</v>
      </c>
      <c r="I1370" s="8" t="s">
        <v>1993</v>
      </c>
      <c r="J1370" s="9">
        <v>6.04</v>
      </c>
    </row>
    <row r="1371" spans="7:10" hidden="1" x14ac:dyDescent="0.3">
      <c r="G1371" s="10" t="s">
        <v>1475</v>
      </c>
      <c r="H1371" s="11" t="s">
        <v>2043</v>
      </c>
      <c r="I1371" s="11" t="s">
        <v>1993</v>
      </c>
      <c r="J1371" s="12">
        <v>4.6900000000000004</v>
      </c>
    </row>
    <row r="1372" spans="7:10" hidden="1" x14ac:dyDescent="0.3">
      <c r="G1372" s="7" t="s">
        <v>1498</v>
      </c>
      <c r="H1372" s="8" t="s">
        <v>2034</v>
      </c>
      <c r="I1372" s="8" t="s">
        <v>1993</v>
      </c>
      <c r="J1372" s="9">
        <v>4.01</v>
      </c>
    </row>
    <row r="1373" spans="7:10" hidden="1" x14ac:dyDescent="0.3">
      <c r="G1373" s="7" t="s">
        <v>1510</v>
      </c>
      <c r="H1373" s="8" t="s">
        <v>2034</v>
      </c>
      <c r="I1373" s="8" t="s">
        <v>1993</v>
      </c>
      <c r="J1373" s="9">
        <v>6.09</v>
      </c>
    </row>
    <row r="1374" spans="7:10" hidden="1" x14ac:dyDescent="0.3">
      <c r="G1374" s="10" t="s">
        <v>1559</v>
      </c>
      <c r="H1374" s="11" t="s">
        <v>2035</v>
      </c>
      <c r="I1374" s="11" t="s">
        <v>1993</v>
      </c>
      <c r="J1374" s="12">
        <v>8.94</v>
      </c>
    </row>
    <row r="1375" spans="7:10" hidden="1" x14ac:dyDescent="0.3">
      <c r="G1375" s="7" t="s">
        <v>1564</v>
      </c>
      <c r="H1375" s="8" t="s">
        <v>2035</v>
      </c>
      <c r="I1375" s="8" t="s">
        <v>1993</v>
      </c>
      <c r="J1375" s="9">
        <v>4.53</v>
      </c>
    </row>
    <row r="1376" spans="7:10" hidden="1" x14ac:dyDescent="0.3">
      <c r="G1376" s="7" t="s">
        <v>1566</v>
      </c>
      <c r="H1376" s="8" t="s">
        <v>2034</v>
      </c>
      <c r="I1376" s="8" t="s">
        <v>1993</v>
      </c>
      <c r="J1376" s="9">
        <v>5.14</v>
      </c>
    </row>
    <row r="1377" spans="7:10" hidden="1" x14ac:dyDescent="0.3">
      <c r="G1377" s="7" t="s">
        <v>1574</v>
      </c>
      <c r="H1377" s="8" t="s">
        <v>2034</v>
      </c>
      <c r="I1377" s="8" t="s">
        <v>1993</v>
      </c>
      <c r="J1377" s="9">
        <v>5.19</v>
      </c>
    </row>
    <row r="1378" spans="7:10" hidden="1" x14ac:dyDescent="0.3">
      <c r="G1378" s="10" t="s">
        <v>1627</v>
      </c>
      <c r="H1378" s="11" t="s">
        <v>1975</v>
      </c>
      <c r="I1378" s="11" t="s">
        <v>1993</v>
      </c>
      <c r="J1378" s="12">
        <v>3.27</v>
      </c>
    </row>
    <row r="1379" spans="7:10" hidden="1" x14ac:dyDescent="0.3">
      <c r="G1379" s="7" t="s">
        <v>1654</v>
      </c>
      <c r="H1379" s="8" t="s">
        <v>2041</v>
      </c>
      <c r="I1379" s="8" t="s">
        <v>1993</v>
      </c>
      <c r="J1379" s="9">
        <v>8.35</v>
      </c>
    </row>
    <row r="1380" spans="7:10" hidden="1" x14ac:dyDescent="0.3">
      <c r="G1380" s="7" t="s">
        <v>1680</v>
      </c>
      <c r="H1380" s="8" t="s">
        <v>2038</v>
      </c>
      <c r="I1380" s="8" t="s">
        <v>1993</v>
      </c>
      <c r="J1380" s="9">
        <v>4.0599999999999996</v>
      </c>
    </row>
    <row r="1381" spans="7:10" hidden="1" x14ac:dyDescent="0.3">
      <c r="G1381" s="10" t="s">
        <v>1717</v>
      </c>
      <c r="H1381" s="11" t="s">
        <v>2036</v>
      </c>
      <c r="I1381" s="11" t="s">
        <v>1993</v>
      </c>
      <c r="J1381" s="12">
        <v>8.61</v>
      </c>
    </row>
    <row r="1382" spans="7:10" hidden="1" x14ac:dyDescent="0.3">
      <c r="G1382" s="10" t="s">
        <v>1995</v>
      </c>
      <c r="H1382" s="11" t="s">
        <v>2085</v>
      </c>
      <c r="I1382" s="11" t="s">
        <v>1993</v>
      </c>
      <c r="J1382" s="12">
        <v>1.41</v>
      </c>
    </row>
    <row r="1383" spans="7:10" hidden="1" x14ac:dyDescent="0.3">
      <c r="G1383" s="7" t="s">
        <v>1741</v>
      </c>
      <c r="H1383" s="8" t="s">
        <v>2053</v>
      </c>
      <c r="I1383" s="8" t="s">
        <v>1993</v>
      </c>
      <c r="J1383" s="9">
        <v>3.83</v>
      </c>
    </row>
    <row r="1384" spans="7:10" hidden="1" x14ac:dyDescent="0.3">
      <c r="G1384" s="7" t="s">
        <v>1766</v>
      </c>
      <c r="H1384" s="8" t="s">
        <v>2057</v>
      </c>
      <c r="I1384" s="8" t="s">
        <v>1993</v>
      </c>
      <c r="J1384" s="9">
        <v>0.65</v>
      </c>
    </row>
    <row r="1385" spans="7:10" hidden="1" x14ac:dyDescent="0.3">
      <c r="G1385" s="10" t="s">
        <v>1786</v>
      </c>
      <c r="H1385" s="11" t="s">
        <v>2064</v>
      </c>
      <c r="I1385" s="11" t="s">
        <v>1993</v>
      </c>
      <c r="J1385" s="12">
        <v>1.98</v>
      </c>
    </row>
    <row r="1386" spans="7:10" hidden="1" x14ac:dyDescent="0.3">
      <c r="G1386" s="10" t="s">
        <v>1996</v>
      </c>
      <c r="H1386" s="11" t="s">
        <v>2038</v>
      </c>
      <c r="I1386" s="11" t="s">
        <v>1993</v>
      </c>
      <c r="J1386" s="12">
        <v>4.2</v>
      </c>
    </row>
    <row r="1387" spans="7:10" hidden="1" x14ac:dyDescent="0.3">
      <c r="G1387" s="10" t="s">
        <v>1833</v>
      </c>
      <c r="H1387" s="11" t="s">
        <v>2043</v>
      </c>
      <c r="I1387" s="11" t="s">
        <v>1993</v>
      </c>
      <c r="J1387" s="12">
        <v>2.84</v>
      </c>
    </row>
    <row r="1388" spans="7:10" hidden="1" x14ac:dyDescent="0.3">
      <c r="G1388" s="7" t="s">
        <v>1885</v>
      </c>
      <c r="H1388" s="8" t="s">
        <v>2038</v>
      </c>
      <c r="I1388" s="8" t="s">
        <v>1993</v>
      </c>
      <c r="J1388" s="9">
        <v>4.58</v>
      </c>
    </row>
    <row r="1389" spans="7:10" hidden="1" x14ac:dyDescent="0.3">
      <c r="G1389" s="7" t="s">
        <v>1889</v>
      </c>
      <c r="H1389" s="8" t="s">
        <v>2038</v>
      </c>
      <c r="I1389" s="8" t="s">
        <v>1993</v>
      </c>
      <c r="J1389" s="9">
        <v>6.75</v>
      </c>
    </row>
    <row r="1390" spans="7:10" hidden="1" x14ac:dyDescent="0.3">
      <c r="G1390" s="7" t="s">
        <v>1895</v>
      </c>
      <c r="H1390" s="8" t="s">
        <v>2038</v>
      </c>
      <c r="I1390" s="8" t="s">
        <v>1993</v>
      </c>
      <c r="J1390" s="9">
        <v>5</v>
      </c>
    </row>
    <row r="1391" spans="7:10" hidden="1" x14ac:dyDescent="0.3">
      <c r="G1391" s="10" t="s">
        <v>1900</v>
      </c>
      <c r="H1391" s="11" t="s">
        <v>2057</v>
      </c>
      <c r="I1391" s="11" t="s">
        <v>1993</v>
      </c>
      <c r="J1391" s="12">
        <v>6.22</v>
      </c>
    </row>
    <row r="1392" spans="7:10" hidden="1" x14ac:dyDescent="0.3">
      <c r="G1392" s="7" t="s">
        <v>1903</v>
      </c>
      <c r="H1392" s="8" t="s">
        <v>2069</v>
      </c>
      <c r="I1392" s="8" t="s">
        <v>1993</v>
      </c>
      <c r="J1392" s="9">
        <v>1.85</v>
      </c>
    </row>
    <row r="1393" spans="7:10" hidden="1" x14ac:dyDescent="0.3">
      <c r="G1393" s="7" t="s">
        <v>1930</v>
      </c>
      <c r="H1393" s="8" t="s">
        <v>2038</v>
      </c>
      <c r="I1393" s="8" t="s">
        <v>1993</v>
      </c>
      <c r="J1393" s="9">
        <v>4.33</v>
      </c>
    </row>
    <row r="1394" spans="7:10" hidden="1" x14ac:dyDescent="0.3">
      <c r="G1394" s="7" t="s">
        <v>100</v>
      </c>
      <c r="H1394" s="8" t="s">
        <v>1976</v>
      </c>
      <c r="I1394" s="8" t="s">
        <v>2015</v>
      </c>
      <c r="J1394" s="9">
        <v>29.84</v>
      </c>
    </row>
    <row r="1395" spans="7:10" hidden="1" x14ac:dyDescent="0.3">
      <c r="G1395" s="10" t="s">
        <v>115</v>
      </c>
      <c r="H1395" s="11" t="s">
        <v>2035</v>
      </c>
      <c r="I1395" s="11" t="s">
        <v>2015</v>
      </c>
      <c r="J1395" s="12">
        <v>27.89</v>
      </c>
    </row>
    <row r="1396" spans="7:10" hidden="1" x14ac:dyDescent="0.3">
      <c r="G1396" s="7" t="s">
        <v>153</v>
      </c>
      <c r="H1396" s="8" t="s">
        <v>2056</v>
      </c>
      <c r="I1396" s="8" t="s">
        <v>2015</v>
      </c>
      <c r="J1396" s="9">
        <v>39.01</v>
      </c>
    </row>
    <row r="1397" spans="7:10" hidden="1" x14ac:dyDescent="0.3">
      <c r="G1397" s="7" t="s">
        <v>157</v>
      </c>
      <c r="H1397" s="8" t="s">
        <v>2058</v>
      </c>
      <c r="I1397" s="8" t="s">
        <v>2015</v>
      </c>
      <c r="J1397" s="9">
        <v>18.34</v>
      </c>
    </row>
    <row r="1398" spans="7:10" hidden="1" x14ac:dyDescent="0.3">
      <c r="G1398" s="7" t="s">
        <v>170</v>
      </c>
      <c r="H1398" s="8" t="s">
        <v>2038</v>
      </c>
      <c r="I1398" s="8" t="s">
        <v>2015</v>
      </c>
      <c r="J1398" s="9">
        <v>31.62</v>
      </c>
    </row>
    <row r="1399" spans="7:10" hidden="1" x14ac:dyDescent="0.3">
      <c r="G1399" s="10" t="s">
        <v>183</v>
      </c>
      <c r="H1399" s="11" t="s">
        <v>2036</v>
      </c>
      <c r="I1399" s="11" t="s">
        <v>2015</v>
      </c>
      <c r="J1399" s="12">
        <v>26.86</v>
      </c>
    </row>
    <row r="1400" spans="7:10" hidden="1" x14ac:dyDescent="0.3">
      <c r="G1400" s="10" t="s">
        <v>209</v>
      </c>
      <c r="H1400" s="11" t="s">
        <v>2034</v>
      </c>
      <c r="I1400" s="11" t="s">
        <v>2015</v>
      </c>
      <c r="J1400" s="12">
        <v>26.16</v>
      </c>
    </row>
    <row r="1401" spans="7:10" hidden="1" x14ac:dyDescent="0.3">
      <c r="G1401" s="10" t="s">
        <v>211</v>
      </c>
      <c r="H1401" s="11" t="s">
        <v>2038</v>
      </c>
      <c r="I1401" s="11" t="s">
        <v>2015</v>
      </c>
      <c r="J1401" s="12">
        <v>26.16</v>
      </c>
    </row>
    <row r="1402" spans="7:10" hidden="1" x14ac:dyDescent="0.3">
      <c r="G1402" s="10" t="s">
        <v>213</v>
      </c>
      <c r="H1402" s="11" t="s">
        <v>2043</v>
      </c>
      <c r="I1402" s="11" t="s">
        <v>2015</v>
      </c>
      <c r="J1402" s="12">
        <v>23.16</v>
      </c>
    </row>
    <row r="1403" spans="7:10" hidden="1" x14ac:dyDescent="0.3">
      <c r="G1403" s="10" t="s">
        <v>235</v>
      </c>
      <c r="H1403" s="11" t="s">
        <v>2041</v>
      </c>
      <c r="I1403" s="11" t="s">
        <v>2015</v>
      </c>
      <c r="J1403" s="12">
        <v>50.56</v>
      </c>
    </row>
    <row r="1404" spans="7:10" hidden="1" x14ac:dyDescent="0.3">
      <c r="G1404" s="10" t="s">
        <v>271</v>
      </c>
      <c r="H1404" s="11" t="s">
        <v>2034</v>
      </c>
      <c r="I1404" s="11" t="s">
        <v>2015</v>
      </c>
      <c r="J1404" s="12">
        <v>24.1</v>
      </c>
    </row>
    <row r="1405" spans="7:10" hidden="1" x14ac:dyDescent="0.3">
      <c r="G1405" s="7" t="s">
        <v>301</v>
      </c>
      <c r="H1405" s="8" t="s">
        <v>2044</v>
      </c>
      <c r="I1405" s="8" t="s">
        <v>2015</v>
      </c>
      <c r="J1405" s="9">
        <v>10.37</v>
      </c>
    </row>
    <row r="1406" spans="7:10" hidden="1" x14ac:dyDescent="0.3">
      <c r="G1406" s="10" t="s">
        <v>314</v>
      </c>
      <c r="H1406" s="11" t="s">
        <v>2034</v>
      </c>
      <c r="I1406" s="11" t="s">
        <v>2015</v>
      </c>
      <c r="J1406" s="12">
        <v>22.63</v>
      </c>
    </row>
    <row r="1407" spans="7:10" hidden="1" x14ac:dyDescent="0.3">
      <c r="G1407" s="10" t="s">
        <v>336</v>
      </c>
      <c r="H1407" s="11" t="s">
        <v>2039</v>
      </c>
      <c r="I1407" s="11" t="s">
        <v>2015</v>
      </c>
      <c r="J1407" s="12">
        <v>15.07</v>
      </c>
    </row>
    <row r="1408" spans="7:10" hidden="1" x14ac:dyDescent="0.3">
      <c r="G1408" s="10" t="s">
        <v>369</v>
      </c>
      <c r="H1408" s="11" t="s">
        <v>2038</v>
      </c>
      <c r="I1408" s="11" t="s">
        <v>2015</v>
      </c>
      <c r="J1408" s="12">
        <v>11.54</v>
      </c>
    </row>
    <row r="1409" spans="7:10" hidden="1" x14ac:dyDescent="0.3">
      <c r="G1409" s="10" t="s">
        <v>424</v>
      </c>
      <c r="H1409" s="11" t="s">
        <v>2046</v>
      </c>
      <c r="I1409" s="11" t="s">
        <v>2015</v>
      </c>
      <c r="J1409" s="12">
        <v>7.29</v>
      </c>
    </row>
    <row r="1410" spans="7:10" hidden="1" x14ac:dyDescent="0.3">
      <c r="G1410" s="10" t="s">
        <v>502</v>
      </c>
      <c r="H1410" s="11" t="s">
        <v>2034</v>
      </c>
      <c r="I1410" s="11" t="s">
        <v>2015</v>
      </c>
      <c r="J1410" s="12">
        <v>8.2899999999999991</v>
      </c>
    </row>
    <row r="1411" spans="7:10" hidden="1" x14ac:dyDescent="0.3">
      <c r="G1411" s="10" t="s">
        <v>504</v>
      </c>
      <c r="H1411" s="11" t="s">
        <v>2037</v>
      </c>
      <c r="I1411" s="11" t="s">
        <v>2015</v>
      </c>
      <c r="J1411" s="12">
        <v>6.36</v>
      </c>
    </row>
    <row r="1412" spans="7:10" hidden="1" x14ac:dyDescent="0.3">
      <c r="G1412" s="10" t="s">
        <v>512</v>
      </c>
      <c r="H1412" s="11" t="s">
        <v>2038</v>
      </c>
      <c r="I1412" s="11" t="s">
        <v>2015</v>
      </c>
      <c r="J1412" s="12">
        <v>13.47</v>
      </c>
    </row>
    <row r="1413" spans="7:10" hidden="1" x14ac:dyDescent="0.3">
      <c r="G1413" s="7" t="s">
        <v>519</v>
      </c>
      <c r="H1413" s="8" t="s">
        <v>2045</v>
      </c>
      <c r="I1413" s="8" t="s">
        <v>2015</v>
      </c>
      <c r="J1413" s="9">
        <v>4.74</v>
      </c>
    </row>
    <row r="1414" spans="7:10" hidden="1" x14ac:dyDescent="0.3">
      <c r="G1414" s="10" t="s">
        <v>524</v>
      </c>
      <c r="H1414" s="11" t="s">
        <v>2034</v>
      </c>
      <c r="I1414" s="11" t="s">
        <v>2015</v>
      </c>
      <c r="J1414" s="12">
        <v>12.7</v>
      </c>
    </row>
    <row r="1415" spans="7:10" hidden="1" x14ac:dyDescent="0.3">
      <c r="G1415" s="7" t="s">
        <v>529</v>
      </c>
      <c r="H1415" s="8" t="s">
        <v>2047</v>
      </c>
      <c r="I1415" s="8" t="s">
        <v>2015</v>
      </c>
      <c r="J1415" s="9">
        <v>8.4600000000000009</v>
      </c>
    </row>
    <row r="1416" spans="7:10" hidden="1" x14ac:dyDescent="0.3">
      <c r="G1416" s="10" t="s">
        <v>564</v>
      </c>
      <c r="H1416" s="11" t="s">
        <v>2035</v>
      </c>
      <c r="I1416" s="11" t="s">
        <v>2015</v>
      </c>
      <c r="J1416" s="12">
        <v>17.91</v>
      </c>
    </row>
    <row r="1417" spans="7:10" hidden="1" x14ac:dyDescent="0.3">
      <c r="G1417" s="10" t="s">
        <v>608</v>
      </c>
      <c r="H1417" s="11" t="s">
        <v>2053</v>
      </c>
      <c r="I1417" s="11" t="s">
        <v>2015</v>
      </c>
      <c r="J1417" s="12">
        <v>11.05</v>
      </c>
    </row>
    <row r="1418" spans="7:10" hidden="1" x14ac:dyDescent="0.3">
      <c r="G1418" s="10" t="s">
        <v>618</v>
      </c>
      <c r="H1418" s="11" t="s">
        <v>2034</v>
      </c>
      <c r="I1418" s="11" t="s">
        <v>2015</v>
      </c>
      <c r="J1418" s="12">
        <v>14.04</v>
      </c>
    </row>
    <row r="1419" spans="7:10" hidden="1" x14ac:dyDescent="0.3">
      <c r="G1419" s="10" t="s">
        <v>632</v>
      </c>
      <c r="H1419" s="11" t="s">
        <v>2047</v>
      </c>
      <c r="I1419" s="11" t="s">
        <v>2015</v>
      </c>
      <c r="J1419" s="12">
        <v>21.1</v>
      </c>
    </row>
    <row r="1420" spans="7:10" hidden="1" x14ac:dyDescent="0.3">
      <c r="G1420" s="10" t="s">
        <v>640</v>
      </c>
      <c r="H1420" s="11" t="s">
        <v>2065</v>
      </c>
      <c r="I1420" s="11" t="s">
        <v>2015</v>
      </c>
      <c r="J1420" s="12">
        <v>6.04</v>
      </c>
    </row>
    <row r="1421" spans="7:10" hidden="1" x14ac:dyDescent="0.3">
      <c r="G1421" s="7" t="s">
        <v>667</v>
      </c>
      <c r="H1421" s="8" t="s">
        <v>2045</v>
      </c>
      <c r="I1421" s="8" t="s">
        <v>2015</v>
      </c>
      <c r="J1421" s="9">
        <v>7.05</v>
      </c>
    </row>
    <row r="1422" spans="7:10" hidden="1" x14ac:dyDescent="0.3">
      <c r="G1422" s="10" t="s">
        <v>677</v>
      </c>
      <c r="H1422" s="11" t="s">
        <v>2038</v>
      </c>
      <c r="I1422" s="11" t="s">
        <v>2015</v>
      </c>
      <c r="J1422" s="12">
        <v>11.06</v>
      </c>
    </row>
    <row r="1423" spans="7:10" hidden="1" x14ac:dyDescent="0.3">
      <c r="G1423" s="10" t="s">
        <v>696</v>
      </c>
      <c r="H1423" s="11" t="s">
        <v>2047</v>
      </c>
      <c r="I1423" s="11" t="s">
        <v>2015</v>
      </c>
      <c r="J1423" s="12">
        <v>4.6900000000000004</v>
      </c>
    </row>
    <row r="1424" spans="7:10" hidden="1" x14ac:dyDescent="0.3">
      <c r="G1424" s="10" t="s">
        <v>708</v>
      </c>
      <c r="H1424" s="11" t="s">
        <v>2034</v>
      </c>
      <c r="I1424" s="11" t="s">
        <v>2015</v>
      </c>
      <c r="J1424" s="12">
        <v>4.41</v>
      </c>
    </row>
    <row r="1425" spans="7:10" hidden="1" x14ac:dyDescent="0.3">
      <c r="G1425" s="7" t="s">
        <v>727</v>
      </c>
      <c r="H1425" s="8" t="s">
        <v>2046</v>
      </c>
      <c r="I1425" s="8" t="s">
        <v>2015</v>
      </c>
      <c r="J1425" s="9">
        <v>6.89</v>
      </c>
    </row>
    <row r="1426" spans="7:10" hidden="1" x14ac:dyDescent="0.3">
      <c r="G1426" s="10" t="s">
        <v>742</v>
      </c>
      <c r="H1426" s="11" t="s">
        <v>2053</v>
      </c>
      <c r="I1426" s="11" t="s">
        <v>2015</v>
      </c>
      <c r="J1426" s="12">
        <v>15.59</v>
      </c>
    </row>
    <row r="1427" spans="7:10" hidden="1" x14ac:dyDescent="0.3">
      <c r="G1427" s="10" t="s">
        <v>744</v>
      </c>
      <c r="H1427" s="11" t="s">
        <v>2047</v>
      </c>
      <c r="I1427" s="11" t="s">
        <v>2015</v>
      </c>
      <c r="J1427" s="12">
        <v>3.83</v>
      </c>
    </row>
    <row r="1428" spans="7:10" hidden="1" x14ac:dyDescent="0.3">
      <c r="G1428" s="10" t="s">
        <v>752</v>
      </c>
      <c r="H1428" s="11" t="s">
        <v>2061</v>
      </c>
      <c r="I1428" s="11" t="s">
        <v>2015</v>
      </c>
      <c r="J1428" s="12">
        <v>6.83</v>
      </c>
    </row>
    <row r="1429" spans="7:10" hidden="1" x14ac:dyDescent="0.3">
      <c r="G1429" s="10" t="s">
        <v>758</v>
      </c>
      <c r="H1429" s="11" t="s">
        <v>2046</v>
      </c>
      <c r="I1429" s="11" t="s">
        <v>2015</v>
      </c>
      <c r="J1429" s="12">
        <v>4.7</v>
      </c>
    </row>
    <row r="1430" spans="7:10" hidden="1" x14ac:dyDescent="0.3">
      <c r="G1430" s="10" t="s">
        <v>792</v>
      </c>
      <c r="H1430" s="11" t="s">
        <v>2060</v>
      </c>
      <c r="I1430" s="11" t="s">
        <v>2015</v>
      </c>
      <c r="J1430" s="12">
        <v>5.48</v>
      </c>
    </row>
    <row r="1431" spans="7:10" hidden="1" x14ac:dyDescent="0.3">
      <c r="G1431" s="10" t="s">
        <v>818</v>
      </c>
      <c r="H1431" s="11" t="s">
        <v>2057</v>
      </c>
      <c r="I1431" s="11" t="s">
        <v>2015</v>
      </c>
      <c r="J1431" s="12">
        <v>12.11</v>
      </c>
    </row>
    <row r="1432" spans="7:10" hidden="1" x14ac:dyDescent="0.3">
      <c r="G1432" s="10" t="s">
        <v>828</v>
      </c>
      <c r="H1432" s="11" t="s">
        <v>2044</v>
      </c>
      <c r="I1432" s="11" t="s">
        <v>2015</v>
      </c>
      <c r="J1432" s="12">
        <v>4.5999999999999996</v>
      </c>
    </row>
    <row r="1433" spans="7:10" hidden="1" x14ac:dyDescent="0.3">
      <c r="G1433" s="7" t="s">
        <v>840</v>
      </c>
      <c r="H1433" s="8" t="s">
        <v>2044</v>
      </c>
      <c r="I1433" s="8" t="s">
        <v>2015</v>
      </c>
      <c r="J1433" s="9">
        <v>3.69</v>
      </c>
    </row>
    <row r="1434" spans="7:10" hidden="1" x14ac:dyDescent="0.3">
      <c r="G1434" s="7" t="s">
        <v>856</v>
      </c>
      <c r="H1434" s="8" t="s">
        <v>2034</v>
      </c>
      <c r="I1434" s="8" t="s">
        <v>2015</v>
      </c>
      <c r="J1434" s="9">
        <v>4.6399999999999997</v>
      </c>
    </row>
    <row r="1435" spans="7:10" hidden="1" x14ac:dyDescent="0.3">
      <c r="G1435" s="10" t="s">
        <v>859</v>
      </c>
      <c r="H1435" s="11" t="s">
        <v>2045</v>
      </c>
      <c r="I1435" s="11" t="s">
        <v>2015</v>
      </c>
      <c r="J1435" s="12">
        <v>3.9</v>
      </c>
    </row>
    <row r="1436" spans="7:10" hidden="1" x14ac:dyDescent="0.3">
      <c r="G1436" s="10" t="s">
        <v>863</v>
      </c>
      <c r="H1436" s="11" t="s">
        <v>2034</v>
      </c>
      <c r="I1436" s="11" t="s">
        <v>2015</v>
      </c>
      <c r="J1436" s="12">
        <v>4.18</v>
      </c>
    </row>
    <row r="1437" spans="7:10" hidden="1" x14ac:dyDescent="0.3">
      <c r="G1437" s="7" t="s">
        <v>864</v>
      </c>
      <c r="H1437" s="8" t="s">
        <v>2038</v>
      </c>
      <c r="I1437" s="8" t="s">
        <v>2015</v>
      </c>
      <c r="J1437" s="9">
        <v>11.01</v>
      </c>
    </row>
    <row r="1438" spans="7:10" hidden="1" x14ac:dyDescent="0.3">
      <c r="G1438" s="10" t="s">
        <v>877</v>
      </c>
      <c r="H1438" s="11" t="s">
        <v>2056</v>
      </c>
      <c r="I1438" s="11" t="s">
        <v>2015</v>
      </c>
      <c r="J1438" s="12">
        <v>4.45</v>
      </c>
    </row>
    <row r="1439" spans="7:10" hidden="1" x14ac:dyDescent="0.3">
      <c r="G1439" s="10" t="s">
        <v>957</v>
      </c>
      <c r="H1439" s="11" t="s">
        <v>1977</v>
      </c>
      <c r="I1439" s="11" t="s">
        <v>2015</v>
      </c>
      <c r="J1439" s="12">
        <v>7.49</v>
      </c>
    </row>
    <row r="1440" spans="7:10" hidden="1" x14ac:dyDescent="0.3">
      <c r="G1440" s="10" t="s">
        <v>2016</v>
      </c>
      <c r="H1440" s="11" t="s">
        <v>2038</v>
      </c>
      <c r="I1440" s="11" t="s">
        <v>2015</v>
      </c>
      <c r="J1440" s="12">
        <v>9.19</v>
      </c>
    </row>
    <row r="1441" spans="7:10" hidden="1" x14ac:dyDescent="0.3">
      <c r="G1441" s="10" t="s">
        <v>980</v>
      </c>
      <c r="H1441" s="11" t="s">
        <v>2034</v>
      </c>
      <c r="I1441" s="11" t="s">
        <v>2015</v>
      </c>
      <c r="J1441" s="12">
        <v>4.8600000000000003</v>
      </c>
    </row>
    <row r="1442" spans="7:10" hidden="1" x14ac:dyDescent="0.3">
      <c r="G1442" s="10" t="s">
        <v>986</v>
      </c>
      <c r="H1442" s="11" t="s">
        <v>2047</v>
      </c>
      <c r="I1442" s="11" t="s">
        <v>2015</v>
      </c>
      <c r="J1442" s="12">
        <v>2.44</v>
      </c>
    </row>
    <row r="1443" spans="7:10" hidden="1" x14ac:dyDescent="0.3">
      <c r="G1443" s="7" t="s">
        <v>1003</v>
      </c>
      <c r="H1443" s="8" t="s">
        <v>2044</v>
      </c>
      <c r="I1443" s="8" t="s">
        <v>2015</v>
      </c>
      <c r="J1443" s="9">
        <v>7.38</v>
      </c>
    </row>
    <row r="1444" spans="7:10" hidden="1" x14ac:dyDescent="0.3">
      <c r="G1444" s="7" t="s">
        <v>1017</v>
      </c>
      <c r="H1444" s="8" t="s">
        <v>2035</v>
      </c>
      <c r="I1444" s="8" t="s">
        <v>2015</v>
      </c>
      <c r="J1444" s="9">
        <v>5.56</v>
      </c>
    </row>
    <row r="1445" spans="7:10" hidden="1" x14ac:dyDescent="0.3">
      <c r="G1445" s="7" t="s">
        <v>1047</v>
      </c>
      <c r="H1445" s="8" t="s">
        <v>2038</v>
      </c>
      <c r="I1445" s="8" t="s">
        <v>2015</v>
      </c>
      <c r="J1445" s="9">
        <v>4.5199999999999996</v>
      </c>
    </row>
    <row r="1446" spans="7:10" hidden="1" x14ac:dyDescent="0.3">
      <c r="G1446" s="10" t="s">
        <v>1062</v>
      </c>
      <c r="H1446" s="11" t="s">
        <v>2034</v>
      </c>
      <c r="I1446" s="11" t="s">
        <v>2015</v>
      </c>
      <c r="J1446" s="12">
        <v>3.81</v>
      </c>
    </row>
    <row r="1447" spans="7:10" hidden="1" x14ac:dyDescent="0.3">
      <c r="G1447" s="10" t="s">
        <v>1074</v>
      </c>
      <c r="H1447" s="11" t="s">
        <v>2041</v>
      </c>
      <c r="I1447" s="11" t="s">
        <v>2015</v>
      </c>
      <c r="J1447" s="12">
        <v>8.06</v>
      </c>
    </row>
    <row r="1448" spans="7:10" hidden="1" x14ac:dyDescent="0.3">
      <c r="G1448" s="7" t="s">
        <v>1078</v>
      </c>
      <c r="H1448" s="8" t="s">
        <v>1975</v>
      </c>
      <c r="I1448" s="8" t="s">
        <v>2015</v>
      </c>
      <c r="J1448" s="9">
        <v>6.04</v>
      </c>
    </row>
    <row r="1449" spans="7:10" hidden="1" x14ac:dyDescent="0.3">
      <c r="G1449" s="10" t="s">
        <v>1123</v>
      </c>
      <c r="H1449" s="11" t="s">
        <v>2061</v>
      </c>
      <c r="I1449" s="11" t="s">
        <v>2015</v>
      </c>
      <c r="J1449" s="12">
        <v>3.66</v>
      </c>
    </row>
    <row r="1450" spans="7:10" hidden="1" x14ac:dyDescent="0.3">
      <c r="G1450" s="7" t="s">
        <v>1126</v>
      </c>
      <c r="H1450" s="8" t="s">
        <v>2063</v>
      </c>
      <c r="I1450" s="8" t="s">
        <v>2015</v>
      </c>
      <c r="J1450" s="9">
        <v>1.89</v>
      </c>
    </row>
    <row r="1451" spans="7:10" hidden="1" x14ac:dyDescent="0.3">
      <c r="G1451" s="10" t="s">
        <v>1155</v>
      </c>
      <c r="H1451" s="11" t="s">
        <v>2046</v>
      </c>
      <c r="I1451" s="11" t="s">
        <v>2015</v>
      </c>
      <c r="J1451" s="12">
        <v>3.64</v>
      </c>
    </row>
    <row r="1452" spans="7:10" hidden="1" x14ac:dyDescent="0.3">
      <c r="G1452" s="10" t="s">
        <v>1183</v>
      </c>
      <c r="H1452" s="11" t="s">
        <v>1975</v>
      </c>
      <c r="I1452" s="11" t="s">
        <v>2015</v>
      </c>
      <c r="J1452" s="12">
        <v>8.4499999999999993</v>
      </c>
    </row>
    <row r="1453" spans="7:10" hidden="1" x14ac:dyDescent="0.3">
      <c r="G1453" s="10" t="s">
        <v>1193</v>
      </c>
      <c r="H1453" s="11" t="s">
        <v>2034</v>
      </c>
      <c r="I1453" s="11" t="s">
        <v>2015</v>
      </c>
      <c r="J1453" s="12">
        <v>6.17</v>
      </c>
    </row>
    <row r="1454" spans="7:10" hidden="1" x14ac:dyDescent="0.3">
      <c r="G1454" s="7" t="s">
        <v>1202</v>
      </c>
      <c r="H1454" s="8" t="s">
        <v>2053</v>
      </c>
      <c r="I1454" s="8" t="s">
        <v>2015</v>
      </c>
      <c r="J1454" s="9">
        <v>4.32</v>
      </c>
    </row>
    <row r="1455" spans="7:10" hidden="1" x14ac:dyDescent="0.3">
      <c r="G1455" s="10" t="s">
        <v>1211</v>
      </c>
      <c r="H1455" s="11" t="s">
        <v>2043</v>
      </c>
      <c r="I1455" s="11" t="s">
        <v>2015</v>
      </c>
      <c r="J1455" s="12">
        <v>5.52</v>
      </c>
    </row>
    <row r="1456" spans="7:10" hidden="1" x14ac:dyDescent="0.3">
      <c r="G1456" s="7" t="s">
        <v>1274</v>
      </c>
      <c r="H1456" s="8" t="s">
        <v>2034</v>
      </c>
      <c r="I1456" s="8" t="s">
        <v>2015</v>
      </c>
      <c r="J1456" s="9">
        <v>5.75</v>
      </c>
    </row>
    <row r="1457" spans="7:10" hidden="1" x14ac:dyDescent="0.3">
      <c r="G1457" s="7" t="s">
        <v>1282</v>
      </c>
      <c r="H1457" s="8" t="s">
        <v>2047</v>
      </c>
      <c r="I1457" s="8" t="s">
        <v>2015</v>
      </c>
      <c r="J1457" s="9">
        <v>3.15</v>
      </c>
    </row>
    <row r="1458" spans="7:10" hidden="1" x14ac:dyDescent="0.3">
      <c r="G1458" s="7" t="s">
        <v>1294</v>
      </c>
      <c r="H1458" s="8" t="s">
        <v>2035</v>
      </c>
      <c r="I1458" s="8" t="s">
        <v>2015</v>
      </c>
      <c r="J1458" s="9">
        <v>8.77</v>
      </c>
    </row>
    <row r="1459" spans="7:10" hidden="1" x14ac:dyDescent="0.3">
      <c r="G1459" s="7" t="s">
        <v>1300</v>
      </c>
      <c r="H1459" s="8" t="s">
        <v>2035</v>
      </c>
      <c r="I1459" s="8" t="s">
        <v>2015</v>
      </c>
      <c r="J1459" s="9">
        <v>1.99</v>
      </c>
    </row>
    <row r="1460" spans="7:10" hidden="1" x14ac:dyDescent="0.3">
      <c r="G1460" s="7" t="s">
        <v>1302</v>
      </c>
      <c r="H1460" s="8" t="s">
        <v>2034</v>
      </c>
      <c r="I1460" s="8" t="s">
        <v>2015</v>
      </c>
      <c r="J1460" s="9">
        <v>8.4</v>
      </c>
    </row>
    <row r="1461" spans="7:10" hidden="1" x14ac:dyDescent="0.3">
      <c r="G1461" s="10" t="s">
        <v>1322</v>
      </c>
      <c r="H1461" s="11" t="s">
        <v>2043</v>
      </c>
      <c r="I1461" s="11" t="s">
        <v>2015</v>
      </c>
      <c r="J1461" s="12">
        <v>4.68</v>
      </c>
    </row>
    <row r="1462" spans="7:10" hidden="1" x14ac:dyDescent="0.3">
      <c r="G1462" s="7" t="s">
        <v>1339</v>
      </c>
      <c r="H1462" s="8" t="s">
        <v>2034</v>
      </c>
      <c r="I1462" s="8" t="s">
        <v>2015</v>
      </c>
      <c r="J1462" s="9">
        <v>4.09</v>
      </c>
    </row>
    <row r="1463" spans="7:10" hidden="1" x14ac:dyDescent="0.3">
      <c r="G1463" s="7" t="s">
        <v>1341</v>
      </c>
      <c r="H1463" s="8" t="s">
        <v>2038</v>
      </c>
      <c r="I1463" s="8" t="s">
        <v>2015</v>
      </c>
      <c r="J1463" s="9">
        <v>6.53</v>
      </c>
    </row>
    <row r="1464" spans="7:10" hidden="1" x14ac:dyDescent="0.3">
      <c r="G1464" s="7" t="s">
        <v>1345</v>
      </c>
      <c r="H1464" s="8" t="s">
        <v>2034</v>
      </c>
      <c r="I1464" s="8" t="s">
        <v>2015</v>
      </c>
      <c r="J1464" s="9">
        <v>3.54</v>
      </c>
    </row>
    <row r="1465" spans="7:10" hidden="1" x14ac:dyDescent="0.3">
      <c r="G1465" s="10" t="s">
        <v>1363</v>
      </c>
      <c r="H1465" s="11" t="s">
        <v>2039</v>
      </c>
      <c r="I1465" s="11" t="s">
        <v>2015</v>
      </c>
      <c r="J1465" s="12">
        <v>4.12</v>
      </c>
    </row>
    <row r="1466" spans="7:10" hidden="1" x14ac:dyDescent="0.3">
      <c r="G1466" s="10" t="s">
        <v>1381</v>
      </c>
      <c r="H1466" s="11" t="s">
        <v>2035</v>
      </c>
      <c r="I1466" s="11" t="s">
        <v>2015</v>
      </c>
      <c r="J1466" s="12">
        <v>1.31</v>
      </c>
    </row>
    <row r="1467" spans="7:10" hidden="1" x14ac:dyDescent="0.3">
      <c r="G1467" s="10" t="s">
        <v>1391</v>
      </c>
      <c r="H1467" s="11" t="s">
        <v>2057</v>
      </c>
      <c r="I1467" s="11" t="s">
        <v>2015</v>
      </c>
      <c r="J1467" s="12">
        <v>3.49</v>
      </c>
    </row>
    <row r="1468" spans="7:10" hidden="1" x14ac:dyDescent="0.3">
      <c r="G1468" s="7" t="s">
        <v>1394</v>
      </c>
      <c r="H1468" s="8" t="s">
        <v>2064</v>
      </c>
      <c r="I1468" s="8" t="s">
        <v>2015</v>
      </c>
      <c r="J1468" s="9">
        <v>3.25</v>
      </c>
    </row>
    <row r="1469" spans="7:10" hidden="1" x14ac:dyDescent="0.3">
      <c r="G1469" s="7" t="s">
        <v>1416</v>
      </c>
      <c r="H1469" s="8" t="s">
        <v>2034</v>
      </c>
      <c r="I1469" s="8" t="s">
        <v>2015</v>
      </c>
      <c r="J1469" s="9">
        <v>7.19</v>
      </c>
    </row>
    <row r="1470" spans="7:10" hidden="1" x14ac:dyDescent="0.3">
      <c r="G1470" s="10" t="s">
        <v>1421</v>
      </c>
      <c r="H1470" s="11" t="s">
        <v>2038</v>
      </c>
      <c r="I1470" s="11" t="s">
        <v>2015</v>
      </c>
      <c r="J1470" s="12">
        <v>5</v>
      </c>
    </row>
    <row r="1471" spans="7:10" hidden="1" x14ac:dyDescent="0.3">
      <c r="G1471" s="7" t="s">
        <v>1442</v>
      </c>
      <c r="H1471" s="8" t="s">
        <v>2080</v>
      </c>
      <c r="I1471" s="8" t="s">
        <v>2015</v>
      </c>
      <c r="J1471" s="9">
        <v>1.94</v>
      </c>
    </row>
    <row r="1472" spans="7:10" hidden="1" x14ac:dyDescent="0.3">
      <c r="G1472" s="7" t="s">
        <v>1454</v>
      </c>
      <c r="H1472" s="8" t="s">
        <v>2050</v>
      </c>
      <c r="I1472" s="8" t="s">
        <v>2015</v>
      </c>
      <c r="J1472" s="9">
        <v>7.76</v>
      </c>
    </row>
    <row r="1473" spans="7:10" hidden="1" x14ac:dyDescent="0.3">
      <c r="G1473" s="7" t="s">
        <v>1472</v>
      </c>
      <c r="H1473" s="8" t="s">
        <v>2034</v>
      </c>
      <c r="I1473" s="8" t="s">
        <v>2015</v>
      </c>
      <c r="J1473" s="9">
        <v>6.71</v>
      </c>
    </row>
    <row r="1474" spans="7:10" hidden="1" x14ac:dyDescent="0.3">
      <c r="G1474" s="7" t="s">
        <v>1506</v>
      </c>
      <c r="H1474" s="8" t="s">
        <v>2053</v>
      </c>
      <c r="I1474" s="8" t="s">
        <v>2015</v>
      </c>
      <c r="J1474" s="9">
        <v>6.56</v>
      </c>
    </row>
    <row r="1475" spans="7:10" hidden="1" x14ac:dyDescent="0.3">
      <c r="G1475" s="7" t="s">
        <v>1530</v>
      </c>
      <c r="H1475" s="8" t="s">
        <v>2047</v>
      </c>
      <c r="I1475" s="8" t="s">
        <v>2015</v>
      </c>
      <c r="J1475" s="9">
        <v>1.1299999999999999</v>
      </c>
    </row>
    <row r="1476" spans="7:10" hidden="1" x14ac:dyDescent="0.3">
      <c r="G1476" s="7" t="s">
        <v>1538</v>
      </c>
      <c r="H1476" s="8" t="s">
        <v>2035</v>
      </c>
      <c r="I1476" s="8" t="s">
        <v>2015</v>
      </c>
      <c r="J1476" s="9">
        <v>5.0199999999999996</v>
      </c>
    </row>
    <row r="1477" spans="7:10" hidden="1" x14ac:dyDescent="0.3">
      <c r="G1477" s="7" t="s">
        <v>1550</v>
      </c>
      <c r="H1477" s="8" t="s">
        <v>2053</v>
      </c>
      <c r="I1477" s="8" t="s">
        <v>2015</v>
      </c>
      <c r="J1477" s="9">
        <v>6.2</v>
      </c>
    </row>
    <row r="1478" spans="7:10" hidden="1" x14ac:dyDescent="0.3">
      <c r="G1478" s="10" t="s">
        <v>1551</v>
      </c>
      <c r="H1478" s="11" t="s">
        <v>2047</v>
      </c>
      <c r="I1478" s="11" t="s">
        <v>2015</v>
      </c>
      <c r="J1478" s="12">
        <v>8.35</v>
      </c>
    </row>
    <row r="1479" spans="7:10" hidden="1" x14ac:dyDescent="0.3">
      <c r="G1479" s="7" t="s">
        <v>1556</v>
      </c>
      <c r="H1479" s="8" t="s">
        <v>2075</v>
      </c>
      <c r="I1479" s="8" t="s">
        <v>2015</v>
      </c>
      <c r="J1479" s="9">
        <v>2.37</v>
      </c>
    </row>
    <row r="1480" spans="7:10" hidden="1" x14ac:dyDescent="0.3">
      <c r="G1480" s="7" t="s">
        <v>1558</v>
      </c>
      <c r="H1480" s="8" t="s">
        <v>2034</v>
      </c>
      <c r="I1480" s="8" t="s">
        <v>2015</v>
      </c>
      <c r="J1480" s="9">
        <v>6.91</v>
      </c>
    </row>
    <row r="1481" spans="7:10" hidden="1" x14ac:dyDescent="0.3">
      <c r="G1481" s="7" t="s">
        <v>1570</v>
      </c>
      <c r="H1481" s="8" t="s">
        <v>2040</v>
      </c>
      <c r="I1481" s="8" t="s">
        <v>2015</v>
      </c>
      <c r="J1481" s="9">
        <v>4.9800000000000004</v>
      </c>
    </row>
    <row r="1482" spans="7:10" hidden="1" x14ac:dyDescent="0.3">
      <c r="G1482" s="7" t="s">
        <v>1582</v>
      </c>
      <c r="H1482" s="8" t="s">
        <v>2039</v>
      </c>
      <c r="I1482" s="8" t="s">
        <v>2015</v>
      </c>
      <c r="J1482" s="9">
        <v>3.42</v>
      </c>
    </row>
    <row r="1483" spans="7:10" hidden="1" x14ac:dyDescent="0.3">
      <c r="G1483" s="7" t="s">
        <v>1600</v>
      </c>
      <c r="H1483" s="8" t="s">
        <v>2044</v>
      </c>
      <c r="I1483" s="8" t="s">
        <v>2015</v>
      </c>
      <c r="J1483" s="9">
        <v>1.35</v>
      </c>
    </row>
    <row r="1484" spans="7:10" hidden="1" x14ac:dyDescent="0.3">
      <c r="G1484" s="7" t="s">
        <v>1652</v>
      </c>
      <c r="H1484" s="8" t="s">
        <v>2045</v>
      </c>
      <c r="I1484" s="8" t="s">
        <v>2015</v>
      </c>
      <c r="J1484" s="9">
        <v>2.91</v>
      </c>
    </row>
    <row r="1485" spans="7:10" hidden="1" x14ac:dyDescent="0.3">
      <c r="G1485" s="10" t="s">
        <v>1661</v>
      </c>
      <c r="H1485" s="11" t="s">
        <v>2045</v>
      </c>
      <c r="I1485" s="11" t="s">
        <v>2015</v>
      </c>
      <c r="J1485" s="12">
        <v>3.23</v>
      </c>
    </row>
    <row r="1486" spans="7:10" hidden="1" x14ac:dyDescent="0.3">
      <c r="G1486" s="10" t="s">
        <v>1671</v>
      </c>
      <c r="H1486" s="11" t="s">
        <v>2038</v>
      </c>
      <c r="I1486" s="11" t="s">
        <v>2015</v>
      </c>
      <c r="J1486" s="12">
        <v>4.09</v>
      </c>
    </row>
    <row r="1487" spans="7:10" hidden="1" x14ac:dyDescent="0.3">
      <c r="G1487" s="7" t="s">
        <v>1694</v>
      </c>
      <c r="H1487" s="8" t="s">
        <v>2085</v>
      </c>
      <c r="I1487" s="8" t="s">
        <v>2015</v>
      </c>
      <c r="J1487" s="9">
        <v>1.36</v>
      </c>
    </row>
    <row r="1488" spans="7:10" hidden="1" x14ac:dyDescent="0.3">
      <c r="G1488" s="10" t="s">
        <v>1705</v>
      </c>
      <c r="H1488" s="11" t="s">
        <v>2045</v>
      </c>
      <c r="I1488" s="11" t="s">
        <v>2015</v>
      </c>
      <c r="J1488" s="12">
        <v>1.28</v>
      </c>
    </row>
    <row r="1489" spans="7:10" hidden="1" x14ac:dyDescent="0.3">
      <c r="G1489" s="7" t="s">
        <v>1740</v>
      </c>
      <c r="H1489" s="8" t="s">
        <v>2034</v>
      </c>
      <c r="I1489" s="8" t="s">
        <v>2015</v>
      </c>
      <c r="J1489" s="9">
        <v>5.65</v>
      </c>
    </row>
    <row r="1490" spans="7:10" hidden="1" x14ac:dyDescent="0.3">
      <c r="G1490" s="7" t="s">
        <v>1749</v>
      </c>
      <c r="H1490" s="8" t="s">
        <v>2047</v>
      </c>
      <c r="I1490" s="8" t="s">
        <v>2015</v>
      </c>
      <c r="J1490" s="9">
        <v>4.59</v>
      </c>
    </row>
    <row r="1491" spans="7:10" hidden="1" x14ac:dyDescent="0.3">
      <c r="G1491" s="7" t="s">
        <v>1758</v>
      </c>
      <c r="H1491" s="8" t="s">
        <v>2034</v>
      </c>
      <c r="I1491" s="8" t="s">
        <v>2015</v>
      </c>
      <c r="J1491" s="9">
        <v>2.6</v>
      </c>
    </row>
    <row r="1492" spans="7:10" hidden="1" x14ac:dyDescent="0.3">
      <c r="G1492" s="10" t="s">
        <v>1763</v>
      </c>
      <c r="H1492" s="11" t="s">
        <v>2079</v>
      </c>
      <c r="I1492" s="11" t="s">
        <v>2015</v>
      </c>
      <c r="J1492" s="12">
        <v>1.38</v>
      </c>
    </row>
    <row r="1493" spans="7:10" hidden="1" x14ac:dyDescent="0.3">
      <c r="G1493" s="7" t="s">
        <v>1787</v>
      </c>
      <c r="H1493" s="8" t="s">
        <v>2063</v>
      </c>
      <c r="I1493" s="8" t="s">
        <v>2015</v>
      </c>
      <c r="J1493" s="9">
        <v>1.77</v>
      </c>
    </row>
    <row r="1494" spans="7:10" hidden="1" x14ac:dyDescent="0.3">
      <c r="G1494" s="10" t="s">
        <v>1792</v>
      </c>
      <c r="H1494" s="11" t="s">
        <v>2049</v>
      </c>
      <c r="I1494" s="11" t="s">
        <v>2015</v>
      </c>
      <c r="J1494" s="12">
        <v>3.81</v>
      </c>
    </row>
    <row r="1495" spans="7:10" hidden="1" x14ac:dyDescent="0.3">
      <c r="G1495" s="7" t="s">
        <v>1795</v>
      </c>
      <c r="H1495" s="8" t="s">
        <v>2061</v>
      </c>
      <c r="I1495" s="8" t="s">
        <v>2015</v>
      </c>
      <c r="J1495" s="9">
        <v>2.2599999999999998</v>
      </c>
    </row>
    <row r="1496" spans="7:10" hidden="1" x14ac:dyDescent="0.3">
      <c r="G1496" s="7" t="s">
        <v>1814</v>
      </c>
      <c r="H1496" s="8" t="s">
        <v>2063</v>
      </c>
      <c r="I1496" s="8" t="s">
        <v>2015</v>
      </c>
      <c r="J1496" s="9">
        <v>4.88</v>
      </c>
    </row>
    <row r="1497" spans="7:10" hidden="1" x14ac:dyDescent="0.3">
      <c r="G1497" s="10" t="s">
        <v>1860</v>
      </c>
      <c r="H1497" s="11" t="s">
        <v>2061</v>
      </c>
      <c r="I1497" s="11" t="s">
        <v>2015</v>
      </c>
      <c r="J1497" s="12">
        <v>0.94</v>
      </c>
    </row>
    <row r="1498" spans="7:10" hidden="1" x14ac:dyDescent="0.3">
      <c r="G1498" s="10" t="s">
        <v>1874</v>
      </c>
      <c r="H1498" s="11" t="s">
        <v>2038</v>
      </c>
      <c r="I1498" s="11" t="s">
        <v>2015</v>
      </c>
      <c r="J1498" s="12">
        <v>2.17</v>
      </c>
    </row>
    <row r="1499" spans="7:10" hidden="1" x14ac:dyDescent="0.3">
      <c r="G1499" s="10" t="s">
        <v>1910</v>
      </c>
      <c r="H1499" s="11" t="s">
        <v>2047</v>
      </c>
      <c r="I1499" s="11" t="s">
        <v>2015</v>
      </c>
      <c r="J1499" s="12">
        <v>0.21</v>
      </c>
    </row>
    <row r="1500" spans="7:10" hidden="1" x14ac:dyDescent="0.3">
      <c r="G1500" s="10" t="s">
        <v>1916</v>
      </c>
      <c r="H1500" s="11" t="s">
        <v>2038</v>
      </c>
      <c r="I1500" s="11" t="s">
        <v>2015</v>
      </c>
      <c r="J1500" s="12">
        <v>5.23</v>
      </c>
    </row>
    <row r="1501" spans="7:10" hidden="1" x14ac:dyDescent="0.3">
      <c r="G1501" s="10" t="s">
        <v>1954</v>
      </c>
      <c r="H1501" s="11" t="s">
        <v>2057</v>
      </c>
      <c r="I1501" s="11" t="s">
        <v>2015</v>
      </c>
      <c r="J1501" s="12">
        <v>2.57</v>
      </c>
    </row>
    <row r="1502" spans="7:10" hidden="1" x14ac:dyDescent="0.3">
      <c r="G1502" s="10" t="s">
        <v>1962</v>
      </c>
      <c r="H1502" s="11" t="s">
        <v>2038</v>
      </c>
      <c r="I1502" s="11" t="s">
        <v>2015</v>
      </c>
      <c r="J1502" s="12">
        <v>4</v>
      </c>
    </row>
    <row r="1503" spans="7:10" hidden="1" x14ac:dyDescent="0.3">
      <c r="G1503" s="7" t="s">
        <v>24</v>
      </c>
      <c r="H1503" s="8" t="s">
        <v>2034</v>
      </c>
      <c r="I1503" s="8" t="s">
        <v>2028</v>
      </c>
      <c r="J1503" s="9">
        <v>75.11</v>
      </c>
    </row>
    <row r="1504" spans="7:10" hidden="1" x14ac:dyDescent="0.3">
      <c r="G1504" s="10" t="s">
        <v>31</v>
      </c>
      <c r="H1504" s="11" t="s">
        <v>2038</v>
      </c>
      <c r="I1504" s="11" t="s">
        <v>2028</v>
      </c>
      <c r="J1504" s="12">
        <v>100.82</v>
      </c>
    </row>
    <row r="1505" spans="7:10" hidden="1" x14ac:dyDescent="0.3">
      <c r="G1505" s="7" t="s">
        <v>38</v>
      </c>
      <c r="H1505" s="8" t="s">
        <v>2041</v>
      </c>
      <c r="I1505" s="8" t="s">
        <v>2028</v>
      </c>
      <c r="J1505" s="9">
        <v>78.53</v>
      </c>
    </row>
    <row r="1506" spans="7:10" hidden="1" x14ac:dyDescent="0.3">
      <c r="G1506" s="7" t="s">
        <v>48</v>
      </c>
      <c r="H1506" s="8" t="s">
        <v>2034</v>
      </c>
      <c r="I1506" s="8" t="s">
        <v>2028</v>
      </c>
      <c r="J1506" s="9">
        <v>43.86</v>
      </c>
    </row>
    <row r="1507" spans="7:10" hidden="1" x14ac:dyDescent="0.3">
      <c r="G1507" s="10" t="s">
        <v>53</v>
      </c>
      <c r="H1507" s="11" t="s">
        <v>2039</v>
      </c>
      <c r="I1507" s="11" t="s">
        <v>2028</v>
      </c>
      <c r="J1507" s="12">
        <v>57.96</v>
      </c>
    </row>
    <row r="1508" spans="7:10" hidden="1" x14ac:dyDescent="0.3">
      <c r="G1508" s="10" t="s">
        <v>75</v>
      </c>
      <c r="H1508" s="11" t="s">
        <v>2040</v>
      </c>
      <c r="I1508" s="11" t="s">
        <v>2028</v>
      </c>
      <c r="J1508" s="12">
        <v>41.14</v>
      </c>
    </row>
    <row r="1509" spans="7:10" hidden="1" x14ac:dyDescent="0.3">
      <c r="G1509" s="7" t="s">
        <v>80</v>
      </c>
      <c r="H1509" s="8" t="s">
        <v>2042</v>
      </c>
      <c r="I1509" s="8" t="s">
        <v>2028</v>
      </c>
      <c r="J1509" s="9">
        <v>37.18</v>
      </c>
    </row>
    <row r="1510" spans="7:10" hidden="1" x14ac:dyDescent="0.3">
      <c r="G1510" s="10" t="s">
        <v>99</v>
      </c>
      <c r="H1510" s="11" t="s">
        <v>2034</v>
      </c>
      <c r="I1510" s="11" t="s">
        <v>2028</v>
      </c>
      <c r="J1510" s="12">
        <v>34.68</v>
      </c>
    </row>
    <row r="1511" spans="7:10" hidden="1" x14ac:dyDescent="0.3">
      <c r="G1511" s="10" t="s">
        <v>111</v>
      </c>
      <c r="H1511" s="11" t="s">
        <v>2052</v>
      </c>
      <c r="I1511" s="11" t="s">
        <v>2028</v>
      </c>
      <c r="J1511" s="12">
        <v>23.3</v>
      </c>
    </row>
    <row r="1512" spans="7:10" hidden="1" x14ac:dyDescent="0.3">
      <c r="G1512" s="7" t="s">
        <v>130</v>
      </c>
      <c r="H1512" s="8" t="s">
        <v>2034</v>
      </c>
      <c r="I1512" s="8" t="s">
        <v>2028</v>
      </c>
      <c r="J1512" s="9">
        <v>20.55</v>
      </c>
    </row>
    <row r="1513" spans="7:10" hidden="1" x14ac:dyDescent="0.3">
      <c r="G1513" s="10" t="s">
        <v>135</v>
      </c>
      <c r="H1513" s="11" t="s">
        <v>2035</v>
      </c>
      <c r="I1513" s="11" t="s">
        <v>2028</v>
      </c>
      <c r="J1513" s="12">
        <v>35.200000000000003</v>
      </c>
    </row>
    <row r="1514" spans="7:10" hidden="1" x14ac:dyDescent="0.3">
      <c r="G1514" s="10" t="s">
        <v>159</v>
      </c>
      <c r="H1514" s="11" t="s">
        <v>2045</v>
      </c>
      <c r="I1514" s="11" t="s">
        <v>2028</v>
      </c>
      <c r="J1514" s="12">
        <v>19.47</v>
      </c>
    </row>
    <row r="1515" spans="7:10" hidden="1" x14ac:dyDescent="0.3">
      <c r="G1515" s="7" t="s">
        <v>192</v>
      </c>
      <c r="H1515" s="8" t="s">
        <v>1975</v>
      </c>
      <c r="I1515" s="8" t="s">
        <v>2028</v>
      </c>
      <c r="J1515" s="9">
        <v>16.87</v>
      </c>
    </row>
    <row r="1516" spans="7:10" hidden="1" x14ac:dyDescent="0.3">
      <c r="G1516" s="10" t="s">
        <v>221</v>
      </c>
      <c r="H1516" s="11" t="s">
        <v>2047</v>
      </c>
      <c r="I1516" s="11" t="s">
        <v>2028</v>
      </c>
      <c r="J1516" s="12">
        <v>16.43</v>
      </c>
    </row>
    <row r="1517" spans="7:10" hidden="1" x14ac:dyDescent="0.3">
      <c r="G1517" s="7" t="s">
        <v>226</v>
      </c>
      <c r="H1517" s="8" t="s">
        <v>2038</v>
      </c>
      <c r="I1517" s="8" t="s">
        <v>2028</v>
      </c>
      <c r="J1517" s="9">
        <v>27.24</v>
      </c>
    </row>
    <row r="1518" spans="7:10" hidden="1" x14ac:dyDescent="0.3">
      <c r="G1518" s="7" t="s">
        <v>266</v>
      </c>
      <c r="H1518" s="8" t="s">
        <v>2036</v>
      </c>
      <c r="I1518" s="8" t="s">
        <v>2028</v>
      </c>
      <c r="J1518" s="9">
        <v>13.81</v>
      </c>
    </row>
    <row r="1519" spans="7:10" hidden="1" x14ac:dyDescent="0.3">
      <c r="G1519" s="10" t="s">
        <v>296</v>
      </c>
      <c r="H1519" s="11" t="s">
        <v>2060</v>
      </c>
      <c r="I1519" s="11" t="s">
        <v>2028</v>
      </c>
      <c r="J1519" s="12">
        <v>17.170000000000002</v>
      </c>
    </row>
    <row r="1520" spans="7:10" hidden="1" x14ac:dyDescent="0.3">
      <c r="G1520" s="10" t="s">
        <v>304</v>
      </c>
      <c r="H1520" s="11" t="s">
        <v>2057</v>
      </c>
      <c r="I1520" s="11" t="s">
        <v>2028</v>
      </c>
      <c r="J1520" s="12">
        <v>11.02</v>
      </c>
    </row>
    <row r="1521" spans="7:10" hidden="1" x14ac:dyDescent="0.3">
      <c r="G1521" s="10" t="s">
        <v>326</v>
      </c>
      <c r="H1521" s="11" t="s">
        <v>2034</v>
      </c>
      <c r="I1521" s="11" t="s">
        <v>2028</v>
      </c>
      <c r="J1521" s="12">
        <v>9.49</v>
      </c>
    </row>
    <row r="1522" spans="7:10" hidden="1" x14ac:dyDescent="0.3">
      <c r="G1522" s="7" t="s">
        <v>351</v>
      </c>
      <c r="H1522" s="8" t="s">
        <v>2066</v>
      </c>
      <c r="I1522" s="8" t="s">
        <v>2028</v>
      </c>
      <c r="J1522" s="9">
        <v>7.64</v>
      </c>
    </row>
    <row r="1523" spans="7:10" hidden="1" x14ac:dyDescent="0.3">
      <c r="G1523" s="10" t="s">
        <v>356</v>
      </c>
      <c r="H1523" s="11" t="s">
        <v>2043</v>
      </c>
      <c r="I1523" s="11" t="s">
        <v>2028</v>
      </c>
      <c r="J1523" s="12">
        <v>16.489999999999998</v>
      </c>
    </row>
    <row r="1524" spans="7:10" hidden="1" x14ac:dyDescent="0.3">
      <c r="G1524" s="10" t="s">
        <v>373</v>
      </c>
      <c r="H1524" s="11" t="s">
        <v>2055</v>
      </c>
      <c r="I1524" s="11" t="s">
        <v>2028</v>
      </c>
      <c r="J1524" s="12">
        <v>8.1300000000000008</v>
      </c>
    </row>
    <row r="1525" spans="7:10" hidden="1" x14ac:dyDescent="0.3">
      <c r="G1525" s="10" t="s">
        <v>393</v>
      </c>
      <c r="H1525" s="11" t="s">
        <v>2035</v>
      </c>
      <c r="I1525" s="11" t="s">
        <v>2028</v>
      </c>
      <c r="J1525" s="12">
        <v>64.52</v>
      </c>
    </row>
    <row r="1526" spans="7:10" hidden="1" x14ac:dyDescent="0.3">
      <c r="G1526" s="7" t="s">
        <v>406</v>
      </c>
      <c r="H1526" s="8" t="s">
        <v>2060</v>
      </c>
      <c r="I1526" s="8" t="s">
        <v>2028</v>
      </c>
      <c r="J1526" s="9">
        <v>15.36</v>
      </c>
    </row>
    <row r="1527" spans="7:10" hidden="1" x14ac:dyDescent="0.3">
      <c r="G1527" s="7" t="s">
        <v>421</v>
      </c>
      <c r="H1527" s="8" t="s">
        <v>2049</v>
      </c>
      <c r="I1527" s="8" t="s">
        <v>2028</v>
      </c>
      <c r="J1527" s="9">
        <v>10.01</v>
      </c>
    </row>
    <row r="1528" spans="7:10" hidden="1" x14ac:dyDescent="0.3">
      <c r="G1528" s="7" t="s">
        <v>423</v>
      </c>
      <c r="H1528" s="8" t="s">
        <v>2037</v>
      </c>
      <c r="I1528" s="8" t="s">
        <v>2028</v>
      </c>
      <c r="J1528" s="9">
        <v>8.82</v>
      </c>
    </row>
    <row r="1529" spans="7:10" hidden="1" x14ac:dyDescent="0.3">
      <c r="G1529" s="7" t="s">
        <v>453</v>
      </c>
      <c r="H1529" s="8" t="s">
        <v>2054</v>
      </c>
      <c r="I1529" s="8" t="s">
        <v>2028</v>
      </c>
      <c r="J1529" s="9">
        <v>7.95</v>
      </c>
    </row>
    <row r="1530" spans="7:10" hidden="1" x14ac:dyDescent="0.3">
      <c r="G1530" s="10" t="s">
        <v>454</v>
      </c>
      <c r="H1530" s="11" t="s">
        <v>2052</v>
      </c>
      <c r="I1530" s="11" t="s">
        <v>2028</v>
      </c>
      <c r="J1530" s="12">
        <v>7.86</v>
      </c>
    </row>
    <row r="1531" spans="7:10" hidden="1" x14ac:dyDescent="0.3">
      <c r="G1531" s="7" t="s">
        <v>465</v>
      </c>
      <c r="H1531" s="8" t="s">
        <v>2065</v>
      </c>
      <c r="I1531" s="8" t="s">
        <v>2028</v>
      </c>
      <c r="J1531" s="9">
        <v>5.74</v>
      </c>
    </row>
    <row r="1532" spans="7:10" hidden="1" x14ac:dyDescent="0.3">
      <c r="G1532" s="10" t="s">
        <v>506</v>
      </c>
      <c r="H1532" s="11" t="s">
        <v>2069</v>
      </c>
      <c r="I1532" s="11" t="s">
        <v>2028</v>
      </c>
      <c r="J1532" s="12">
        <v>8.17</v>
      </c>
    </row>
    <row r="1533" spans="7:10" hidden="1" x14ac:dyDescent="0.3">
      <c r="G1533" s="7" t="s">
        <v>550</v>
      </c>
      <c r="H1533" s="8" t="s">
        <v>2052</v>
      </c>
      <c r="I1533" s="8" t="s">
        <v>2028</v>
      </c>
      <c r="J1533" s="9">
        <v>9.61</v>
      </c>
    </row>
    <row r="1534" spans="7:10" hidden="1" x14ac:dyDescent="0.3">
      <c r="G1534" s="7" t="s">
        <v>569</v>
      </c>
      <c r="H1534" s="8" t="s">
        <v>2047</v>
      </c>
      <c r="I1534" s="8" t="s">
        <v>2028</v>
      </c>
      <c r="J1534" s="9">
        <v>7</v>
      </c>
    </row>
    <row r="1535" spans="7:10" hidden="1" x14ac:dyDescent="0.3">
      <c r="G1535" s="7" t="s">
        <v>581</v>
      </c>
      <c r="H1535" s="8" t="s">
        <v>2063</v>
      </c>
      <c r="I1535" s="8" t="s">
        <v>2028</v>
      </c>
      <c r="J1535" s="9">
        <v>6.9</v>
      </c>
    </row>
    <row r="1536" spans="7:10" hidden="1" x14ac:dyDescent="0.3">
      <c r="G1536" s="7" t="s">
        <v>665</v>
      </c>
      <c r="H1536" s="8" t="s">
        <v>2050</v>
      </c>
      <c r="I1536" s="8" t="s">
        <v>2028</v>
      </c>
      <c r="J1536" s="9">
        <v>7.35</v>
      </c>
    </row>
    <row r="1537" spans="7:10" hidden="1" x14ac:dyDescent="0.3">
      <c r="G1537" s="7" t="s">
        <v>749</v>
      </c>
      <c r="H1537" s="8" t="s">
        <v>2034</v>
      </c>
      <c r="I1537" s="8" t="s">
        <v>2028</v>
      </c>
      <c r="J1537" s="9">
        <v>13.9</v>
      </c>
    </row>
    <row r="1538" spans="7:10" hidden="1" x14ac:dyDescent="0.3">
      <c r="G1538" s="10" t="s">
        <v>790</v>
      </c>
      <c r="H1538" s="11" t="s">
        <v>2070</v>
      </c>
      <c r="I1538" s="11" t="s">
        <v>2028</v>
      </c>
      <c r="J1538" s="12">
        <v>7.03</v>
      </c>
    </row>
    <row r="1539" spans="7:10" hidden="1" x14ac:dyDescent="0.3">
      <c r="G1539" s="10" t="s">
        <v>802</v>
      </c>
      <c r="H1539" s="11" t="s">
        <v>2063</v>
      </c>
      <c r="I1539" s="11" t="s">
        <v>2028</v>
      </c>
      <c r="J1539" s="12">
        <v>4.6399999999999997</v>
      </c>
    </row>
    <row r="1540" spans="7:10" hidden="1" x14ac:dyDescent="0.3">
      <c r="G1540" s="10" t="s">
        <v>804</v>
      </c>
      <c r="H1540" s="11" t="s">
        <v>2046</v>
      </c>
      <c r="I1540" s="11" t="s">
        <v>2028</v>
      </c>
      <c r="J1540" s="12">
        <v>5.92</v>
      </c>
    </row>
    <row r="1541" spans="7:10" hidden="1" x14ac:dyDescent="0.3">
      <c r="G1541" s="7" t="s">
        <v>829</v>
      </c>
      <c r="H1541" s="8" t="s">
        <v>1977</v>
      </c>
      <c r="I1541" s="8" t="s">
        <v>2028</v>
      </c>
      <c r="J1541" s="9">
        <v>5.5</v>
      </c>
    </row>
    <row r="1542" spans="7:10" hidden="1" x14ac:dyDescent="0.3">
      <c r="G1542" s="10" t="s">
        <v>833</v>
      </c>
      <c r="H1542" s="11" t="s">
        <v>2074</v>
      </c>
      <c r="I1542" s="11" t="s">
        <v>2028</v>
      </c>
      <c r="J1542" s="12">
        <v>3.49</v>
      </c>
    </row>
    <row r="1543" spans="7:10" hidden="1" x14ac:dyDescent="0.3">
      <c r="G1543" s="7" t="s">
        <v>858</v>
      </c>
      <c r="H1543" s="8" t="s">
        <v>2079</v>
      </c>
      <c r="I1543" s="8" t="s">
        <v>2028</v>
      </c>
      <c r="J1543" s="9">
        <v>3.67</v>
      </c>
    </row>
    <row r="1544" spans="7:10" hidden="1" x14ac:dyDescent="0.3">
      <c r="G1544" s="7" t="s">
        <v>860</v>
      </c>
      <c r="H1544" s="8" t="s">
        <v>2044</v>
      </c>
      <c r="I1544" s="8" t="s">
        <v>2028</v>
      </c>
      <c r="J1544" s="9">
        <v>5.96</v>
      </c>
    </row>
    <row r="1545" spans="7:10" hidden="1" x14ac:dyDescent="0.3">
      <c r="G1545" s="10" t="s">
        <v>903</v>
      </c>
      <c r="H1545" s="11" t="s">
        <v>2035</v>
      </c>
      <c r="I1545" s="11" t="s">
        <v>2028</v>
      </c>
      <c r="J1545" s="12">
        <v>5.71</v>
      </c>
    </row>
    <row r="1546" spans="7:10" hidden="1" x14ac:dyDescent="0.3">
      <c r="G1546" s="10" t="s">
        <v>941</v>
      </c>
      <c r="H1546" s="11" t="s">
        <v>2047</v>
      </c>
      <c r="I1546" s="11" t="s">
        <v>2028</v>
      </c>
      <c r="J1546" s="12">
        <v>6.43</v>
      </c>
    </row>
    <row r="1547" spans="7:10" hidden="1" x14ac:dyDescent="0.3">
      <c r="G1547" s="10" t="s">
        <v>961</v>
      </c>
      <c r="H1547" s="11" t="s">
        <v>2064</v>
      </c>
      <c r="I1547" s="11" t="s">
        <v>2028</v>
      </c>
      <c r="J1547" s="12">
        <v>3.7</v>
      </c>
    </row>
    <row r="1548" spans="7:10" hidden="1" x14ac:dyDescent="0.3">
      <c r="G1548" s="7" t="s">
        <v>972</v>
      </c>
      <c r="H1548" s="8" t="s">
        <v>2034</v>
      </c>
      <c r="I1548" s="8" t="s">
        <v>2028</v>
      </c>
      <c r="J1548" s="9">
        <v>4.59</v>
      </c>
    </row>
    <row r="1549" spans="7:10" hidden="1" x14ac:dyDescent="0.3">
      <c r="G1549" s="7" t="s">
        <v>1001</v>
      </c>
      <c r="H1549" s="8" t="s">
        <v>2057</v>
      </c>
      <c r="I1549" s="8" t="s">
        <v>2028</v>
      </c>
      <c r="J1549" s="9">
        <v>6.28</v>
      </c>
    </row>
    <row r="1550" spans="7:10" hidden="1" x14ac:dyDescent="0.3">
      <c r="G1550" s="10" t="s">
        <v>1052</v>
      </c>
      <c r="H1550" s="11" t="s">
        <v>2082</v>
      </c>
      <c r="I1550" s="11" t="s">
        <v>2028</v>
      </c>
      <c r="J1550" s="12">
        <v>3.35</v>
      </c>
    </row>
    <row r="1551" spans="7:10" hidden="1" x14ac:dyDescent="0.3">
      <c r="G1551" s="7" t="s">
        <v>1270</v>
      </c>
      <c r="H1551" s="8" t="s">
        <v>2034</v>
      </c>
      <c r="I1551" s="8" t="s">
        <v>2028</v>
      </c>
      <c r="J1551" s="9">
        <v>1.8</v>
      </c>
    </row>
    <row r="1552" spans="7:10" hidden="1" x14ac:dyDescent="0.3">
      <c r="G1552" s="7" t="s">
        <v>1280</v>
      </c>
      <c r="H1552" s="8" t="s">
        <v>2085</v>
      </c>
      <c r="I1552" s="8" t="s">
        <v>2028</v>
      </c>
      <c r="J1552" s="9">
        <v>2.06</v>
      </c>
    </row>
    <row r="1553" spans="7:10" hidden="1" x14ac:dyDescent="0.3">
      <c r="G1553" s="10" t="s">
        <v>1291</v>
      </c>
      <c r="H1553" s="11" t="s">
        <v>2046</v>
      </c>
      <c r="I1553" s="11" t="s">
        <v>2028</v>
      </c>
      <c r="J1553" s="12">
        <v>2.2200000000000002</v>
      </c>
    </row>
    <row r="1554" spans="7:10" hidden="1" x14ac:dyDescent="0.3">
      <c r="G1554" s="10" t="s">
        <v>1305</v>
      </c>
      <c r="H1554" s="11" t="s">
        <v>2034</v>
      </c>
      <c r="I1554" s="11" t="s">
        <v>2028</v>
      </c>
      <c r="J1554" s="12">
        <v>2.48</v>
      </c>
    </row>
    <row r="1555" spans="7:10" hidden="1" x14ac:dyDescent="0.3">
      <c r="G1555" s="10" t="s">
        <v>1314</v>
      </c>
      <c r="H1555" s="11" t="s">
        <v>2061</v>
      </c>
      <c r="I1555" s="11" t="s">
        <v>2028</v>
      </c>
      <c r="J1555" s="12">
        <v>1.86</v>
      </c>
    </row>
    <row r="1556" spans="7:10" hidden="1" x14ac:dyDescent="0.3">
      <c r="G1556" s="10" t="s">
        <v>1316</v>
      </c>
      <c r="H1556" s="11" t="s">
        <v>2067</v>
      </c>
      <c r="I1556" s="11" t="s">
        <v>2028</v>
      </c>
      <c r="J1556" s="12">
        <v>2.48</v>
      </c>
    </row>
    <row r="1557" spans="7:10" hidden="1" x14ac:dyDescent="0.3">
      <c r="G1557" s="10" t="s">
        <v>1332</v>
      </c>
      <c r="H1557" s="11" t="s">
        <v>2034</v>
      </c>
      <c r="I1557" s="11" t="s">
        <v>2028</v>
      </c>
      <c r="J1557" s="12">
        <v>0.94</v>
      </c>
    </row>
    <row r="1558" spans="7:10" hidden="1" x14ac:dyDescent="0.3">
      <c r="G1558" s="7" t="s">
        <v>1335</v>
      </c>
      <c r="H1558" s="8" t="s">
        <v>2086</v>
      </c>
      <c r="I1558" s="8" t="s">
        <v>2028</v>
      </c>
      <c r="J1558" s="9">
        <v>2.25</v>
      </c>
    </row>
    <row r="1559" spans="7:10" hidden="1" x14ac:dyDescent="0.3">
      <c r="G1559" s="7" t="s">
        <v>1400</v>
      </c>
      <c r="H1559" s="8" t="s">
        <v>2034</v>
      </c>
      <c r="I1559" s="8" t="s">
        <v>2028</v>
      </c>
      <c r="J1559" s="9">
        <v>3.81</v>
      </c>
    </row>
    <row r="1560" spans="7:10" hidden="1" x14ac:dyDescent="0.3">
      <c r="G1560" s="10" t="s">
        <v>1445</v>
      </c>
      <c r="H1560" s="11" t="s">
        <v>2034</v>
      </c>
      <c r="I1560" s="11" t="s">
        <v>2028</v>
      </c>
      <c r="J1560" s="12">
        <v>2.83</v>
      </c>
    </row>
    <row r="1561" spans="7:10" hidden="1" x14ac:dyDescent="0.3">
      <c r="G1561" s="7" t="s">
        <v>1450</v>
      </c>
      <c r="H1561" s="8" t="s">
        <v>2074</v>
      </c>
      <c r="I1561" s="8" t="s">
        <v>2028</v>
      </c>
      <c r="J1561" s="9">
        <v>1.68</v>
      </c>
    </row>
    <row r="1562" spans="7:10" hidden="1" x14ac:dyDescent="0.3">
      <c r="G1562" s="7" t="s">
        <v>1508</v>
      </c>
      <c r="H1562" s="8" t="s">
        <v>2065</v>
      </c>
      <c r="I1562" s="8" t="s">
        <v>2028</v>
      </c>
      <c r="J1562" s="9">
        <v>1.74</v>
      </c>
    </row>
    <row r="1563" spans="7:10" hidden="1" x14ac:dyDescent="0.3">
      <c r="G1563" s="10" t="s">
        <v>1529</v>
      </c>
      <c r="H1563" s="11" t="s">
        <v>2052</v>
      </c>
      <c r="I1563" s="11" t="s">
        <v>2028</v>
      </c>
      <c r="J1563" s="12">
        <v>2.95</v>
      </c>
    </row>
    <row r="1564" spans="7:10" hidden="1" x14ac:dyDescent="0.3">
      <c r="G1564" s="10" t="s">
        <v>1553</v>
      </c>
      <c r="H1564" s="11" t="s">
        <v>2065</v>
      </c>
      <c r="I1564" s="11" t="s">
        <v>2028</v>
      </c>
      <c r="J1564" s="12">
        <v>2.06</v>
      </c>
    </row>
    <row r="1565" spans="7:10" hidden="1" x14ac:dyDescent="0.3">
      <c r="G1565" s="7" t="s">
        <v>1584</v>
      </c>
      <c r="H1565" s="8" t="s">
        <v>2044</v>
      </c>
      <c r="I1565" s="8" t="s">
        <v>2028</v>
      </c>
      <c r="J1565" s="9">
        <v>3.41</v>
      </c>
    </row>
    <row r="1566" spans="7:10" hidden="1" x14ac:dyDescent="0.3">
      <c r="G1566" s="7" t="s">
        <v>1626</v>
      </c>
      <c r="H1566" s="8" t="s">
        <v>2084</v>
      </c>
      <c r="I1566" s="8" t="s">
        <v>2028</v>
      </c>
      <c r="J1566" s="9">
        <v>1.41</v>
      </c>
    </row>
    <row r="1567" spans="7:10" hidden="1" x14ac:dyDescent="0.3">
      <c r="G1567" s="10" t="s">
        <v>1663</v>
      </c>
      <c r="H1567" s="11" t="s">
        <v>2034</v>
      </c>
      <c r="I1567" s="11" t="s">
        <v>2028</v>
      </c>
      <c r="J1567" s="12">
        <v>2.16</v>
      </c>
    </row>
    <row r="1568" spans="7:10" hidden="1" x14ac:dyDescent="0.3">
      <c r="G1568" s="10" t="s">
        <v>1746</v>
      </c>
      <c r="H1568" s="11" t="s">
        <v>2034</v>
      </c>
      <c r="I1568" s="11" t="s">
        <v>2028</v>
      </c>
      <c r="J1568" s="12">
        <v>1.75</v>
      </c>
    </row>
    <row r="1569" spans="7:10" hidden="1" x14ac:dyDescent="0.3">
      <c r="G1569" s="10" t="s">
        <v>1829</v>
      </c>
      <c r="H1569" s="11" t="s">
        <v>2034</v>
      </c>
      <c r="I1569" s="11" t="s">
        <v>2028</v>
      </c>
      <c r="J1569" s="12">
        <v>3.65</v>
      </c>
    </row>
    <row r="1570" spans="7:10" hidden="1" x14ac:dyDescent="0.3">
      <c r="G1570" s="10" t="s">
        <v>1876</v>
      </c>
      <c r="H1570" s="11" t="s">
        <v>2034</v>
      </c>
      <c r="I1570" s="11" t="s">
        <v>2028</v>
      </c>
      <c r="J1570" s="12">
        <v>0.83</v>
      </c>
    </row>
    <row r="1571" spans="7:10" hidden="1" x14ac:dyDescent="0.3">
      <c r="G1571" s="7" t="s">
        <v>22</v>
      </c>
      <c r="H1571" s="8" t="s">
        <v>2034</v>
      </c>
      <c r="I1571" s="8" t="s">
        <v>2027</v>
      </c>
      <c r="J1571" s="9">
        <v>91.13</v>
      </c>
    </row>
    <row r="1572" spans="7:10" hidden="1" x14ac:dyDescent="0.3">
      <c r="G1572" s="7" t="s">
        <v>66</v>
      </c>
      <c r="H1572" s="8" t="s">
        <v>2034</v>
      </c>
      <c r="I1572" s="8" t="s">
        <v>2027</v>
      </c>
      <c r="J1572" s="9">
        <v>87.9</v>
      </c>
    </row>
    <row r="1573" spans="7:10" hidden="1" x14ac:dyDescent="0.3">
      <c r="G1573" s="7" t="s">
        <v>106</v>
      </c>
      <c r="H1573" s="8" t="s">
        <v>2038</v>
      </c>
      <c r="I1573" s="8" t="s">
        <v>2027</v>
      </c>
      <c r="J1573" s="9">
        <v>66.8</v>
      </c>
    </row>
    <row r="1574" spans="7:10" hidden="1" x14ac:dyDescent="0.3">
      <c r="G1574" s="7" t="s">
        <v>116</v>
      </c>
      <c r="H1574" s="8" t="s">
        <v>2034</v>
      </c>
      <c r="I1574" s="8" t="s">
        <v>2027</v>
      </c>
      <c r="J1574" s="9">
        <v>25.95</v>
      </c>
    </row>
    <row r="1575" spans="7:10" hidden="1" x14ac:dyDescent="0.3">
      <c r="G1575" s="10" t="s">
        <v>123</v>
      </c>
      <c r="H1575" s="11" t="s">
        <v>2034</v>
      </c>
      <c r="I1575" s="11" t="s">
        <v>2027</v>
      </c>
      <c r="J1575" s="12">
        <v>36.840000000000003</v>
      </c>
    </row>
    <row r="1576" spans="7:10" hidden="1" x14ac:dyDescent="0.3">
      <c r="G1576" s="10" t="s">
        <v>141</v>
      </c>
      <c r="H1576" s="11" t="s">
        <v>2053</v>
      </c>
      <c r="I1576" s="11" t="s">
        <v>2027</v>
      </c>
      <c r="J1576" s="12">
        <v>40.409999999999997</v>
      </c>
    </row>
    <row r="1577" spans="7:10" hidden="1" x14ac:dyDescent="0.3">
      <c r="G1577" s="7" t="s">
        <v>145</v>
      </c>
      <c r="H1577" s="8" t="s">
        <v>2034</v>
      </c>
      <c r="I1577" s="8" t="s">
        <v>2027</v>
      </c>
      <c r="J1577" s="9">
        <v>55.91</v>
      </c>
    </row>
    <row r="1578" spans="7:10" hidden="1" x14ac:dyDescent="0.3">
      <c r="G1578" s="7" t="s">
        <v>188</v>
      </c>
      <c r="H1578" s="8" t="s">
        <v>2057</v>
      </c>
      <c r="I1578" s="8" t="s">
        <v>2027</v>
      </c>
      <c r="J1578" s="9">
        <v>19.079999999999998</v>
      </c>
    </row>
    <row r="1579" spans="7:10" hidden="1" x14ac:dyDescent="0.3">
      <c r="G1579" s="7" t="s">
        <v>280</v>
      </c>
      <c r="H1579" s="8" t="s">
        <v>2034</v>
      </c>
      <c r="I1579" s="8" t="s">
        <v>2027</v>
      </c>
      <c r="J1579" s="9">
        <v>16.190000000000001</v>
      </c>
    </row>
    <row r="1580" spans="7:10" hidden="1" x14ac:dyDescent="0.3">
      <c r="G1580" s="10" t="s">
        <v>312</v>
      </c>
      <c r="H1580" s="11" t="s">
        <v>2039</v>
      </c>
      <c r="I1580" s="11" t="s">
        <v>2027</v>
      </c>
      <c r="J1580" s="12">
        <v>15.53</v>
      </c>
    </row>
    <row r="1581" spans="7:10" hidden="1" x14ac:dyDescent="0.3">
      <c r="G1581" s="10" t="s">
        <v>322</v>
      </c>
      <c r="H1581" s="11" t="s">
        <v>2038</v>
      </c>
      <c r="I1581" s="11" t="s">
        <v>2027</v>
      </c>
      <c r="J1581" s="12">
        <v>54.45</v>
      </c>
    </row>
    <row r="1582" spans="7:10" hidden="1" x14ac:dyDescent="0.3">
      <c r="G1582" s="10" t="s">
        <v>324</v>
      </c>
      <c r="H1582" s="11" t="s">
        <v>2038</v>
      </c>
      <c r="I1582" s="11" t="s">
        <v>2027</v>
      </c>
      <c r="J1582" s="12">
        <v>23.7</v>
      </c>
    </row>
    <row r="1583" spans="7:10" hidden="1" x14ac:dyDescent="0.3">
      <c r="G1583" s="7" t="s">
        <v>333</v>
      </c>
      <c r="H1583" s="8" t="s">
        <v>2038</v>
      </c>
      <c r="I1583" s="8" t="s">
        <v>2027</v>
      </c>
      <c r="J1583" s="9">
        <v>45.3</v>
      </c>
    </row>
    <row r="1584" spans="7:10" hidden="1" x14ac:dyDescent="0.3">
      <c r="G1584" s="7" t="s">
        <v>361</v>
      </c>
      <c r="H1584" s="8" t="s">
        <v>2034</v>
      </c>
      <c r="I1584" s="8" t="s">
        <v>2027</v>
      </c>
      <c r="J1584" s="9">
        <v>9.66</v>
      </c>
    </row>
    <row r="1585" spans="7:10" hidden="1" x14ac:dyDescent="0.3">
      <c r="G1585" s="10" t="s">
        <v>387</v>
      </c>
      <c r="H1585" s="11" t="s">
        <v>2034</v>
      </c>
      <c r="I1585" s="11" t="s">
        <v>2027</v>
      </c>
      <c r="J1585" s="12">
        <v>6.02</v>
      </c>
    </row>
    <row r="1586" spans="7:10" hidden="1" x14ac:dyDescent="0.3">
      <c r="G1586" s="10" t="s">
        <v>391</v>
      </c>
      <c r="H1586" s="11" t="s">
        <v>2038</v>
      </c>
      <c r="I1586" s="11" t="s">
        <v>2027</v>
      </c>
      <c r="J1586" s="12">
        <v>44.44</v>
      </c>
    </row>
    <row r="1587" spans="7:10" hidden="1" x14ac:dyDescent="0.3">
      <c r="G1587" s="10" t="s">
        <v>399</v>
      </c>
      <c r="H1587" s="11" t="s">
        <v>2065</v>
      </c>
      <c r="I1587" s="11" t="s">
        <v>2027</v>
      </c>
      <c r="J1587" s="12">
        <v>17.04</v>
      </c>
    </row>
    <row r="1588" spans="7:10" hidden="1" x14ac:dyDescent="0.3">
      <c r="G1588" s="10" t="s">
        <v>478</v>
      </c>
      <c r="H1588" s="11" t="s">
        <v>2034</v>
      </c>
      <c r="I1588" s="11" t="s">
        <v>2027</v>
      </c>
      <c r="J1588" s="12">
        <v>9.15</v>
      </c>
    </row>
    <row r="1589" spans="7:10" hidden="1" x14ac:dyDescent="0.3">
      <c r="G1589" s="7" t="s">
        <v>583</v>
      </c>
      <c r="H1589" s="8" t="s">
        <v>2034</v>
      </c>
      <c r="I1589" s="8" t="s">
        <v>2027</v>
      </c>
      <c r="J1589" s="9">
        <v>5.26</v>
      </c>
    </row>
    <row r="1590" spans="7:10" hidden="1" x14ac:dyDescent="0.3">
      <c r="G1590" s="7" t="s">
        <v>609</v>
      </c>
      <c r="H1590" s="8" t="s">
        <v>2034</v>
      </c>
      <c r="I1590" s="8" t="s">
        <v>2027</v>
      </c>
      <c r="J1590" s="9">
        <v>4.58</v>
      </c>
    </row>
    <row r="1591" spans="7:10" hidden="1" x14ac:dyDescent="0.3">
      <c r="G1591" s="10" t="s">
        <v>671</v>
      </c>
      <c r="H1591" s="11" t="s">
        <v>2073</v>
      </c>
      <c r="I1591" s="11" t="s">
        <v>2027</v>
      </c>
      <c r="J1591" s="12">
        <v>8.5399999999999991</v>
      </c>
    </row>
    <row r="1592" spans="7:10" hidden="1" x14ac:dyDescent="0.3">
      <c r="G1592" s="7" t="s">
        <v>737</v>
      </c>
      <c r="H1592" s="8" t="s">
        <v>2065</v>
      </c>
      <c r="I1592" s="8" t="s">
        <v>2027</v>
      </c>
      <c r="J1592" s="9">
        <v>6.62</v>
      </c>
    </row>
    <row r="1593" spans="7:10" hidden="1" x14ac:dyDescent="0.3">
      <c r="G1593" s="10" t="s">
        <v>794</v>
      </c>
      <c r="H1593" s="11" t="s">
        <v>2034</v>
      </c>
      <c r="I1593" s="11" t="s">
        <v>2027</v>
      </c>
      <c r="J1593" s="12">
        <v>11.66</v>
      </c>
    </row>
    <row r="1594" spans="7:10" hidden="1" x14ac:dyDescent="0.3">
      <c r="G1594" s="10" t="s">
        <v>835</v>
      </c>
      <c r="H1594" s="11" t="s">
        <v>2047</v>
      </c>
      <c r="I1594" s="11" t="s">
        <v>2027</v>
      </c>
      <c r="J1594" s="12">
        <v>10.59</v>
      </c>
    </row>
    <row r="1595" spans="7:10" hidden="1" x14ac:dyDescent="0.3">
      <c r="G1595" s="7" t="s">
        <v>894</v>
      </c>
      <c r="H1595" s="8" t="s">
        <v>2065</v>
      </c>
      <c r="I1595" s="8" t="s">
        <v>2027</v>
      </c>
      <c r="J1595" s="9">
        <v>7.87</v>
      </c>
    </row>
    <row r="1596" spans="7:10" hidden="1" x14ac:dyDescent="0.3">
      <c r="G1596" s="10" t="s">
        <v>921</v>
      </c>
      <c r="H1596" s="11" t="s">
        <v>2034</v>
      </c>
      <c r="I1596" s="11" t="s">
        <v>2027</v>
      </c>
      <c r="J1596" s="12">
        <v>6.03</v>
      </c>
    </row>
    <row r="1597" spans="7:10" hidden="1" x14ac:dyDescent="0.3">
      <c r="G1597" s="7" t="s">
        <v>956</v>
      </c>
      <c r="H1597" s="8" t="s">
        <v>2034</v>
      </c>
      <c r="I1597" s="8" t="s">
        <v>2027</v>
      </c>
      <c r="J1597" s="9">
        <v>5</v>
      </c>
    </row>
    <row r="1598" spans="7:10" hidden="1" x14ac:dyDescent="0.3">
      <c r="G1598" s="7" t="s">
        <v>958</v>
      </c>
      <c r="H1598" s="8" t="s">
        <v>2065</v>
      </c>
      <c r="I1598" s="8" t="s">
        <v>2027</v>
      </c>
      <c r="J1598" s="9">
        <v>10.38</v>
      </c>
    </row>
    <row r="1599" spans="7:10" hidden="1" x14ac:dyDescent="0.3">
      <c r="G1599" s="10" t="s">
        <v>967</v>
      </c>
      <c r="H1599" s="11" t="s">
        <v>2065</v>
      </c>
      <c r="I1599" s="11" t="s">
        <v>2027</v>
      </c>
      <c r="J1599" s="12">
        <v>3.71</v>
      </c>
    </row>
    <row r="1600" spans="7:10" hidden="1" x14ac:dyDescent="0.3">
      <c r="G1600" s="7" t="s">
        <v>1019</v>
      </c>
      <c r="H1600" s="8" t="s">
        <v>2038</v>
      </c>
      <c r="I1600" s="8" t="s">
        <v>2027</v>
      </c>
      <c r="J1600" s="9">
        <v>2.88</v>
      </c>
    </row>
    <row r="1601" spans="7:10" hidden="1" x14ac:dyDescent="0.3">
      <c r="G1601" s="7" t="s">
        <v>1051</v>
      </c>
      <c r="H1601" s="8" t="s">
        <v>2034</v>
      </c>
      <c r="I1601" s="8" t="s">
        <v>2027</v>
      </c>
      <c r="J1601" s="9">
        <v>8.1</v>
      </c>
    </row>
    <row r="1602" spans="7:10" hidden="1" x14ac:dyDescent="0.3">
      <c r="G1602" s="10" t="s">
        <v>1060</v>
      </c>
      <c r="H1602" s="11" t="s">
        <v>2034</v>
      </c>
      <c r="I1602" s="11" t="s">
        <v>2027</v>
      </c>
      <c r="J1602" s="12">
        <v>11.16</v>
      </c>
    </row>
    <row r="1603" spans="7:10" hidden="1" x14ac:dyDescent="0.3">
      <c r="G1603" s="10" t="s">
        <v>1064</v>
      </c>
      <c r="H1603" s="11" t="s">
        <v>2034</v>
      </c>
      <c r="I1603" s="11" t="s">
        <v>2027</v>
      </c>
      <c r="J1603" s="12">
        <v>28.81</v>
      </c>
    </row>
    <row r="1604" spans="7:10" hidden="1" x14ac:dyDescent="0.3">
      <c r="G1604" s="7" t="s">
        <v>1086</v>
      </c>
      <c r="H1604" s="8" t="s">
        <v>2034</v>
      </c>
      <c r="I1604" s="8" t="s">
        <v>2027</v>
      </c>
      <c r="J1604" s="9">
        <v>2.06</v>
      </c>
    </row>
    <row r="1605" spans="7:10" hidden="1" x14ac:dyDescent="0.3">
      <c r="G1605" s="10" t="s">
        <v>1229</v>
      </c>
      <c r="H1605" s="11" t="s">
        <v>2038</v>
      </c>
      <c r="I1605" s="11" t="s">
        <v>2027</v>
      </c>
      <c r="J1605" s="12">
        <v>1.33</v>
      </c>
    </row>
    <row r="1606" spans="7:10" hidden="1" x14ac:dyDescent="0.3">
      <c r="G1606" s="10" t="s">
        <v>1231</v>
      </c>
      <c r="H1606" s="11" t="s">
        <v>2034</v>
      </c>
      <c r="I1606" s="11" t="s">
        <v>2027</v>
      </c>
      <c r="J1606" s="12">
        <v>12.61</v>
      </c>
    </row>
    <row r="1607" spans="7:10" hidden="1" x14ac:dyDescent="0.3">
      <c r="G1607" s="10" t="s">
        <v>1244</v>
      </c>
      <c r="H1607" s="11" t="s">
        <v>2039</v>
      </c>
      <c r="I1607" s="11" t="s">
        <v>2027</v>
      </c>
      <c r="J1607" s="12">
        <v>4.84</v>
      </c>
    </row>
    <row r="1608" spans="7:10" hidden="1" x14ac:dyDescent="0.3">
      <c r="G1608" s="10" t="s">
        <v>1267</v>
      </c>
      <c r="H1608" s="11" t="s">
        <v>2065</v>
      </c>
      <c r="I1608" s="11" t="s">
        <v>2027</v>
      </c>
      <c r="J1608" s="12">
        <v>7.08</v>
      </c>
    </row>
    <row r="1609" spans="7:10" hidden="1" x14ac:dyDescent="0.3">
      <c r="G1609" s="7" t="s">
        <v>1296</v>
      </c>
      <c r="H1609" s="8" t="s">
        <v>2034</v>
      </c>
      <c r="I1609" s="8" t="s">
        <v>2027</v>
      </c>
      <c r="J1609" s="9">
        <v>2.31</v>
      </c>
    </row>
    <row r="1610" spans="7:10" hidden="1" x14ac:dyDescent="0.3">
      <c r="G1610" s="10" t="s">
        <v>1387</v>
      </c>
      <c r="H1610" s="11" t="s">
        <v>2034</v>
      </c>
      <c r="I1610" s="11" t="s">
        <v>2027</v>
      </c>
      <c r="J1610" s="12">
        <v>3.99</v>
      </c>
    </row>
    <row r="1611" spans="7:10" hidden="1" x14ac:dyDescent="0.3">
      <c r="G1611" s="10" t="s">
        <v>1389</v>
      </c>
      <c r="H1611" s="11" t="s">
        <v>2034</v>
      </c>
      <c r="I1611" s="11" t="s">
        <v>2027</v>
      </c>
      <c r="J1611" s="12">
        <v>1.92</v>
      </c>
    </row>
    <row r="1612" spans="7:10" hidden="1" x14ac:dyDescent="0.3">
      <c r="G1612" s="10" t="s">
        <v>1403</v>
      </c>
      <c r="H1612" s="11" t="s">
        <v>2034</v>
      </c>
      <c r="I1612" s="11" t="s">
        <v>2027</v>
      </c>
      <c r="J1612" s="12">
        <v>3.14</v>
      </c>
    </row>
    <row r="1613" spans="7:10" hidden="1" x14ac:dyDescent="0.3">
      <c r="G1613" s="10" t="s">
        <v>1427</v>
      </c>
      <c r="H1613" s="11" t="s">
        <v>2038</v>
      </c>
      <c r="I1613" s="11" t="s">
        <v>2027</v>
      </c>
      <c r="J1613" s="12">
        <v>5.22</v>
      </c>
    </row>
    <row r="1614" spans="7:10" hidden="1" x14ac:dyDescent="0.3">
      <c r="G1614" s="7" t="s">
        <v>1428</v>
      </c>
      <c r="H1614" s="8" t="s">
        <v>2065</v>
      </c>
      <c r="I1614" s="8" t="s">
        <v>2027</v>
      </c>
      <c r="J1614" s="9">
        <v>6.75</v>
      </c>
    </row>
    <row r="1615" spans="7:10" hidden="1" x14ac:dyDescent="0.3">
      <c r="G1615" s="10" t="s">
        <v>1435</v>
      </c>
      <c r="H1615" s="11" t="s">
        <v>2065</v>
      </c>
      <c r="I1615" s="11" t="s">
        <v>2027</v>
      </c>
      <c r="J1615" s="12">
        <v>3.68</v>
      </c>
    </row>
    <row r="1616" spans="7:10" hidden="1" x14ac:dyDescent="0.3">
      <c r="G1616" s="7" t="s">
        <v>1438</v>
      </c>
      <c r="H1616" s="8" t="s">
        <v>2034</v>
      </c>
      <c r="I1616" s="8" t="s">
        <v>2027</v>
      </c>
      <c r="J1616" s="9">
        <v>11.34</v>
      </c>
    </row>
    <row r="1617" spans="7:10" hidden="1" x14ac:dyDescent="0.3">
      <c r="G1617" s="10" t="s">
        <v>1455</v>
      </c>
      <c r="H1617" s="11" t="s">
        <v>2047</v>
      </c>
      <c r="I1617" s="11" t="s">
        <v>2027</v>
      </c>
      <c r="J1617" s="12">
        <v>1.4</v>
      </c>
    </row>
    <row r="1618" spans="7:10" hidden="1" x14ac:dyDescent="0.3">
      <c r="G1618" s="10" t="s">
        <v>1479</v>
      </c>
      <c r="H1618" s="11" t="s">
        <v>2034</v>
      </c>
      <c r="I1618" s="11" t="s">
        <v>2027</v>
      </c>
      <c r="J1618" s="12">
        <v>10.210000000000001</v>
      </c>
    </row>
    <row r="1619" spans="7:10" hidden="1" x14ac:dyDescent="0.3">
      <c r="G1619" s="7" t="s">
        <v>1488</v>
      </c>
      <c r="H1619" s="8" t="s">
        <v>2073</v>
      </c>
      <c r="I1619" s="8" t="s">
        <v>2027</v>
      </c>
      <c r="J1619" s="9">
        <v>1.03</v>
      </c>
    </row>
    <row r="1620" spans="7:10" hidden="1" x14ac:dyDescent="0.3">
      <c r="G1620" s="10" t="s">
        <v>1499</v>
      </c>
      <c r="H1620" s="11" t="s">
        <v>2034</v>
      </c>
      <c r="I1620" s="11" t="s">
        <v>2027</v>
      </c>
      <c r="J1620" s="12">
        <v>20.61</v>
      </c>
    </row>
    <row r="1621" spans="7:10" hidden="1" x14ac:dyDescent="0.3">
      <c r="G1621" s="10" t="s">
        <v>1517</v>
      </c>
      <c r="H1621" s="11" t="s">
        <v>2065</v>
      </c>
      <c r="I1621" s="11" t="s">
        <v>2027</v>
      </c>
      <c r="J1621" s="12">
        <v>7.23</v>
      </c>
    </row>
    <row r="1622" spans="7:10" hidden="1" x14ac:dyDescent="0.3">
      <c r="G1622" s="10" t="s">
        <v>1583</v>
      </c>
      <c r="H1622" s="11" t="s">
        <v>2034</v>
      </c>
      <c r="I1622" s="11" t="s">
        <v>2027</v>
      </c>
      <c r="J1622" s="12">
        <v>3.2</v>
      </c>
    </row>
    <row r="1623" spans="7:10" hidden="1" x14ac:dyDescent="0.3">
      <c r="G1623" s="7" t="s">
        <v>1624</v>
      </c>
      <c r="H1623" s="8" t="s">
        <v>2065</v>
      </c>
      <c r="I1623" s="8" t="s">
        <v>2027</v>
      </c>
      <c r="J1623" s="9">
        <v>5.5</v>
      </c>
    </row>
    <row r="1624" spans="7:10" hidden="1" x14ac:dyDescent="0.3">
      <c r="G1624" s="10" t="s">
        <v>1675</v>
      </c>
      <c r="H1624" s="11" t="s">
        <v>2039</v>
      </c>
      <c r="I1624" s="11" t="s">
        <v>2027</v>
      </c>
      <c r="J1624" s="12">
        <v>1.55</v>
      </c>
    </row>
    <row r="1625" spans="7:10" hidden="1" x14ac:dyDescent="0.3">
      <c r="G1625" s="7" t="s">
        <v>1776</v>
      </c>
      <c r="H1625" s="8" t="s">
        <v>2034</v>
      </c>
      <c r="I1625" s="8" t="s">
        <v>2027</v>
      </c>
      <c r="J1625" s="9">
        <v>1.2</v>
      </c>
    </row>
    <row r="1626" spans="7:10" hidden="1" x14ac:dyDescent="0.3">
      <c r="G1626" s="10" t="s">
        <v>1850</v>
      </c>
      <c r="H1626" s="11" t="s">
        <v>2034</v>
      </c>
      <c r="I1626" s="11" t="s">
        <v>2027</v>
      </c>
      <c r="J1626" s="12">
        <v>1.88</v>
      </c>
    </row>
    <row r="1627" spans="7:10" hidden="1" x14ac:dyDescent="0.3">
      <c r="G1627" s="10" t="s">
        <v>1943</v>
      </c>
      <c r="H1627" s="11" t="s">
        <v>2034</v>
      </c>
      <c r="I1627" s="11" t="s">
        <v>2027</v>
      </c>
      <c r="J1627" s="12">
        <v>2.61</v>
      </c>
    </row>
    <row r="1628" spans="7:10" hidden="1" x14ac:dyDescent="0.3">
      <c r="G1628" s="10" t="s">
        <v>1956</v>
      </c>
      <c r="H1628" s="11" t="s">
        <v>2065</v>
      </c>
      <c r="I1628" s="11" t="s">
        <v>2027</v>
      </c>
      <c r="J1628" s="12">
        <v>1.1499999999999999</v>
      </c>
    </row>
    <row r="1629" spans="7:10" hidden="1" x14ac:dyDescent="0.3">
      <c r="G1629" s="7" t="s">
        <v>20</v>
      </c>
      <c r="H1629" s="8" t="s">
        <v>2034</v>
      </c>
      <c r="I1629" s="8" t="s">
        <v>2004</v>
      </c>
      <c r="J1629" s="9">
        <v>61.68</v>
      </c>
    </row>
    <row r="1630" spans="7:10" hidden="1" x14ac:dyDescent="0.3">
      <c r="G1630" s="7" t="s">
        <v>206</v>
      </c>
      <c r="H1630" s="8" t="s">
        <v>2039</v>
      </c>
      <c r="I1630" s="8" t="s">
        <v>2004</v>
      </c>
      <c r="J1630" s="9">
        <v>17.18</v>
      </c>
    </row>
    <row r="1631" spans="7:10" hidden="1" x14ac:dyDescent="0.3">
      <c r="G1631" s="7" t="s">
        <v>299</v>
      </c>
      <c r="H1631" s="8" t="s">
        <v>2034</v>
      </c>
      <c r="I1631" s="8" t="s">
        <v>2004</v>
      </c>
      <c r="J1631" s="9">
        <v>15.9</v>
      </c>
    </row>
    <row r="1632" spans="7:10" hidden="1" x14ac:dyDescent="0.3">
      <c r="G1632" s="7" t="s">
        <v>309</v>
      </c>
      <c r="H1632" s="8" t="s">
        <v>2038</v>
      </c>
      <c r="I1632" s="8" t="s">
        <v>2004</v>
      </c>
      <c r="J1632" s="9">
        <v>23.58</v>
      </c>
    </row>
    <row r="1633" spans="7:10" hidden="1" x14ac:dyDescent="0.3">
      <c r="G1633" s="7" t="s">
        <v>327</v>
      </c>
      <c r="H1633" s="8" t="s">
        <v>2039</v>
      </c>
      <c r="I1633" s="8" t="s">
        <v>2004</v>
      </c>
      <c r="J1633" s="9">
        <v>17.91</v>
      </c>
    </row>
    <row r="1634" spans="7:10" hidden="1" x14ac:dyDescent="0.3">
      <c r="G1634" s="10" t="s">
        <v>332</v>
      </c>
      <c r="H1634" s="11" t="s">
        <v>2041</v>
      </c>
      <c r="I1634" s="11" t="s">
        <v>2004</v>
      </c>
      <c r="J1634" s="12">
        <v>14.37</v>
      </c>
    </row>
    <row r="1635" spans="7:10" hidden="1" x14ac:dyDescent="0.3">
      <c r="G1635" s="10" t="s">
        <v>403</v>
      </c>
      <c r="H1635" s="11" t="s">
        <v>2034</v>
      </c>
      <c r="I1635" s="11" t="s">
        <v>2004</v>
      </c>
      <c r="J1635" s="12">
        <v>14.37</v>
      </c>
    </row>
    <row r="1636" spans="7:10" hidden="1" x14ac:dyDescent="0.3">
      <c r="G1636" s="7" t="s">
        <v>419</v>
      </c>
      <c r="H1636" s="8" t="s">
        <v>2034</v>
      </c>
      <c r="I1636" s="8" t="s">
        <v>2004</v>
      </c>
      <c r="J1636" s="9">
        <v>11.4</v>
      </c>
    </row>
    <row r="1637" spans="7:10" hidden="1" x14ac:dyDescent="0.3">
      <c r="G1637" s="10" t="s">
        <v>551</v>
      </c>
      <c r="H1637" s="11" t="s">
        <v>2035</v>
      </c>
      <c r="I1637" s="11" t="s">
        <v>2004</v>
      </c>
      <c r="J1637" s="12">
        <v>7.18</v>
      </c>
    </row>
    <row r="1638" spans="7:10" hidden="1" x14ac:dyDescent="0.3">
      <c r="G1638" s="10" t="s">
        <v>576</v>
      </c>
      <c r="H1638" s="11" t="s">
        <v>2037</v>
      </c>
      <c r="I1638" s="11" t="s">
        <v>2004</v>
      </c>
      <c r="J1638" s="12">
        <v>4.78</v>
      </c>
    </row>
    <row r="1639" spans="7:10" hidden="1" x14ac:dyDescent="0.3">
      <c r="G1639" s="7" t="s">
        <v>641</v>
      </c>
      <c r="H1639" s="8" t="s">
        <v>2038</v>
      </c>
      <c r="I1639" s="8" t="s">
        <v>2004</v>
      </c>
      <c r="J1639" s="9">
        <v>12.12</v>
      </c>
    </row>
    <row r="1640" spans="7:10" hidden="1" x14ac:dyDescent="0.3">
      <c r="G1640" s="7" t="s">
        <v>649</v>
      </c>
      <c r="H1640" s="8" t="s">
        <v>2040</v>
      </c>
      <c r="I1640" s="8" t="s">
        <v>2004</v>
      </c>
      <c r="J1640" s="9">
        <v>7.39</v>
      </c>
    </row>
    <row r="1641" spans="7:10" hidden="1" x14ac:dyDescent="0.3">
      <c r="G1641" s="7" t="s">
        <v>659</v>
      </c>
      <c r="H1641" s="8" t="s">
        <v>2038</v>
      </c>
      <c r="I1641" s="8" t="s">
        <v>2004</v>
      </c>
      <c r="J1641" s="9">
        <v>8.74</v>
      </c>
    </row>
    <row r="1642" spans="7:10" hidden="1" x14ac:dyDescent="0.3">
      <c r="G1642" s="10" t="s">
        <v>730</v>
      </c>
      <c r="H1642" s="11" t="s">
        <v>2034</v>
      </c>
      <c r="I1642" s="11" t="s">
        <v>2004</v>
      </c>
      <c r="J1642" s="12">
        <v>8.15</v>
      </c>
    </row>
    <row r="1643" spans="7:10" hidden="1" x14ac:dyDescent="0.3">
      <c r="G1643" s="10" t="s">
        <v>832</v>
      </c>
      <c r="H1643" s="11" t="s">
        <v>2041</v>
      </c>
      <c r="I1643" s="11" t="s">
        <v>2004</v>
      </c>
      <c r="J1643" s="12">
        <v>8.7899999999999991</v>
      </c>
    </row>
    <row r="1644" spans="7:10" hidden="1" x14ac:dyDescent="0.3">
      <c r="G1644" s="7" t="s">
        <v>862</v>
      </c>
      <c r="H1644" s="8" t="s">
        <v>2034</v>
      </c>
      <c r="I1644" s="8" t="s">
        <v>2004</v>
      </c>
      <c r="J1644" s="9">
        <v>14.27</v>
      </c>
    </row>
    <row r="1645" spans="7:10" hidden="1" x14ac:dyDescent="0.3">
      <c r="G1645" s="10" t="s">
        <v>915</v>
      </c>
      <c r="H1645" s="11" t="s">
        <v>2042</v>
      </c>
      <c r="I1645" s="11" t="s">
        <v>2004</v>
      </c>
      <c r="J1645" s="12">
        <v>4.42</v>
      </c>
    </row>
    <row r="1646" spans="7:10" hidden="1" x14ac:dyDescent="0.3">
      <c r="G1646" s="10" t="s">
        <v>947</v>
      </c>
      <c r="H1646" s="11" t="s">
        <v>2034</v>
      </c>
      <c r="I1646" s="11" t="s">
        <v>2004</v>
      </c>
      <c r="J1646" s="12">
        <v>6.43</v>
      </c>
    </row>
    <row r="1647" spans="7:10" hidden="1" x14ac:dyDescent="0.3">
      <c r="G1647" s="10" t="s">
        <v>1002</v>
      </c>
      <c r="H1647" s="11" t="s">
        <v>2041</v>
      </c>
      <c r="I1647" s="11" t="s">
        <v>2004</v>
      </c>
      <c r="J1647" s="12">
        <v>5.65</v>
      </c>
    </row>
    <row r="1648" spans="7:10" hidden="1" x14ac:dyDescent="0.3">
      <c r="G1648" s="7" t="s">
        <v>1031</v>
      </c>
      <c r="H1648" s="8" t="s">
        <v>2038</v>
      </c>
      <c r="I1648" s="8" t="s">
        <v>2004</v>
      </c>
      <c r="J1648" s="9">
        <v>9.9600000000000009</v>
      </c>
    </row>
    <row r="1649" spans="7:10" hidden="1" x14ac:dyDescent="0.3">
      <c r="G1649" s="10" t="s">
        <v>1038</v>
      </c>
      <c r="H1649" s="11" t="s">
        <v>2037</v>
      </c>
      <c r="I1649" s="11" t="s">
        <v>2004</v>
      </c>
      <c r="J1649" s="12">
        <v>3.49</v>
      </c>
    </row>
    <row r="1650" spans="7:10" hidden="1" x14ac:dyDescent="0.3">
      <c r="G1650" s="10" t="s">
        <v>1050</v>
      </c>
      <c r="H1650" s="11" t="s">
        <v>2034</v>
      </c>
      <c r="I1650" s="11" t="s">
        <v>2004</v>
      </c>
      <c r="J1650" s="12">
        <v>4.51</v>
      </c>
    </row>
    <row r="1651" spans="7:10" hidden="1" x14ac:dyDescent="0.3">
      <c r="G1651" s="10" t="s">
        <v>1066</v>
      </c>
      <c r="H1651" s="11" t="s">
        <v>2034</v>
      </c>
      <c r="I1651" s="11" t="s">
        <v>2004</v>
      </c>
      <c r="J1651" s="12">
        <v>6.36</v>
      </c>
    </row>
    <row r="1652" spans="7:10" hidden="1" x14ac:dyDescent="0.3">
      <c r="G1652" s="10" t="s">
        <v>1079</v>
      </c>
      <c r="H1652" s="11" t="s">
        <v>2034</v>
      </c>
      <c r="I1652" s="11" t="s">
        <v>2004</v>
      </c>
      <c r="J1652" s="12">
        <v>5.18</v>
      </c>
    </row>
    <row r="1653" spans="7:10" hidden="1" x14ac:dyDescent="0.3">
      <c r="G1653" s="7" t="s">
        <v>1174</v>
      </c>
      <c r="H1653" s="8" t="s">
        <v>2034</v>
      </c>
      <c r="I1653" s="8" t="s">
        <v>2004</v>
      </c>
      <c r="J1653" s="9">
        <v>6.48</v>
      </c>
    </row>
    <row r="1654" spans="7:10" hidden="1" x14ac:dyDescent="0.3">
      <c r="G1654" s="10" t="s">
        <v>1203</v>
      </c>
      <c r="H1654" s="11" t="s">
        <v>2034</v>
      </c>
      <c r="I1654" s="11" t="s">
        <v>2004</v>
      </c>
      <c r="J1654" s="12">
        <v>1.93</v>
      </c>
    </row>
    <row r="1655" spans="7:10" hidden="1" x14ac:dyDescent="0.3">
      <c r="G1655" s="10" t="s">
        <v>1215</v>
      </c>
      <c r="H1655" s="11" t="s">
        <v>2038</v>
      </c>
      <c r="I1655" s="11" t="s">
        <v>2004</v>
      </c>
      <c r="J1655" s="12">
        <v>5.97</v>
      </c>
    </row>
    <row r="1656" spans="7:10" hidden="1" x14ac:dyDescent="0.3">
      <c r="G1656" s="7" t="s">
        <v>1354</v>
      </c>
      <c r="H1656" s="8" t="s">
        <v>2034</v>
      </c>
      <c r="I1656" s="8" t="s">
        <v>2004</v>
      </c>
      <c r="J1656" s="9">
        <v>3.68</v>
      </c>
    </row>
    <row r="1657" spans="7:10" hidden="1" x14ac:dyDescent="0.3">
      <c r="G1657" s="10" t="s">
        <v>1361</v>
      </c>
      <c r="H1657" s="11" t="s">
        <v>2034</v>
      </c>
      <c r="I1657" s="11" t="s">
        <v>2004</v>
      </c>
      <c r="J1657" s="12">
        <v>4.8499999999999996</v>
      </c>
    </row>
    <row r="1658" spans="7:10" hidden="1" x14ac:dyDescent="0.3">
      <c r="G1658" s="10" t="s">
        <v>1441</v>
      </c>
      <c r="H1658" s="11" t="s">
        <v>2034</v>
      </c>
      <c r="I1658" s="11" t="s">
        <v>2004</v>
      </c>
      <c r="J1658" s="12">
        <v>5.07</v>
      </c>
    </row>
    <row r="1659" spans="7:10" hidden="1" x14ac:dyDescent="0.3">
      <c r="G1659" s="7" t="s">
        <v>1460</v>
      </c>
      <c r="H1659" s="8" t="s">
        <v>2039</v>
      </c>
      <c r="I1659" s="8" t="s">
        <v>2004</v>
      </c>
      <c r="J1659" s="9">
        <v>1.81</v>
      </c>
    </row>
    <row r="1660" spans="7:10" hidden="1" x14ac:dyDescent="0.3">
      <c r="G1660" s="7" t="s">
        <v>1544</v>
      </c>
      <c r="H1660" s="8" t="s">
        <v>2041</v>
      </c>
      <c r="I1660" s="8" t="s">
        <v>2004</v>
      </c>
      <c r="J1660" s="9">
        <v>2.1</v>
      </c>
    </row>
    <row r="1661" spans="7:10" hidden="1" x14ac:dyDescent="0.3">
      <c r="G1661" s="10" t="s">
        <v>1605</v>
      </c>
      <c r="H1661" s="11" t="s">
        <v>2038</v>
      </c>
      <c r="I1661" s="11" t="s">
        <v>2004</v>
      </c>
      <c r="J1661" s="12">
        <v>4.99</v>
      </c>
    </row>
    <row r="1662" spans="7:10" hidden="1" x14ac:dyDescent="0.3">
      <c r="G1662" s="7" t="s">
        <v>1646</v>
      </c>
      <c r="H1662" s="8" t="s">
        <v>2034</v>
      </c>
      <c r="I1662" s="8" t="s">
        <v>2004</v>
      </c>
      <c r="J1662" s="9">
        <v>3.58</v>
      </c>
    </row>
    <row r="1663" spans="7:10" hidden="1" x14ac:dyDescent="0.3">
      <c r="G1663" s="10" t="s">
        <v>1647</v>
      </c>
      <c r="H1663" s="11" t="s">
        <v>2037</v>
      </c>
      <c r="I1663" s="11" t="s">
        <v>2004</v>
      </c>
      <c r="J1663" s="12">
        <v>2.35</v>
      </c>
    </row>
    <row r="1664" spans="7:10" hidden="1" x14ac:dyDescent="0.3">
      <c r="G1664" s="10" t="s">
        <v>1759</v>
      </c>
      <c r="H1664" s="11" t="s">
        <v>2043</v>
      </c>
      <c r="I1664" s="11" t="s">
        <v>2004</v>
      </c>
      <c r="J1664" s="12">
        <v>5.5</v>
      </c>
    </row>
    <row r="1665" spans="7:10" hidden="1" x14ac:dyDescent="0.3">
      <c r="G1665" s="7" t="s">
        <v>1778</v>
      </c>
      <c r="H1665" s="8" t="s">
        <v>2034</v>
      </c>
      <c r="I1665" s="8" t="s">
        <v>2004</v>
      </c>
      <c r="J1665" s="9">
        <v>3</v>
      </c>
    </row>
    <row r="1666" spans="7:10" hidden="1" x14ac:dyDescent="0.3">
      <c r="G1666" s="7" t="s">
        <v>1905</v>
      </c>
      <c r="H1666" s="8" t="s">
        <v>2034</v>
      </c>
      <c r="I1666" s="8" t="s">
        <v>2004</v>
      </c>
      <c r="J1666" s="9">
        <v>3.09</v>
      </c>
    </row>
    <row r="1667" spans="7:10" hidden="1" x14ac:dyDescent="0.3">
      <c r="G1667" s="7" t="s">
        <v>1907</v>
      </c>
      <c r="H1667" s="8" t="s">
        <v>2060</v>
      </c>
      <c r="I1667" s="8" t="s">
        <v>2004</v>
      </c>
      <c r="J1667" s="9">
        <v>2.0699999999999998</v>
      </c>
    </row>
    <row r="1668" spans="7:10" hidden="1" x14ac:dyDescent="0.3">
      <c r="G1668" s="7" t="s">
        <v>1961</v>
      </c>
      <c r="H1668" s="8" t="s">
        <v>2038</v>
      </c>
      <c r="I1668" s="8" t="s">
        <v>2004</v>
      </c>
      <c r="J1668" s="9">
        <v>3.33</v>
      </c>
    </row>
    <row r="1669" spans="7:10" hidden="1" x14ac:dyDescent="0.3">
      <c r="G1669" s="7" t="s">
        <v>102</v>
      </c>
      <c r="H1669" s="8" t="s">
        <v>2034</v>
      </c>
      <c r="I1669" s="8" t="s">
        <v>2002</v>
      </c>
      <c r="J1669" s="9">
        <v>45.37</v>
      </c>
    </row>
    <row r="1670" spans="7:10" hidden="1" x14ac:dyDescent="0.3">
      <c r="G1670" s="7" t="s">
        <v>114</v>
      </c>
      <c r="H1670" s="8" t="s">
        <v>2034</v>
      </c>
      <c r="I1670" s="8" t="s">
        <v>2002</v>
      </c>
      <c r="J1670" s="9">
        <v>45.14</v>
      </c>
    </row>
    <row r="1671" spans="7:10" hidden="1" x14ac:dyDescent="0.3">
      <c r="G1671" s="7" t="s">
        <v>180</v>
      </c>
      <c r="H1671" s="8" t="s">
        <v>2034</v>
      </c>
      <c r="I1671" s="8" t="s">
        <v>2002</v>
      </c>
      <c r="J1671" s="9">
        <v>22.49</v>
      </c>
    </row>
    <row r="1672" spans="7:10" hidden="1" x14ac:dyDescent="0.3">
      <c r="G1672" s="10" t="s">
        <v>205</v>
      </c>
      <c r="H1672" s="11" t="s">
        <v>2034</v>
      </c>
      <c r="I1672" s="11" t="s">
        <v>2002</v>
      </c>
      <c r="J1672" s="12">
        <v>77.849999999999994</v>
      </c>
    </row>
    <row r="1673" spans="7:10" hidden="1" x14ac:dyDescent="0.3">
      <c r="G1673" s="10" t="s">
        <v>247</v>
      </c>
      <c r="H1673" s="11" t="s">
        <v>2034</v>
      </c>
      <c r="I1673" s="11" t="s">
        <v>2002</v>
      </c>
      <c r="J1673" s="12">
        <v>16.68</v>
      </c>
    </row>
    <row r="1674" spans="7:10" hidden="1" x14ac:dyDescent="0.3">
      <c r="G1674" s="7" t="s">
        <v>252</v>
      </c>
      <c r="H1674" s="8" t="s">
        <v>2034</v>
      </c>
      <c r="I1674" s="8" t="s">
        <v>2002</v>
      </c>
      <c r="J1674" s="9">
        <v>24.46</v>
      </c>
    </row>
    <row r="1675" spans="7:10" hidden="1" x14ac:dyDescent="0.3">
      <c r="G1675" s="10" t="s">
        <v>269</v>
      </c>
      <c r="H1675" s="11" t="s">
        <v>2034</v>
      </c>
      <c r="I1675" s="11" t="s">
        <v>2002</v>
      </c>
      <c r="J1675" s="12">
        <v>11</v>
      </c>
    </row>
    <row r="1676" spans="7:10" hidden="1" x14ac:dyDescent="0.3">
      <c r="G1676" s="7" t="s">
        <v>295</v>
      </c>
      <c r="H1676" s="8" t="s">
        <v>2034</v>
      </c>
      <c r="I1676" s="8" t="s">
        <v>2002</v>
      </c>
      <c r="J1676" s="9">
        <v>85.88</v>
      </c>
    </row>
    <row r="1677" spans="7:10" hidden="1" x14ac:dyDescent="0.3">
      <c r="G1677" s="10" t="s">
        <v>348</v>
      </c>
      <c r="H1677" s="11" t="s">
        <v>2034</v>
      </c>
      <c r="I1677" s="11" t="s">
        <v>2002</v>
      </c>
      <c r="J1677" s="12">
        <v>32.99</v>
      </c>
    </row>
    <row r="1678" spans="7:10" hidden="1" x14ac:dyDescent="0.3">
      <c r="G1678" s="10" t="s">
        <v>395</v>
      </c>
      <c r="H1678" s="11" t="s">
        <v>2034</v>
      </c>
      <c r="I1678" s="11" t="s">
        <v>2002</v>
      </c>
      <c r="J1678" s="12">
        <v>35.979999999999997</v>
      </c>
    </row>
    <row r="1679" spans="7:10" hidden="1" x14ac:dyDescent="0.3">
      <c r="G1679" s="10" t="s">
        <v>414</v>
      </c>
      <c r="H1679" s="11" t="s">
        <v>2034</v>
      </c>
      <c r="I1679" s="11" t="s">
        <v>2002</v>
      </c>
      <c r="J1679" s="12">
        <v>9.85</v>
      </c>
    </row>
    <row r="1680" spans="7:10" hidden="1" x14ac:dyDescent="0.3">
      <c r="G1680" s="10" t="s">
        <v>586</v>
      </c>
      <c r="H1680" s="11" t="s">
        <v>2034</v>
      </c>
      <c r="I1680" s="11" t="s">
        <v>2002</v>
      </c>
      <c r="J1680" s="12">
        <v>55.59</v>
      </c>
    </row>
    <row r="1681" spans="7:10" hidden="1" x14ac:dyDescent="0.3">
      <c r="G1681" s="10" t="s">
        <v>622</v>
      </c>
      <c r="H1681" s="11" t="s">
        <v>2034</v>
      </c>
      <c r="I1681" s="11" t="s">
        <v>2002</v>
      </c>
      <c r="J1681" s="12">
        <v>6.28</v>
      </c>
    </row>
    <row r="1682" spans="7:10" hidden="1" x14ac:dyDescent="0.3">
      <c r="G1682" s="10" t="s">
        <v>638</v>
      </c>
      <c r="H1682" s="11" t="s">
        <v>2041</v>
      </c>
      <c r="I1682" s="11" t="s">
        <v>2002</v>
      </c>
      <c r="J1682" s="12">
        <v>25.99</v>
      </c>
    </row>
    <row r="1683" spans="7:10" hidden="1" x14ac:dyDescent="0.3">
      <c r="G1683" s="7" t="s">
        <v>717</v>
      </c>
      <c r="H1683" s="8" t="s">
        <v>2034</v>
      </c>
      <c r="I1683" s="8" t="s">
        <v>2002</v>
      </c>
      <c r="J1683" s="9">
        <v>5.54</v>
      </c>
    </row>
    <row r="1684" spans="7:10" hidden="1" x14ac:dyDescent="0.3">
      <c r="G1684" s="7" t="s">
        <v>719</v>
      </c>
      <c r="H1684" s="8" t="s">
        <v>2034</v>
      </c>
      <c r="I1684" s="8" t="s">
        <v>2002</v>
      </c>
      <c r="J1684" s="9">
        <v>16.27</v>
      </c>
    </row>
    <row r="1685" spans="7:10" hidden="1" x14ac:dyDescent="0.3">
      <c r="G1685" s="7" t="s">
        <v>797</v>
      </c>
      <c r="H1685" s="8" t="s">
        <v>2034</v>
      </c>
      <c r="I1685" s="8" t="s">
        <v>2002</v>
      </c>
      <c r="J1685" s="9">
        <v>4.87</v>
      </c>
    </row>
    <row r="1686" spans="7:10" hidden="1" x14ac:dyDescent="0.3">
      <c r="G1686" s="7" t="s">
        <v>799</v>
      </c>
      <c r="H1686" s="8" t="s">
        <v>2034</v>
      </c>
      <c r="I1686" s="8" t="s">
        <v>2002</v>
      </c>
      <c r="J1686" s="9">
        <v>14.42</v>
      </c>
    </row>
    <row r="1687" spans="7:10" hidden="1" x14ac:dyDescent="0.3">
      <c r="G1687" s="10" t="s">
        <v>826</v>
      </c>
      <c r="H1687" s="11" t="s">
        <v>2041</v>
      </c>
      <c r="I1687" s="11" t="s">
        <v>2002</v>
      </c>
      <c r="J1687" s="12">
        <v>9.8699999999999992</v>
      </c>
    </row>
    <row r="1688" spans="7:10" hidden="1" x14ac:dyDescent="0.3">
      <c r="G1688" s="7" t="s">
        <v>842</v>
      </c>
      <c r="H1688" s="8" t="s">
        <v>2035</v>
      </c>
      <c r="I1688" s="8" t="s">
        <v>2002</v>
      </c>
      <c r="J1688" s="9">
        <v>17.079999999999998</v>
      </c>
    </row>
    <row r="1689" spans="7:10" hidden="1" x14ac:dyDescent="0.3">
      <c r="G1689" s="7" t="s">
        <v>852</v>
      </c>
      <c r="H1689" s="8" t="s">
        <v>2034</v>
      </c>
      <c r="I1689" s="8" t="s">
        <v>2002</v>
      </c>
      <c r="J1689" s="9">
        <v>5.58</v>
      </c>
    </row>
    <row r="1690" spans="7:10" hidden="1" x14ac:dyDescent="0.3">
      <c r="G1690" s="10" t="s">
        <v>857</v>
      </c>
      <c r="H1690" s="11" t="s">
        <v>2034</v>
      </c>
      <c r="I1690" s="11" t="s">
        <v>2002</v>
      </c>
      <c r="J1690" s="12">
        <v>3.29</v>
      </c>
    </row>
    <row r="1691" spans="7:10" hidden="1" x14ac:dyDescent="0.3">
      <c r="G1691" s="7" t="s">
        <v>868</v>
      </c>
      <c r="H1691" s="8" t="s">
        <v>2034</v>
      </c>
      <c r="I1691" s="8" t="s">
        <v>2002</v>
      </c>
      <c r="J1691" s="9">
        <v>5.5</v>
      </c>
    </row>
    <row r="1692" spans="7:10" hidden="1" x14ac:dyDescent="0.3">
      <c r="G1692" s="10" t="s">
        <v>875</v>
      </c>
      <c r="H1692" s="11" t="s">
        <v>2034</v>
      </c>
      <c r="I1692" s="11" t="s">
        <v>2002</v>
      </c>
      <c r="J1692" s="12">
        <v>3.55</v>
      </c>
    </row>
    <row r="1693" spans="7:10" hidden="1" x14ac:dyDescent="0.3">
      <c r="G1693" s="7" t="s">
        <v>886</v>
      </c>
      <c r="H1693" s="8" t="s">
        <v>2034</v>
      </c>
      <c r="I1693" s="8" t="s">
        <v>2002</v>
      </c>
      <c r="J1693" s="9">
        <v>6.61</v>
      </c>
    </row>
    <row r="1694" spans="7:10" hidden="1" x14ac:dyDescent="0.3">
      <c r="G1694" s="10" t="s">
        <v>1048</v>
      </c>
      <c r="H1694" s="11" t="s">
        <v>2034</v>
      </c>
      <c r="I1694" s="11" t="s">
        <v>2002</v>
      </c>
      <c r="J1694" s="12">
        <v>2.92</v>
      </c>
    </row>
    <row r="1695" spans="7:10" hidden="1" x14ac:dyDescent="0.3">
      <c r="G1695" s="10" t="s">
        <v>1072</v>
      </c>
      <c r="H1695" s="11" t="s">
        <v>2034</v>
      </c>
      <c r="I1695" s="11" t="s">
        <v>2002</v>
      </c>
      <c r="J1695" s="12">
        <v>5.29</v>
      </c>
    </row>
    <row r="1696" spans="7:10" hidden="1" x14ac:dyDescent="0.3">
      <c r="G1696" s="7" t="s">
        <v>1076</v>
      </c>
      <c r="H1696" s="8" t="s">
        <v>2038</v>
      </c>
      <c r="I1696" s="8" t="s">
        <v>2002</v>
      </c>
      <c r="J1696" s="9">
        <v>7.59</v>
      </c>
    </row>
    <row r="1697" spans="7:10" hidden="1" x14ac:dyDescent="0.3">
      <c r="G1697" s="10" t="s">
        <v>1111</v>
      </c>
      <c r="H1697" s="11" t="s">
        <v>2034</v>
      </c>
      <c r="I1697" s="11" t="s">
        <v>2002</v>
      </c>
      <c r="J1697" s="12">
        <v>11.94</v>
      </c>
    </row>
    <row r="1698" spans="7:10" hidden="1" x14ac:dyDescent="0.3">
      <c r="G1698" s="7" t="s">
        <v>1156</v>
      </c>
      <c r="H1698" s="8" t="s">
        <v>2038</v>
      </c>
      <c r="I1698" s="8" t="s">
        <v>2002</v>
      </c>
      <c r="J1698" s="9">
        <v>15.54</v>
      </c>
    </row>
    <row r="1699" spans="7:10" hidden="1" x14ac:dyDescent="0.3">
      <c r="G1699" s="10" t="s">
        <v>1195</v>
      </c>
      <c r="H1699" s="11" t="s">
        <v>2034</v>
      </c>
      <c r="I1699" s="11" t="s">
        <v>2002</v>
      </c>
      <c r="J1699" s="12">
        <v>9.7200000000000006</v>
      </c>
    </row>
    <row r="1700" spans="7:10" hidden="1" x14ac:dyDescent="0.3">
      <c r="G1700" s="10" t="s">
        <v>1223</v>
      </c>
      <c r="H1700" s="11" t="s">
        <v>2034</v>
      </c>
      <c r="I1700" s="11" t="s">
        <v>2002</v>
      </c>
      <c r="J1700" s="12">
        <v>3.33</v>
      </c>
    </row>
    <row r="1701" spans="7:10" hidden="1" x14ac:dyDescent="0.3">
      <c r="G1701" s="10" t="s">
        <v>1279</v>
      </c>
      <c r="H1701" s="11" t="s">
        <v>2037</v>
      </c>
      <c r="I1701" s="11" t="s">
        <v>2002</v>
      </c>
      <c r="J1701" s="12">
        <v>1.93</v>
      </c>
    </row>
    <row r="1702" spans="7:10" hidden="1" x14ac:dyDescent="0.3">
      <c r="G1702" s="10" t="s">
        <v>1295</v>
      </c>
      <c r="H1702" s="11" t="s">
        <v>2039</v>
      </c>
      <c r="I1702" s="11" t="s">
        <v>2002</v>
      </c>
      <c r="J1702" s="12">
        <v>3.07</v>
      </c>
    </row>
    <row r="1703" spans="7:10" hidden="1" x14ac:dyDescent="0.3">
      <c r="G1703" s="7" t="s">
        <v>1304</v>
      </c>
      <c r="H1703" s="8" t="s">
        <v>2034</v>
      </c>
      <c r="I1703" s="8" t="s">
        <v>2002</v>
      </c>
      <c r="J1703" s="9">
        <v>3.71</v>
      </c>
    </row>
    <row r="1704" spans="7:10" hidden="1" x14ac:dyDescent="0.3">
      <c r="G1704" s="10" t="s">
        <v>1336</v>
      </c>
      <c r="H1704" s="11" t="s">
        <v>2034</v>
      </c>
      <c r="I1704" s="11" t="s">
        <v>2002</v>
      </c>
      <c r="J1704" s="12">
        <v>2.97</v>
      </c>
    </row>
    <row r="1705" spans="7:10" hidden="1" x14ac:dyDescent="0.3">
      <c r="G1705" s="10" t="s">
        <v>1338</v>
      </c>
      <c r="H1705" s="11" t="s">
        <v>2034</v>
      </c>
      <c r="I1705" s="11" t="s">
        <v>2002</v>
      </c>
      <c r="J1705" s="12">
        <v>1.96</v>
      </c>
    </row>
    <row r="1706" spans="7:10" hidden="1" x14ac:dyDescent="0.3">
      <c r="G1706" s="10" t="s">
        <v>1359</v>
      </c>
      <c r="H1706" s="11" t="s">
        <v>2038</v>
      </c>
      <c r="I1706" s="11" t="s">
        <v>2002</v>
      </c>
      <c r="J1706" s="12">
        <v>12.42</v>
      </c>
    </row>
    <row r="1707" spans="7:10" hidden="1" x14ac:dyDescent="0.3">
      <c r="G1707" s="7" t="s">
        <v>1406</v>
      </c>
      <c r="H1707" s="8" t="s">
        <v>2034</v>
      </c>
      <c r="I1707" s="8" t="s">
        <v>2002</v>
      </c>
      <c r="J1707" s="9">
        <v>4.7</v>
      </c>
    </row>
    <row r="1708" spans="7:10" hidden="1" x14ac:dyDescent="0.3">
      <c r="G1708" s="10" t="s">
        <v>1433</v>
      </c>
      <c r="H1708" s="11" t="s">
        <v>2035</v>
      </c>
      <c r="I1708" s="11" t="s">
        <v>2002</v>
      </c>
      <c r="J1708" s="12">
        <v>2.42</v>
      </c>
    </row>
    <row r="1709" spans="7:10" hidden="1" x14ac:dyDescent="0.3">
      <c r="G1709" s="10" t="s">
        <v>1447</v>
      </c>
      <c r="H1709" s="11" t="s">
        <v>2057</v>
      </c>
      <c r="I1709" s="11" t="s">
        <v>2002</v>
      </c>
      <c r="J1709" s="12">
        <v>1.85</v>
      </c>
    </row>
    <row r="1710" spans="7:10" hidden="1" x14ac:dyDescent="0.3">
      <c r="G1710" s="7" t="s">
        <v>1482</v>
      </c>
      <c r="H1710" s="8" t="s">
        <v>2034</v>
      </c>
      <c r="I1710" s="8" t="s">
        <v>2002</v>
      </c>
      <c r="J1710" s="9">
        <v>1.77</v>
      </c>
    </row>
    <row r="1711" spans="7:10" hidden="1" x14ac:dyDescent="0.3">
      <c r="G1711" s="10" t="s">
        <v>1493</v>
      </c>
      <c r="H1711" s="11" t="s">
        <v>2038</v>
      </c>
      <c r="I1711" s="11" t="s">
        <v>2002</v>
      </c>
      <c r="J1711" s="12">
        <v>11.15</v>
      </c>
    </row>
    <row r="1712" spans="7:10" hidden="1" x14ac:dyDescent="0.3">
      <c r="G1712" s="10" t="s">
        <v>1599</v>
      </c>
      <c r="H1712" s="11" t="s">
        <v>2034</v>
      </c>
      <c r="I1712" s="11" t="s">
        <v>2002</v>
      </c>
      <c r="J1712" s="12">
        <v>2.63</v>
      </c>
    </row>
    <row r="1713" spans="7:10" hidden="1" x14ac:dyDescent="0.3">
      <c r="G1713" s="10" t="s">
        <v>1643</v>
      </c>
      <c r="H1713" s="11" t="s">
        <v>2038</v>
      </c>
      <c r="I1713" s="11" t="s">
        <v>2002</v>
      </c>
      <c r="J1713" s="12">
        <v>2.15</v>
      </c>
    </row>
    <row r="1714" spans="7:10" hidden="1" x14ac:dyDescent="0.3">
      <c r="G1714" s="7" t="s">
        <v>1644</v>
      </c>
      <c r="H1714" s="8" t="s">
        <v>2034</v>
      </c>
      <c r="I1714" s="8" t="s">
        <v>2002</v>
      </c>
      <c r="J1714" s="9">
        <v>2.63</v>
      </c>
    </row>
    <row r="1715" spans="7:10" hidden="1" x14ac:dyDescent="0.3">
      <c r="G1715" s="7" t="s">
        <v>1666</v>
      </c>
      <c r="H1715" s="8" t="s">
        <v>2034</v>
      </c>
      <c r="I1715" s="8" t="s">
        <v>2002</v>
      </c>
      <c r="J1715" s="9">
        <v>1.42</v>
      </c>
    </row>
    <row r="1716" spans="7:10" hidden="1" x14ac:dyDescent="0.3">
      <c r="G1716" s="7" t="s">
        <v>1708</v>
      </c>
      <c r="H1716" s="8" t="s">
        <v>2034</v>
      </c>
      <c r="I1716" s="8" t="s">
        <v>2002</v>
      </c>
      <c r="J1716" s="9">
        <v>1.75</v>
      </c>
    </row>
    <row r="1717" spans="7:10" hidden="1" x14ac:dyDescent="0.3">
      <c r="G1717" s="7" t="s">
        <v>1753</v>
      </c>
      <c r="H1717" s="8" t="s">
        <v>2034</v>
      </c>
      <c r="I1717" s="8" t="s">
        <v>2002</v>
      </c>
      <c r="J1717" s="9">
        <v>4.6399999999999997</v>
      </c>
    </row>
    <row r="1718" spans="7:10" hidden="1" x14ac:dyDescent="0.3">
      <c r="G1718" s="7" t="s">
        <v>1760</v>
      </c>
      <c r="H1718" s="8" t="s">
        <v>2034</v>
      </c>
      <c r="I1718" s="8" t="s">
        <v>2002</v>
      </c>
      <c r="J1718" s="9">
        <v>3.86</v>
      </c>
    </row>
    <row r="1719" spans="7:10" hidden="1" x14ac:dyDescent="0.3">
      <c r="G1719" s="7" t="s">
        <v>1883</v>
      </c>
      <c r="H1719" s="8" t="s">
        <v>2034</v>
      </c>
      <c r="I1719" s="8" t="s">
        <v>2002</v>
      </c>
      <c r="J1719" s="9">
        <v>2.5499999999999998</v>
      </c>
    </row>
    <row r="1720" spans="7:10" hidden="1" x14ac:dyDescent="0.3">
      <c r="G1720" s="7" t="s">
        <v>1901</v>
      </c>
      <c r="H1720" s="8" t="s">
        <v>2034</v>
      </c>
      <c r="I1720" s="8" t="s">
        <v>2002</v>
      </c>
      <c r="J1720" s="9">
        <v>1.83</v>
      </c>
    </row>
    <row r="1721" spans="7:10" hidden="1" x14ac:dyDescent="0.3">
      <c r="G1721" s="7" t="s">
        <v>1911</v>
      </c>
      <c r="H1721" s="8" t="s">
        <v>2037</v>
      </c>
      <c r="I1721" s="8" t="s">
        <v>2002</v>
      </c>
      <c r="J1721" s="9">
        <v>0.56999999999999995</v>
      </c>
    </row>
    <row r="1722" spans="7:10" hidden="1" x14ac:dyDescent="0.3">
      <c r="G1722" s="10" t="s">
        <v>1929</v>
      </c>
      <c r="H1722" s="11" t="s">
        <v>2034</v>
      </c>
      <c r="I1722" s="11" t="s">
        <v>2002</v>
      </c>
      <c r="J1722" s="12">
        <v>3.74</v>
      </c>
    </row>
    <row r="1723" spans="7:10" hidden="1" x14ac:dyDescent="0.3">
      <c r="G1723" s="10" t="s">
        <v>1951</v>
      </c>
      <c r="H1723" s="11" t="s">
        <v>2034</v>
      </c>
      <c r="I1723" s="11" t="s">
        <v>2002</v>
      </c>
      <c r="J1723" s="12">
        <v>1.1599999999999999</v>
      </c>
    </row>
    <row r="1724" spans="7:10" hidden="1" x14ac:dyDescent="0.3">
      <c r="G1724" s="10" t="s">
        <v>125</v>
      </c>
      <c r="H1724" s="11" t="s">
        <v>2038</v>
      </c>
      <c r="I1724" s="11" t="s">
        <v>2029</v>
      </c>
      <c r="J1724" s="12">
        <v>38.75</v>
      </c>
    </row>
    <row r="1725" spans="7:10" hidden="1" x14ac:dyDescent="0.3">
      <c r="G1725" s="10" t="s">
        <v>185</v>
      </c>
      <c r="H1725" s="11" t="s">
        <v>2038</v>
      </c>
      <c r="I1725" s="11" t="s">
        <v>2029</v>
      </c>
      <c r="J1725" s="12">
        <v>32.9</v>
      </c>
    </row>
    <row r="1726" spans="7:10" hidden="1" x14ac:dyDescent="0.3">
      <c r="G1726" s="10" t="s">
        <v>267</v>
      </c>
      <c r="H1726" s="11" t="s">
        <v>2038</v>
      </c>
      <c r="I1726" s="11" t="s">
        <v>2029</v>
      </c>
      <c r="J1726" s="12">
        <v>19.12</v>
      </c>
    </row>
    <row r="1727" spans="7:10" hidden="1" x14ac:dyDescent="0.3">
      <c r="G1727" s="10" t="s">
        <v>330</v>
      </c>
      <c r="H1727" s="11" t="s">
        <v>2038</v>
      </c>
      <c r="I1727" s="11" t="s">
        <v>2029</v>
      </c>
      <c r="J1727" s="12">
        <v>18.54</v>
      </c>
    </row>
    <row r="1728" spans="7:10" hidden="1" x14ac:dyDescent="0.3">
      <c r="G1728" s="7" t="s">
        <v>435</v>
      </c>
      <c r="H1728" s="8" t="s">
        <v>2035</v>
      </c>
      <c r="I1728" s="8" t="s">
        <v>2029</v>
      </c>
      <c r="J1728" s="9">
        <v>19.79</v>
      </c>
    </row>
    <row r="1729" spans="7:10" hidden="1" x14ac:dyDescent="0.3">
      <c r="G1729" s="7" t="s">
        <v>483</v>
      </c>
      <c r="H1729" s="8" t="s">
        <v>2038</v>
      </c>
      <c r="I1729" s="8" t="s">
        <v>2029</v>
      </c>
      <c r="J1729" s="9">
        <v>28.4</v>
      </c>
    </row>
    <row r="1730" spans="7:10" hidden="1" x14ac:dyDescent="0.3">
      <c r="G1730" s="10" t="s">
        <v>673</v>
      </c>
      <c r="H1730" s="11" t="s">
        <v>2038</v>
      </c>
      <c r="I1730" s="11" t="s">
        <v>2029</v>
      </c>
      <c r="J1730" s="12">
        <v>31.17</v>
      </c>
    </row>
    <row r="1731" spans="7:10" hidden="1" x14ac:dyDescent="0.3">
      <c r="G1731" s="7" t="s">
        <v>838</v>
      </c>
      <c r="H1731" s="8" t="s">
        <v>2043</v>
      </c>
      <c r="I1731" s="8" t="s">
        <v>2029</v>
      </c>
      <c r="J1731" s="9">
        <v>17.05</v>
      </c>
    </row>
    <row r="1732" spans="7:10" hidden="1" x14ac:dyDescent="0.3">
      <c r="G1732" s="7" t="s">
        <v>989</v>
      </c>
      <c r="H1732" s="8" t="s">
        <v>2039</v>
      </c>
      <c r="I1732" s="8" t="s">
        <v>2029</v>
      </c>
      <c r="J1732" s="9">
        <v>32.369999999999997</v>
      </c>
    </row>
    <row r="1733" spans="7:10" hidden="1" x14ac:dyDescent="0.3">
      <c r="G1733" s="10" t="s">
        <v>994</v>
      </c>
      <c r="H1733" s="11" t="s">
        <v>2038</v>
      </c>
      <c r="I1733" s="11" t="s">
        <v>2029</v>
      </c>
      <c r="J1733" s="12">
        <v>43.63</v>
      </c>
    </row>
    <row r="1734" spans="7:10" hidden="1" x14ac:dyDescent="0.3">
      <c r="G1734" s="7" t="s">
        <v>1063</v>
      </c>
      <c r="H1734" s="8" t="s">
        <v>2043</v>
      </c>
      <c r="I1734" s="8" t="s">
        <v>2029</v>
      </c>
      <c r="J1734" s="9">
        <v>15.4</v>
      </c>
    </row>
    <row r="1735" spans="7:10" hidden="1" x14ac:dyDescent="0.3">
      <c r="G1735" s="10" t="s">
        <v>1293</v>
      </c>
      <c r="H1735" s="11" t="s">
        <v>2052</v>
      </c>
      <c r="I1735" s="11" t="s">
        <v>2029</v>
      </c>
      <c r="J1735" s="12">
        <v>6.07</v>
      </c>
    </row>
    <row r="1736" spans="7:10" hidden="1" x14ac:dyDescent="0.3">
      <c r="G1736" s="7" t="s">
        <v>1347</v>
      </c>
      <c r="H1736" s="8" t="s">
        <v>2038</v>
      </c>
      <c r="I1736" s="8" t="s">
        <v>2029</v>
      </c>
      <c r="J1736" s="9">
        <v>14.72</v>
      </c>
    </row>
    <row r="1737" spans="7:10" hidden="1" x14ac:dyDescent="0.3">
      <c r="G1737" s="7" t="s">
        <v>1462</v>
      </c>
      <c r="H1737" s="8" t="s">
        <v>2035</v>
      </c>
      <c r="I1737" s="8" t="s">
        <v>2029</v>
      </c>
      <c r="J1737" s="9">
        <v>7.91</v>
      </c>
    </row>
    <row r="1738" spans="7:10" hidden="1" x14ac:dyDescent="0.3">
      <c r="G1738" s="10" t="s">
        <v>1473</v>
      </c>
      <c r="H1738" s="11" t="s">
        <v>2043</v>
      </c>
      <c r="I1738" s="11" t="s">
        <v>2029</v>
      </c>
      <c r="J1738" s="12">
        <v>6.59</v>
      </c>
    </row>
    <row r="1739" spans="7:10" hidden="1" x14ac:dyDescent="0.3">
      <c r="G1739" s="7" t="s">
        <v>1478</v>
      </c>
      <c r="H1739" s="8" t="s">
        <v>2038</v>
      </c>
      <c r="I1739" s="8" t="s">
        <v>2029</v>
      </c>
      <c r="J1739" s="9">
        <v>14.21</v>
      </c>
    </row>
    <row r="1740" spans="7:10" hidden="1" x14ac:dyDescent="0.3">
      <c r="G1740" s="7" t="s">
        <v>1668</v>
      </c>
      <c r="H1740" s="8" t="s">
        <v>2043</v>
      </c>
      <c r="I1740" s="8" t="s">
        <v>2029</v>
      </c>
      <c r="J1740" s="9">
        <v>11.41</v>
      </c>
    </row>
    <row r="1741" spans="7:10" hidden="1" x14ac:dyDescent="0.3">
      <c r="G1741" s="7" t="s">
        <v>1678</v>
      </c>
      <c r="H1741" s="8" t="s">
        <v>2038</v>
      </c>
      <c r="I1741" s="8" t="s">
        <v>2029</v>
      </c>
      <c r="J1741" s="9">
        <v>8.27</v>
      </c>
    </row>
    <row r="1742" spans="7:10" hidden="1" x14ac:dyDescent="0.3">
      <c r="G1742" s="7" t="s">
        <v>1710</v>
      </c>
      <c r="H1742" s="8" t="s">
        <v>2043</v>
      </c>
      <c r="I1742" s="8" t="s">
        <v>2029</v>
      </c>
      <c r="J1742" s="9">
        <v>5.4</v>
      </c>
    </row>
    <row r="1743" spans="7:10" hidden="1" x14ac:dyDescent="0.3">
      <c r="G1743" s="10" t="s">
        <v>1729</v>
      </c>
      <c r="H1743" s="11" t="s">
        <v>2038</v>
      </c>
      <c r="I1743" s="11" t="s">
        <v>2029</v>
      </c>
      <c r="J1743" s="12">
        <v>9.61</v>
      </c>
    </row>
    <row r="1744" spans="7:10" hidden="1" x14ac:dyDescent="0.3">
      <c r="G1744" s="7" t="s">
        <v>1738</v>
      </c>
      <c r="H1744" s="8" t="s">
        <v>2038</v>
      </c>
      <c r="I1744" s="8" t="s">
        <v>2029</v>
      </c>
      <c r="J1744" s="9">
        <v>9.41</v>
      </c>
    </row>
    <row r="1745" spans="7:10" hidden="1" x14ac:dyDescent="0.3">
      <c r="G1745" s="7" t="s">
        <v>1762</v>
      </c>
      <c r="H1745" s="8" t="s">
        <v>2038</v>
      </c>
      <c r="I1745" s="8" t="s">
        <v>2029</v>
      </c>
      <c r="J1745" s="9">
        <v>8.7100000000000009</v>
      </c>
    </row>
    <row r="1746" spans="7:10" hidden="1" x14ac:dyDescent="0.3">
      <c r="G1746" s="7" t="s">
        <v>1822</v>
      </c>
      <c r="H1746" s="8" t="s">
        <v>2045</v>
      </c>
      <c r="I1746" s="8" t="s">
        <v>2029</v>
      </c>
      <c r="J1746" s="9">
        <v>7.8</v>
      </c>
    </row>
    <row r="1747" spans="7:10" hidden="1" x14ac:dyDescent="0.3">
      <c r="G1747" s="10" t="s">
        <v>1848</v>
      </c>
      <c r="H1747" s="11" t="s">
        <v>2036</v>
      </c>
      <c r="I1747" s="11" t="s">
        <v>2029</v>
      </c>
      <c r="J1747" s="12">
        <v>7.36</v>
      </c>
    </row>
    <row r="1748" spans="7:10" hidden="1" x14ac:dyDescent="0.3">
      <c r="G1748" s="10" t="s">
        <v>1941</v>
      </c>
      <c r="H1748" s="11" t="s">
        <v>2050</v>
      </c>
      <c r="I1748" s="11" t="s">
        <v>2029</v>
      </c>
      <c r="J1748" s="12">
        <v>4.53</v>
      </c>
    </row>
    <row r="1749" spans="7:10" hidden="1" x14ac:dyDescent="0.3">
      <c r="G1749" s="7" t="s">
        <v>1957</v>
      </c>
      <c r="H1749" s="8" t="s">
        <v>2038</v>
      </c>
      <c r="I1749" s="8" t="s">
        <v>2029</v>
      </c>
      <c r="J1749" s="9">
        <v>5.93</v>
      </c>
    </row>
    <row r="1750" spans="7:10" hidden="1" x14ac:dyDescent="0.3">
      <c r="G1750" s="10" t="s">
        <v>1958</v>
      </c>
      <c r="H1750" s="11" t="s">
        <v>2038</v>
      </c>
      <c r="I1750" s="11" t="s">
        <v>2029</v>
      </c>
      <c r="J1750" s="12">
        <v>5.93</v>
      </c>
    </row>
    <row r="1751" spans="7:10" hidden="1" x14ac:dyDescent="0.3">
      <c r="G1751" s="7" t="s">
        <v>34</v>
      </c>
      <c r="H1751" s="8" t="s">
        <v>2034</v>
      </c>
      <c r="I1751" s="8" t="s">
        <v>1999</v>
      </c>
      <c r="J1751" s="9">
        <v>51.3</v>
      </c>
    </row>
    <row r="1752" spans="7:10" hidden="1" x14ac:dyDescent="0.3">
      <c r="G1752" s="7" t="s">
        <v>56</v>
      </c>
      <c r="H1752" s="8" t="s">
        <v>2034</v>
      </c>
      <c r="I1752" s="8" t="s">
        <v>1999</v>
      </c>
      <c r="J1752" s="9">
        <v>50.51</v>
      </c>
    </row>
    <row r="1753" spans="7:10" hidden="1" x14ac:dyDescent="0.3">
      <c r="G1753" s="7" t="s">
        <v>58</v>
      </c>
      <c r="H1753" s="8" t="s">
        <v>2039</v>
      </c>
      <c r="I1753" s="8" t="s">
        <v>1999</v>
      </c>
      <c r="J1753" s="9">
        <v>32.28</v>
      </c>
    </row>
    <row r="1754" spans="7:10" hidden="1" x14ac:dyDescent="0.3">
      <c r="G1754" s="10" t="s">
        <v>81</v>
      </c>
      <c r="H1754" s="11" t="s">
        <v>2035</v>
      </c>
      <c r="I1754" s="11" t="s">
        <v>1999</v>
      </c>
      <c r="J1754" s="12">
        <v>37.22</v>
      </c>
    </row>
    <row r="1755" spans="7:10" hidden="1" x14ac:dyDescent="0.3">
      <c r="G1755" s="7" t="s">
        <v>82</v>
      </c>
      <c r="H1755" s="8" t="s">
        <v>2037</v>
      </c>
      <c r="I1755" s="8" t="s">
        <v>1999</v>
      </c>
      <c r="J1755" s="9">
        <v>30.58</v>
      </c>
    </row>
    <row r="1756" spans="7:10" hidden="1" x14ac:dyDescent="0.3">
      <c r="G1756" s="7" t="s">
        <v>96</v>
      </c>
      <c r="H1756" s="8" t="s">
        <v>2037</v>
      </c>
      <c r="I1756" s="8" t="s">
        <v>1999</v>
      </c>
      <c r="J1756" s="9">
        <v>26.96</v>
      </c>
    </row>
    <row r="1757" spans="7:10" hidden="1" x14ac:dyDescent="0.3">
      <c r="G1757" s="7" t="s">
        <v>122</v>
      </c>
      <c r="H1757" s="8" t="s">
        <v>2034</v>
      </c>
      <c r="I1757" s="8" t="s">
        <v>1999</v>
      </c>
      <c r="J1757" s="9">
        <v>22.01</v>
      </c>
    </row>
    <row r="1758" spans="7:10" hidden="1" x14ac:dyDescent="0.3">
      <c r="G1758" s="10" t="s">
        <v>152</v>
      </c>
      <c r="H1758" s="11" t="s">
        <v>2034</v>
      </c>
      <c r="I1758" s="11" t="s">
        <v>1999</v>
      </c>
      <c r="J1758" s="12">
        <v>18.760000000000002</v>
      </c>
    </row>
    <row r="1759" spans="7:10" hidden="1" x14ac:dyDescent="0.3">
      <c r="G1759" s="10" t="s">
        <v>158</v>
      </c>
      <c r="H1759" s="11" t="s">
        <v>2034</v>
      </c>
      <c r="I1759" s="11" t="s">
        <v>1999</v>
      </c>
      <c r="J1759" s="12">
        <v>22.34</v>
      </c>
    </row>
    <row r="1760" spans="7:10" hidden="1" x14ac:dyDescent="0.3">
      <c r="G1760" s="7" t="s">
        <v>164</v>
      </c>
      <c r="H1760" s="8" t="s">
        <v>2035</v>
      </c>
      <c r="I1760" s="8" t="s">
        <v>1999</v>
      </c>
      <c r="J1760" s="9">
        <v>22.69</v>
      </c>
    </row>
    <row r="1761" spans="7:10" hidden="1" x14ac:dyDescent="0.3">
      <c r="G1761" s="10" t="s">
        <v>189</v>
      </c>
      <c r="H1761" s="11" t="s">
        <v>2034</v>
      </c>
      <c r="I1761" s="11" t="s">
        <v>1999</v>
      </c>
      <c r="J1761" s="12">
        <v>19.21</v>
      </c>
    </row>
    <row r="1762" spans="7:10" hidden="1" x14ac:dyDescent="0.3">
      <c r="G1762" s="7" t="s">
        <v>190</v>
      </c>
      <c r="H1762" s="8" t="s">
        <v>2034</v>
      </c>
      <c r="I1762" s="8" t="s">
        <v>1999</v>
      </c>
      <c r="J1762" s="9">
        <v>12.43</v>
      </c>
    </row>
    <row r="1763" spans="7:10" hidden="1" x14ac:dyDescent="0.3">
      <c r="G1763" s="7" t="s">
        <v>212</v>
      </c>
      <c r="H1763" s="8" t="s">
        <v>2034</v>
      </c>
      <c r="I1763" s="8" t="s">
        <v>1999</v>
      </c>
      <c r="J1763" s="9">
        <v>14.65</v>
      </c>
    </row>
    <row r="1764" spans="7:10" hidden="1" x14ac:dyDescent="0.3">
      <c r="G1764" s="10" t="s">
        <v>249</v>
      </c>
      <c r="H1764" s="11" t="s">
        <v>2038</v>
      </c>
      <c r="I1764" s="11" t="s">
        <v>1999</v>
      </c>
      <c r="J1764" s="12">
        <v>10.48</v>
      </c>
    </row>
    <row r="1765" spans="7:10" hidden="1" x14ac:dyDescent="0.3">
      <c r="G1765" s="7" t="s">
        <v>585</v>
      </c>
      <c r="H1765" s="8" t="s">
        <v>2034</v>
      </c>
      <c r="I1765" s="8" t="s">
        <v>1999</v>
      </c>
      <c r="J1765" s="9">
        <v>9.51</v>
      </c>
    </row>
    <row r="1766" spans="7:10" hidden="1" x14ac:dyDescent="0.3">
      <c r="G1766" s="10" t="s">
        <v>590</v>
      </c>
      <c r="H1766" s="11" t="s">
        <v>2041</v>
      </c>
      <c r="I1766" s="11" t="s">
        <v>1999</v>
      </c>
      <c r="J1766" s="12">
        <v>6.94</v>
      </c>
    </row>
    <row r="1767" spans="7:10" hidden="1" x14ac:dyDescent="0.3">
      <c r="G1767" s="10" t="s">
        <v>668</v>
      </c>
      <c r="H1767" s="11" t="s">
        <v>2054</v>
      </c>
      <c r="I1767" s="11" t="s">
        <v>1999</v>
      </c>
      <c r="J1767" s="12">
        <v>5.35</v>
      </c>
    </row>
    <row r="1768" spans="7:10" hidden="1" x14ac:dyDescent="0.3">
      <c r="G1768" s="10" t="s">
        <v>694</v>
      </c>
      <c r="H1768" s="11" t="s">
        <v>2041</v>
      </c>
      <c r="I1768" s="11" t="s">
        <v>1999</v>
      </c>
      <c r="J1768" s="12">
        <v>6.27</v>
      </c>
    </row>
    <row r="1769" spans="7:10" hidden="1" x14ac:dyDescent="0.3">
      <c r="G1769" s="10" t="s">
        <v>710</v>
      </c>
      <c r="H1769" s="11" t="s">
        <v>2076</v>
      </c>
      <c r="I1769" s="11" t="s">
        <v>1999</v>
      </c>
      <c r="J1769" s="12">
        <v>4.9800000000000004</v>
      </c>
    </row>
    <row r="1770" spans="7:10" hidden="1" x14ac:dyDescent="0.3">
      <c r="G1770" s="7" t="s">
        <v>733</v>
      </c>
      <c r="H1770" s="8" t="s">
        <v>2038</v>
      </c>
      <c r="I1770" s="8" t="s">
        <v>1999</v>
      </c>
      <c r="J1770" s="9">
        <v>5.48</v>
      </c>
    </row>
    <row r="1771" spans="7:10" hidden="1" x14ac:dyDescent="0.3">
      <c r="G1771" s="10" t="s">
        <v>822</v>
      </c>
      <c r="H1771" s="11" t="s">
        <v>2038</v>
      </c>
      <c r="I1771" s="11" t="s">
        <v>1999</v>
      </c>
      <c r="J1771" s="12">
        <v>4.17</v>
      </c>
    </row>
    <row r="1772" spans="7:10" hidden="1" x14ac:dyDescent="0.3">
      <c r="G1772" s="10" t="s">
        <v>830</v>
      </c>
      <c r="H1772" s="11" t="s">
        <v>2038</v>
      </c>
      <c r="I1772" s="11" t="s">
        <v>1999</v>
      </c>
      <c r="J1772" s="12">
        <v>4.97</v>
      </c>
    </row>
    <row r="1773" spans="7:10" hidden="1" x14ac:dyDescent="0.3">
      <c r="G1773" s="7" t="s">
        <v>952</v>
      </c>
      <c r="H1773" s="8" t="s">
        <v>2034</v>
      </c>
      <c r="I1773" s="8" t="s">
        <v>1999</v>
      </c>
      <c r="J1773" s="9">
        <v>2.73</v>
      </c>
    </row>
    <row r="1774" spans="7:10" hidden="1" x14ac:dyDescent="0.3">
      <c r="G1774" s="7" t="s">
        <v>960</v>
      </c>
      <c r="H1774" s="8" t="s">
        <v>2050</v>
      </c>
      <c r="I1774" s="8" t="s">
        <v>1999</v>
      </c>
      <c r="J1774" s="9">
        <v>4.16</v>
      </c>
    </row>
    <row r="1775" spans="7:10" hidden="1" x14ac:dyDescent="0.3">
      <c r="G1775" s="7" t="s">
        <v>1005</v>
      </c>
      <c r="H1775" s="8" t="s">
        <v>2034</v>
      </c>
      <c r="I1775" s="8" t="s">
        <v>1999</v>
      </c>
      <c r="J1775" s="9">
        <v>2.0299999999999998</v>
      </c>
    </row>
    <row r="1776" spans="7:10" hidden="1" x14ac:dyDescent="0.3">
      <c r="G1776" s="10" t="s">
        <v>1030</v>
      </c>
      <c r="H1776" s="11" t="s">
        <v>2034</v>
      </c>
      <c r="I1776" s="11" t="s">
        <v>1999</v>
      </c>
      <c r="J1776" s="12">
        <v>2.86</v>
      </c>
    </row>
    <row r="1777" spans="7:10" hidden="1" x14ac:dyDescent="0.3">
      <c r="G1777" s="10" t="s">
        <v>1101</v>
      </c>
      <c r="H1777" s="11" t="s">
        <v>2041</v>
      </c>
      <c r="I1777" s="11" t="s">
        <v>1999</v>
      </c>
      <c r="J1777" s="12">
        <v>4.0199999999999996</v>
      </c>
    </row>
    <row r="1778" spans="7:10" hidden="1" x14ac:dyDescent="0.3">
      <c r="G1778" s="7" t="s">
        <v>1232</v>
      </c>
      <c r="H1778" s="8" t="s">
        <v>2034</v>
      </c>
      <c r="I1778" s="8" t="s">
        <v>1999</v>
      </c>
      <c r="J1778" s="9">
        <v>2.3199999999999998</v>
      </c>
    </row>
    <row r="1779" spans="7:10" hidden="1" x14ac:dyDescent="0.3">
      <c r="G1779" s="7" t="s">
        <v>1239</v>
      </c>
      <c r="H1779" s="8" t="s">
        <v>2034</v>
      </c>
      <c r="I1779" s="8" t="s">
        <v>1999</v>
      </c>
      <c r="J1779" s="9">
        <v>2.42</v>
      </c>
    </row>
    <row r="1780" spans="7:10" hidden="1" x14ac:dyDescent="0.3">
      <c r="G1780" s="10" t="s">
        <v>1281</v>
      </c>
      <c r="H1780" s="11" t="s">
        <v>2038</v>
      </c>
      <c r="I1780" s="11" t="s">
        <v>1999</v>
      </c>
      <c r="J1780" s="12">
        <v>2.61</v>
      </c>
    </row>
    <row r="1781" spans="7:10" hidden="1" x14ac:dyDescent="0.3">
      <c r="G1781" s="10" t="s">
        <v>1415</v>
      </c>
      <c r="H1781" s="11" t="s">
        <v>1975</v>
      </c>
      <c r="I1781" s="11" t="s">
        <v>1999</v>
      </c>
      <c r="J1781" s="12">
        <v>2.09</v>
      </c>
    </row>
    <row r="1782" spans="7:10" hidden="1" x14ac:dyDescent="0.3">
      <c r="G1782" s="7" t="s">
        <v>1552</v>
      </c>
      <c r="H1782" s="8" t="s">
        <v>2034</v>
      </c>
      <c r="I1782" s="8" t="s">
        <v>1999</v>
      </c>
      <c r="J1782" s="9">
        <v>1.18</v>
      </c>
    </row>
    <row r="1783" spans="7:10" hidden="1" x14ac:dyDescent="0.3">
      <c r="G1783" s="10" t="s">
        <v>1557</v>
      </c>
      <c r="H1783" s="11" t="s">
        <v>2038</v>
      </c>
      <c r="I1783" s="11" t="s">
        <v>1999</v>
      </c>
      <c r="J1783" s="12">
        <v>1.36</v>
      </c>
    </row>
    <row r="1784" spans="7:10" hidden="1" x14ac:dyDescent="0.3">
      <c r="G1784" s="7" t="s">
        <v>1590</v>
      </c>
      <c r="H1784" s="8" t="s">
        <v>2034</v>
      </c>
      <c r="I1784" s="8" t="s">
        <v>1999</v>
      </c>
      <c r="J1784" s="9">
        <v>1.92</v>
      </c>
    </row>
    <row r="1785" spans="7:10" hidden="1" x14ac:dyDescent="0.3">
      <c r="G1785" s="7" t="s">
        <v>1688</v>
      </c>
      <c r="H1785" s="8" t="s">
        <v>2054</v>
      </c>
      <c r="I1785" s="8" t="s">
        <v>1999</v>
      </c>
      <c r="J1785" s="9">
        <v>1.78</v>
      </c>
    </row>
    <row r="1786" spans="7:10" hidden="1" x14ac:dyDescent="0.3">
      <c r="G1786" s="7" t="s">
        <v>1698</v>
      </c>
      <c r="H1786" s="8" t="s">
        <v>2054</v>
      </c>
      <c r="I1786" s="8" t="s">
        <v>1999</v>
      </c>
      <c r="J1786" s="9">
        <v>0.72</v>
      </c>
    </row>
    <row r="1787" spans="7:10" hidden="1" x14ac:dyDescent="0.3">
      <c r="G1787" s="10" t="s">
        <v>1715</v>
      </c>
      <c r="H1787" s="11" t="s">
        <v>2034</v>
      </c>
      <c r="I1787" s="11" t="s">
        <v>1999</v>
      </c>
      <c r="J1787" s="12">
        <v>0.54</v>
      </c>
    </row>
    <row r="1788" spans="7:10" hidden="1" x14ac:dyDescent="0.3">
      <c r="G1788" s="10" t="s">
        <v>1779</v>
      </c>
      <c r="H1788" s="11" t="s">
        <v>2037</v>
      </c>
      <c r="I1788" s="11" t="s">
        <v>1999</v>
      </c>
      <c r="J1788" s="12">
        <v>2.2200000000000002</v>
      </c>
    </row>
    <row r="1789" spans="7:10" hidden="1" x14ac:dyDescent="0.3">
      <c r="G1789" s="7" t="s">
        <v>1887</v>
      </c>
      <c r="H1789" s="8" t="s">
        <v>2034</v>
      </c>
      <c r="I1789" s="8" t="s">
        <v>1999</v>
      </c>
      <c r="J1789" s="9">
        <v>1.24</v>
      </c>
    </row>
    <row r="1790" spans="7:10" hidden="1" x14ac:dyDescent="0.3">
      <c r="G1790" s="7" t="s">
        <v>1963</v>
      </c>
      <c r="H1790" s="8" t="s">
        <v>2035</v>
      </c>
      <c r="I1790" s="8" t="s">
        <v>1999</v>
      </c>
      <c r="J1790" s="9">
        <v>1.52</v>
      </c>
    </row>
    <row r="1791" spans="7:10" hidden="1" x14ac:dyDescent="0.3">
      <c r="G1791" s="10" t="s">
        <v>9</v>
      </c>
      <c r="H1791" s="11" t="s">
        <v>2037</v>
      </c>
      <c r="I1791" s="11" t="s">
        <v>1998</v>
      </c>
      <c r="J1791" s="12">
        <v>78.25</v>
      </c>
    </row>
    <row r="1792" spans="7:10" hidden="1" x14ac:dyDescent="0.3">
      <c r="G1792" s="7" t="s">
        <v>10</v>
      </c>
      <c r="H1792" s="8" t="s">
        <v>2036</v>
      </c>
      <c r="I1792" s="8" t="s">
        <v>1998</v>
      </c>
      <c r="J1792" s="9">
        <v>137.11000000000001</v>
      </c>
    </row>
    <row r="1793" spans="7:10" hidden="1" x14ac:dyDescent="0.3">
      <c r="G1793" s="10" t="s">
        <v>17</v>
      </c>
      <c r="H1793" s="11" t="s">
        <v>2034</v>
      </c>
      <c r="I1793" s="11" t="s">
        <v>1998</v>
      </c>
      <c r="J1793" s="12">
        <v>76.33</v>
      </c>
    </row>
    <row r="1794" spans="7:10" hidden="1" x14ac:dyDescent="0.3">
      <c r="G1794" s="10" t="s">
        <v>29</v>
      </c>
      <c r="H1794" s="11" t="s">
        <v>2037</v>
      </c>
      <c r="I1794" s="11" t="s">
        <v>1998</v>
      </c>
      <c r="J1794" s="12">
        <v>68.31</v>
      </c>
    </row>
    <row r="1795" spans="7:10" hidden="1" x14ac:dyDescent="0.3">
      <c r="G1795" s="10" t="s">
        <v>33</v>
      </c>
      <c r="H1795" s="11" t="s">
        <v>2034</v>
      </c>
      <c r="I1795" s="11" t="s">
        <v>1998</v>
      </c>
      <c r="J1795" s="12">
        <v>52.08</v>
      </c>
    </row>
    <row r="1796" spans="7:10" hidden="1" x14ac:dyDescent="0.3">
      <c r="G1796" s="10" t="s">
        <v>35</v>
      </c>
      <c r="H1796" s="11" t="s">
        <v>2034</v>
      </c>
      <c r="I1796" s="11" t="s">
        <v>1998</v>
      </c>
      <c r="J1796" s="12">
        <v>47.78</v>
      </c>
    </row>
    <row r="1797" spans="7:10" hidden="1" x14ac:dyDescent="0.3">
      <c r="G1797" s="7" t="s">
        <v>36</v>
      </c>
      <c r="H1797" s="8" t="s">
        <v>2034</v>
      </c>
      <c r="I1797" s="8" t="s">
        <v>1998</v>
      </c>
      <c r="J1797" s="9">
        <v>52.46</v>
      </c>
    </row>
    <row r="1798" spans="7:10" hidden="1" x14ac:dyDescent="0.3">
      <c r="G1798" s="10" t="s">
        <v>37</v>
      </c>
      <c r="H1798" s="11" t="s">
        <v>2036</v>
      </c>
      <c r="I1798" s="11" t="s">
        <v>1998</v>
      </c>
      <c r="J1798" s="12">
        <v>81.48</v>
      </c>
    </row>
    <row r="1799" spans="7:10" hidden="1" x14ac:dyDescent="0.3">
      <c r="G1799" s="10" t="s">
        <v>41</v>
      </c>
      <c r="H1799" s="11" t="s">
        <v>2034</v>
      </c>
      <c r="I1799" s="11" t="s">
        <v>1998</v>
      </c>
      <c r="J1799" s="12">
        <v>43.39</v>
      </c>
    </row>
    <row r="1800" spans="7:10" hidden="1" x14ac:dyDescent="0.3">
      <c r="G1800" s="10" t="s">
        <v>55</v>
      </c>
      <c r="H1800" s="11" t="s">
        <v>2041</v>
      </c>
      <c r="I1800" s="11" t="s">
        <v>1998</v>
      </c>
      <c r="J1800" s="12">
        <v>29.82</v>
      </c>
    </row>
    <row r="1801" spans="7:10" hidden="1" x14ac:dyDescent="0.3">
      <c r="G1801" s="7" t="s">
        <v>74</v>
      </c>
      <c r="H1801" s="8" t="s">
        <v>2034</v>
      </c>
      <c r="I1801" s="8" t="s">
        <v>1998</v>
      </c>
      <c r="J1801" s="9">
        <v>32.42</v>
      </c>
    </row>
    <row r="1802" spans="7:10" hidden="1" x14ac:dyDescent="0.3">
      <c r="G1802" s="10" t="s">
        <v>87</v>
      </c>
      <c r="H1802" s="11" t="s">
        <v>2034</v>
      </c>
      <c r="I1802" s="11" t="s">
        <v>1998</v>
      </c>
      <c r="J1802" s="12">
        <v>24.27</v>
      </c>
    </row>
    <row r="1803" spans="7:10" hidden="1" x14ac:dyDescent="0.3">
      <c r="G1803" s="7" t="s">
        <v>160</v>
      </c>
      <c r="H1803" s="8" t="s">
        <v>2034</v>
      </c>
      <c r="I1803" s="8" t="s">
        <v>1998</v>
      </c>
      <c r="J1803" s="9">
        <v>18.54</v>
      </c>
    </row>
    <row r="1804" spans="7:10" hidden="1" x14ac:dyDescent="0.3">
      <c r="G1804" s="7" t="s">
        <v>182</v>
      </c>
      <c r="H1804" s="8" t="s">
        <v>2035</v>
      </c>
      <c r="I1804" s="8" t="s">
        <v>1998</v>
      </c>
      <c r="J1804" s="9">
        <v>24.97</v>
      </c>
    </row>
    <row r="1805" spans="7:10" hidden="1" x14ac:dyDescent="0.3">
      <c r="G1805" s="10" t="s">
        <v>197</v>
      </c>
      <c r="H1805" s="11" t="s">
        <v>2034</v>
      </c>
      <c r="I1805" s="11" t="s">
        <v>1998</v>
      </c>
      <c r="J1805" s="12">
        <v>31.02</v>
      </c>
    </row>
    <row r="1806" spans="7:10" hidden="1" x14ac:dyDescent="0.3">
      <c r="G1806" s="7" t="s">
        <v>200</v>
      </c>
      <c r="H1806" s="8" t="s">
        <v>2034</v>
      </c>
      <c r="I1806" s="8" t="s">
        <v>1998</v>
      </c>
      <c r="J1806" s="9">
        <v>12.08</v>
      </c>
    </row>
    <row r="1807" spans="7:10" hidden="1" x14ac:dyDescent="0.3">
      <c r="G1807" s="10" t="s">
        <v>223</v>
      </c>
      <c r="H1807" s="11" t="s">
        <v>2038</v>
      </c>
      <c r="I1807" s="11" t="s">
        <v>1998</v>
      </c>
      <c r="J1807" s="12">
        <v>10.02</v>
      </c>
    </row>
    <row r="1808" spans="7:10" hidden="1" x14ac:dyDescent="0.3">
      <c r="G1808" s="7" t="s">
        <v>236</v>
      </c>
      <c r="H1808" s="8" t="s">
        <v>2034</v>
      </c>
      <c r="I1808" s="8" t="s">
        <v>1998</v>
      </c>
      <c r="J1808" s="9">
        <v>11.55</v>
      </c>
    </row>
    <row r="1809" spans="7:10" hidden="1" x14ac:dyDescent="0.3">
      <c r="G1809" s="10" t="s">
        <v>291</v>
      </c>
      <c r="H1809" s="11" t="s">
        <v>2047</v>
      </c>
      <c r="I1809" s="11" t="s">
        <v>1998</v>
      </c>
      <c r="J1809" s="12">
        <v>20.27</v>
      </c>
    </row>
    <row r="1810" spans="7:10" hidden="1" x14ac:dyDescent="0.3">
      <c r="G1810" s="10" t="s">
        <v>298</v>
      </c>
      <c r="H1810" s="11" t="s">
        <v>2034</v>
      </c>
      <c r="I1810" s="11" t="s">
        <v>1998</v>
      </c>
      <c r="J1810" s="12">
        <v>6.52</v>
      </c>
    </row>
    <row r="1811" spans="7:10" hidden="1" x14ac:dyDescent="0.3">
      <c r="G1811" s="7" t="s">
        <v>337</v>
      </c>
      <c r="H1811" s="8" t="s">
        <v>2034</v>
      </c>
      <c r="I1811" s="8" t="s">
        <v>1998</v>
      </c>
      <c r="J1811" s="9">
        <v>9.01</v>
      </c>
    </row>
    <row r="1812" spans="7:10" hidden="1" x14ac:dyDescent="0.3">
      <c r="G1812" s="10" t="s">
        <v>342</v>
      </c>
      <c r="H1812" s="11" t="s">
        <v>2038</v>
      </c>
      <c r="I1812" s="11" t="s">
        <v>1998</v>
      </c>
      <c r="J1812" s="12">
        <v>7.49</v>
      </c>
    </row>
    <row r="1813" spans="7:10" hidden="1" x14ac:dyDescent="0.3">
      <c r="G1813" s="7" t="s">
        <v>400</v>
      </c>
      <c r="H1813" s="8" t="s">
        <v>2047</v>
      </c>
      <c r="I1813" s="8" t="s">
        <v>1998</v>
      </c>
      <c r="J1813" s="9">
        <v>5.99</v>
      </c>
    </row>
    <row r="1814" spans="7:10" hidden="1" x14ac:dyDescent="0.3">
      <c r="G1814" s="10" t="s">
        <v>405</v>
      </c>
      <c r="H1814" s="11" t="s">
        <v>2057</v>
      </c>
      <c r="I1814" s="11" t="s">
        <v>1998</v>
      </c>
      <c r="J1814" s="12">
        <v>5.87</v>
      </c>
    </row>
    <row r="1815" spans="7:10" hidden="1" x14ac:dyDescent="0.3">
      <c r="G1815" s="10" t="s">
        <v>436</v>
      </c>
      <c r="H1815" s="11" t="s">
        <v>2034</v>
      </c>
      <c r="I1815" s="11" t="s">
        <v>1998</v>
      </c>
      <c r="J1815" s="12">
        <v>7.48</v>
      </c>
    </row>
    <row r="1816" spans="7:10" hidden="1" x14ac:dyDescent="0.3">
      <c r="G1816" s="7" t="s">
        <v>443</v>
      </c>
      <c r="H1816" s="8" t="s">
        <v>2034</v>
      </c>
      <c r="I1816" s="8" t="s">
        <v>1998</v>
      </c>
      <c r="J1816" s="9">
        <v>5.65</v>
      </c>
    </row>
    <row r="1817" spans="7:10" hidden="1" x14ac:dyDescent="0.3">
      <c r="G1817" s="10" t="s">
        <v>458</v>
      </c>
      <c r="H1817" s="11" t="s">
        <v>2034</v>
      </c>
      <c r="I1817" s="11" t="s">
        <v>1998</v>
      </c>
      <c r="J1817" s="12">
        <v>4.46</v>
      </c>
    </row>
    <row r="1818" spans="7:10" hidden="1" x14ac:dyDescent="0.3">
      <c r="G1818" s="10" t="s">
        <v>472</v>
      </c>
      <c r="H1818" s="11" t="s">
        <v>2041</v>
      </c>
      <c r="I1818" s="11" t="s">
        <v>1998</v>
      </c>
      <c r="J1818" s="12">
        <v>11.58</v>
      </c>
    </row>
    <row r="1819" spans="7:10" hidden="1" x14ac:dyDescent="0.3">
      <c r="G1819" s="7" t="s">
        <v>491</v>
      </c>
      <c r="H1819" s="8" t="s">
        <v>2038</v>
      </c>
      <c r="I1819" s="8" t="s">
        <v>1998</v>
      </c>
      <c r="J1819" s="9">
        <v>4.8499999999999996</v>
      </c>
    </row>
    <row r="1820" spans="7:10" hidden="1" x14ac:dyDescent="0.3">
      <c r="G1820" s="10" t="s">
        <v>494</v>
      </c>
      <c r="H1820" s="11" t="s">
        <v>2038</v>
      </c>
      <c r="I1820" s="11" t="s">
        <v>1998</v>
      </c>
      <c r="J1820" s="12">
        <v>7.23</v>
      </c>
    </row>
    <row r="1821" spans="7:10" hidden="1" x14ac:dyDescent="0.3">
      <c r="G1821" s="7" t="s">
        <v>509</v>
      </c>
      <c r="H1821" s="8" t="s">
        <v>2034</v>
      </c>
      <c r="I1821" s="8" t="s">
        <v>1998</v>
      </c>
      <c r="J1821" s="9">
        <v>4.3</v>
      </c>
    </row>
    <row r="1822" spans="7:10" hidden="1" x14ac:dyDescent="0.3">
      <c r="G1822" s="7" t="s">
        <v>517</v>
      </c>
      <c r="H1822" s="8" t="s">
        <v>2064</v>
      </c>
      <c r="I1822" s="8" t="s">
        <v>1998</v>
      </c>
      <c r="J1822" s="9">
        <v>8.5500000000000007</v>
      </c>
    </row>
    <row r="1823" spans="7:10" hidden="1" x14ac:dyDescent="0.3">
      <c r="G1823" s="7" t="s">
        <v>534</v>
      </c>
      <c r="H1823" s="8" t="s">
        <v>2038</v>
      </c>
      <c r="I1823" s="8" t="s">
        <v>1998</v>
      </c>
      <c r="J1823" s="9">
        <v>10.37</v>
      </c>
    </row>
    <row r="1824" spans="7:10" hidden="1" x14ac:dyDescent="0.3">
      <c r="G1824" s="10" t="s">
        <v>547</v>
      </c>
      <c r="H1824" s="11" t="s">
        <v>2052</v>
      </c>
      <c r="I1824" s="11" t="s">
        <v>1998</v>
      </c>
      <c r="J1824" s="12">
        <v>2.95</v>
      </c>
    </row>
    <row r="1825" spans="7:10" hidden="1" x14ac:dyDescent="0.3">
      <c r="G1825" s="10" t="s">
        <v>561</v>
      </c>
      <c r="H1825" s="11" t="s">
        <v>2062</v>
      </c>
      <c r="I1825" s="11" t="s">
        <v>1998</v>
      </c>
      <c r="J1825" s="12">
        <v>5.24</v>
      </c>
    </row>
    <row r="1826" spans="7:10" hidden="1" x14ac:dyDescent="0.3">
      <c r="G1826" s="10" t="s">
        <v>588</v>
      </c>
      <c r="H1826" s="11" t="s">
        <v>1975</v>
      </c>
      <c r="I1826" s="11" t="s">
        <v>1998</v>
      </c>
      <c r="J1826" s="12">
        <v>4.26</v>
      </c>
    </row>
    <row r="1827" spans="7:10" hidden="1" x14ac:dyDescent="0.3">
      <c r="G1827" s="7" t="s">
        <v>591</v>
      </c>
      <c r="H1827" s="8" t="s">
        <v>2052</v>
      </c>
      <c r="I1827" s="8" t="s">
        <v>1998</v>
      </c>
      <c r="J1827" s="9">
        <v>1.56</v>
      </c>
    </row>
    <row r="1828" spans="7:10" hidden="1" x14ac:dyDescent="0.3">
      <c r="G1828" s="10" t="s">
        <v>596</v>
      </c>
      <c r="H1828" s="11" t="s">
        <v>1975</v>
      </c>
      <c r="I1828" s="11" t="s">
        <v>1998</v>
      </c>
      <c r="J1828" s="12">
        <v>4.96</v>
      </c>
    </row>
    <row r="1829" spans="7:10" hidden="1" x14ac:dyDescent="0.3">
      <c r="G1829" s="10" t="s">
        <v>598</v>
      </c>
      <c r="H1829" s="11" t="s">
        <v>2034</v>
      </c>
      <c r="I1829" s="11" t="s">
        <v>1998</v>
      </c>
      <c r="J1829" s="12">
        <v>4.51</v>
      </c>
    </row>
    <row r="1830" spans="7:10" hidden="1" x14ac:dyDescent="0.3">
      <c r="G1830" s="10" t="s">
        <v>604</v>
      </c>
      <c r="H1830" s="11" t="s">
        <v>2038</v>
      </c>
      <c r="I1830" s="11" t="s">
        <v>1998</v>
      </c>
      <c r="J1830" s="12">
        <v>4.83</v>
      </c>
    </row>
    <row r="1831" spans="7:10" hidden="1" x14ac:dyDescent="0.3">
      <c r="G1831" s="10" t="s">
        <v>630</v>
      </c>
      <c r="H1831" s="11" t="s">
        <v>2038</v>
      </c>
      <c r="I1831" s="11" t="s">
        <v>1998</v>
      </c>
      <c r="J1831" s="12">
        <v>3.2</v>
      </c>
    </row>
    <row r="1832" spans="7:10" hidden="1" x14ac:dyDescent="0.3">
      <c r="G1832" s="10" t="s">
        <v>652</v>
      </c>
      <c r="H1832" s="11" t="s">
        <v>2034</v>
      </c>
      <c r="I1832" s="11" t="s">
        <v>1998</v>
      </c>
      <c r="J1832" s="12">
        <v>3.17</v>
      </c>
    </row>
    <row r="1833" spans="7:10" hidden="1" x14ac:dyDescent="0.3">
      <c r="G1833" s="10" t="s">
        <v>660</v>
      </c>
      <c r="H1833" s="11" t="s">
        <v>2042</v>
      </c>
      <c r="I1833" s="11" t="s">
        <v>1998</v>
      </c>
      <c r="J1833" s="12">
        <v>70.39</v>
      </c>
    </row>
    <row r="1834" spans="7:10" hidden="1" x14ac:dyDescent="0.3">
      <c r="G1834" s="7" t="s">
        <v>661</v>
      </c>
      <c r="H1834" s="8" t="s">
        <v>2038</v>
      </c>
      <c r="I1834" s="8" t="s">
        <v>1998</v>
      </c>
      <c r="J1834" s="9">
        <v>4.05</v>
      </c>
    </row>
    <row r="1835" spans="7:10" hidden="1" x14ac:dyDescent="0.3">
      <c r="G1835" s="10" t="s">
        <v>678</v>
      </c>
      <c r="H1835" s="11" t="s">
        <v>2042</v>
      </c>
      <c r="I1835" s="11" t="s">
        <v>1998</v>
      </c>
      <c r="J1835" s="12">
        <v>2.4</v>
      </c>
    </row>
    <row r="1836" spans="7:10" hidden="1" x14ac:dyDescent="0.3">
      <c r="G1836" s="7" t="s">
        <v>707</v>
      </c>
      <c r="H1836" s="8" t="s">
        <v>2065</v>
      </c>
      <c r="I1836" s="8" t="s">
        <v>1998</v>
      </c>
      <c r="J1836" s="9">
        <v>2.67</v>
      </c>
    </row>
    <row r="1837" spans="7:10" hidden="1" x14ac:dyDescent="0.3">
      <c r="G1837" s="7" t="s">
        <v>753</v>
      </c>
      <c r="H1837" s="8" t="s">
        <v>2038</v>
      </c>
      <c r="I1837" s="8" t="s">
        <v>1998</v>
      </c>
      <c r="J1837" s="9">
        <v>3.36</v>
      </c>
    </row>
    <row r="1838" spans="7:10" hidden="1" x14ac:dyDescent="0.3">
      <c r="G1838" s="7" t="s">
        <v>759</v>
      </c>
      <c r="H1838" s="8" t="s">
        <v>2065</v>
      </c>
      <c r="I1838" s="8" t="s">
        <v>1998</v>
      </c>
      <c r="J1838" s="9">
        <v>3.33</v>
      </c>
    </row>
    <row r="1839" spans="7:10" hidden="1" x14ac:dyDescent="0.3">
      <c r="G1839" s="10" t="s">
        <v>766</v>
      </c>
      <c r="H1839" s="11" t="s">
        <v>2038</v>
      </c>
      <c r="I1839" s="11" t="s">
        <v>1998</v>
      </c>
      <c r="J1839" s="12">
        <v>3.45</v>
      </c>
    </row>
    <row r="1840" spans="7:10" hidden="1" x14ac:dyDescent="0.3">
      <c r="G1840" s="7" t="s">
        <v>787</v>
      </c>
      <c r="H1840" s="8" t="s">
        <v>2052</v>
      </c>
      <c r="I1840" s="8" t="s">
        <v>1998</v>
      </c>
      <c r="J1840" s="9">
        <v>2.36</v>
      </c>
    </row>
    <row r="1841" spans="7:10" hidden="1" x14ac:dyDescent="0.3">
      <c r="G1841" s="7" t="s">
        <v>791</v>
      </c>
      <c r="H1841" s="8" t="s">
        <v>2034</v>
      </c>
      <c r="I1841" s="8" t="s">
        <v>1998</v>
      </c>
      <c r="J1841" s="9">
        <v>2.54</v>
      </c>
    </row>
    <row r="1842" spans="7:10" hidden="1" x14ac:dyDescent="0.3">
      <c r="G1842" s="7" t="s">
        <v>805</v>
      </c>
      <c r="H1842" s="8" t="s">
        <v>2034</v>
      </c>
      <c r="I1842" s="8" t="s">
        <v>1998</v>
      </c>
      <c r="J1842" s="9">
        <v>1.95</v>
      </c>
    </row>
    <row r="1843" spans="7:10" hidden="1" x14ac:dyDescent="0.3">
      <c r="G1843" s="10" t="s">
        <v>810</v>
      </c>
      <c r="H1843" s="11" t="s">
        <v>2052</v>
      </c>
      <c r="I1843" s="11" t="s">
        <v>1998</v>
      </c>
      <c r="J1843" s="12">
        <v>0.75</v>
      </c>
    </row>
    <row r="1844" spans="7:10" hidden="1" x14ac:dyDescent="0.3">
      <c r="G1844" s="7" t="s">
        <v>811</v>
      </c>
      <c r="H1844" s="8" t="s">
        <v>2035</v>
      </c>
      <c r="I1844" s="8" t="s">
        <v>1998</v>
      </c>
      <c r="J1844" s="9">
        <v>3.86</v>
      </c>
    </row>
    <row r="1845" spans="7:10" hidden="1" x14ac:dyDescent="0.3">
      <c r="G1845" s="7" t="s">
        <v>815</v>
      </c>
      <c r="H1845" s="8" t="s">
        <v>2034</v>
      </c>
      <c r="I1845" s="8" t="s">
        <v>1998</v>
      </c>
      <c r="J1845" s="9">
        <v>2.2799999999999998</v>
      </c>
    </row>
    <row r="1846" spans="7:10" hidden="1" x14ac:dyDescent="0.3">
      <c r="G1846" s="10" t="s">
        <v>839</v>
      </c>
      <c r="H1846" s="11" t="s">
        <v>2052</v>
      </c>
      <c r="I1846" s="11" t="s">
        <v>1998</v>
      </c>
      <c r="J1846" s="12">
        <v>0.37</v>
      </c>
    </row>
    <row r="1847" spans="7:10" hidden="1" x14ac:dyDescent="0.3">
      <c r="G1847" s="10" t="s">
        <v>851</v>
      </c>
      <c r="H1847" s="11" t="s">
        <v>2034</v>
      </c>
      <c r="I1847" s="11" t="s">
        <v>1998</v>
      </c>
      <c r="J1847" s="12">
        <v>2.35</v>
      </c>
    </row>
    <row r="1848" spans="7:10" hidden="1" x14ac:dyDescent="0.3">
      <c r="G1848" s="7" t="s">
        <v>878</v>
      </c>
      <c r="H1848" s="8" t="s">
        <v>2080</v>
      </c>
      <c r="I1848" s="8" t="s">
        <v>1998</v>
      </c>
      <c r="J1848" s="9">
        <v>5.74</v>
      </c>
    </row>
    <row r="1849" spans="7:10" hidden="1" x14ac:dyDescent="0.3">
      <c r="G1849" s="7" t="s">
        <v>892</v>
      </c>
      <c r="H1849" s="8" t="s">
        <v>2038</v>
      </c>
      <c r="I1849" s="8" t="s">
        <v>1998</v>
      </c>
      <c r="J1849" s="9">
        <v>5.75</v>
      </c>
    </row>
    <row r="1850" spans="7:10" hidden="1" x14ac:dyDescent="0.3">
      <c r="G1850" s="10" t="s">
        <v>893</v>
      </c>
      <c r="H1850" s="11" t="s">
        <v>2038</v>
      </c>
      <c r="I1850" s="11" t="s">
        <v>1998</v>
      </c>
      <c r="J1850" s="12">
        <v>3.99</v>
      </c>
    </row>
    <row r="1851" spans="7:10" hidden="1" x14ac:dyDescent="0.3">
      <c r="G1851" s="7" t="s">
        <v>906</v>
      </c>
      <c r="H1851" s="8" t="s">
        <v>2039</v>
      </c>
      <c r="I1851" s="8" t="s">
        <v>1998</v>
      </c>
      <c r="J1851" s="9">
        <v>0.87</v>
      </c>
    </row>
    <row r="1852" spans="7:10" hidden="1" x14ac:dyDescent="0.3">
      <c r="G1852" s="10" t="s">
        <v>907</v>
      </c>
      <c r="H1852" s="11" t="s">
        <v>2035</v>
      </c>
      <c r="I1852" s="11" t="s">
        <v>1998</v>
      </c>
      <c r="J1852" s="12">
        <v>2.56</v>
      </c>
    </row>
    <row r="1853" spans="7:10" hidden="1" x14ac:dyDescent="0.3">
      <c r="G1853" s="7" t="s">
        <v>924</v>
      </c>
      <c r="H1853" s="8" t="s">
        <v>2034</v>
      </c>
      <c r="I1853" s="8" t="s">
        <v>1998</v>
      </c>
      <c r="J1853" s="9">
        <v>1.18</v>
      </c>
    </row>
    <row r="1854" spans="7:10" hidden="1" x14ac:dyDescent="0.3">
      <c r="G1854" s="10" t="s">
        <v>937</v>
      </c>
      <c r="H1854" s="11" t="s">
        <v>2034</v>
      </c>
      <c r="I1854" s="11" t="s">
        <v>1998</v>
      </c>
      <c r="J1854" s="12">
        <v>0.95</v>
      </c>
    </row>
    <row r="1855" spans="7:10" hidden="1" x14ac:dyDescent="0.3">
      <c r="G1855" s="10" t="s">
        <v>939</v>
      </c>
      <c r="H1855" s="11" t="s">
        <v>2034</v>
      </c>
      <c r="I1855" s="11" t="s">
        <v>1998</v>
      </c>
      <c r="J1855" s="12">
        <v>0.73</v>
      </c>
    </row>
    <row r="1856" spans="7:10" hidden="1" x14ac:dyDescent="0.3">
      <c r="G1856" s="10" t="s">
        <v>971</v>
      </c>
      <c r="H1856" s="11" t="s">
        <v>2041</v>
      </c>
      <c r="I1856" s="11" t="s">
        <v>1998</v>
      </c>
      <c r="J1856" s="12">
        <v>2.0699999999999998</v>
      </c>
    </row>
    <row r="1857" spans="7:10" hidden="1" x14ac:dyDescent="0.3">
      <c r="G1857" s="10" t="s">
        <v>984</v>
      </c>
      <c r="H1857" s="11" t="s">
        <v>2052</v>
      </c>
      <c r="I1857" s="11" t="s">
        <v>1998</v>
      </c>
      <c r="J1857" s="12">
        <v>1.54</v>
      </c>
    </row>
    <row r="1858" spans="7:10" hidden="1" x14ac:dyDescent="0.3">
      <c r="G1858" s="7" t="s">
        <v>985</v>
      </c>
      <c r="H1858" s="8" t="s">
        <v>2035</v>
      </c>
      <c r="I1858" s="8" t="s">
        <v>1998</v>
      </c>
      <c r="J1858" s="9">
        <v>0.75</v>
      </c>
    </row>
    <row r="1859" spans="7:10" hidden="1" x14ac:dyDescent="0.3">
      <c r="G1859" s="7" t="s">
        <v>999</v>
      </c>
      <c r="H1859" s="8" t="s">
        <v>2035</v>
      </c>
      <c r="I1859" s="8" t="s">
        <v>1998</v>
      </c>
      <c r="J1859" s="9">
        <v>0.42</v>
      </c>
    </row>
    <row r="1860" spans="7:10" hidden="1" x14ac:dyDescent="0.3">
      <c r="G1860" s="7" t="s">
        <v>1011</v>
      </c>
      <c r="H1860" s="8" t="s">
        <v>2035</v>
      </c>
      <c r="I1860" s="8" t="s">
        <v>1998</v>
      </c>
      <c r="J1860" s="9">
        <v>3.1</v>
      </c>
    </row>
    <row r="1861" spans="7:10" hidden="1" x14ac:dyDescent="0.3">
      <c r="G1861" s="10" t="s">
        <v>1018</v>
      </c>
      <c r="H1861" s="11" t="s">
        <v>2034</v>
      </c>
      <c r="I1861" s="11" t="s">
        <v>1998</v>
      </c>
      <c r="J1861" s="12">
        <v>3.07</v>
      </c>
    </row>
    <row r="1862" spans="7:10" hidden="1" x14ac:dyDescent="0.3">
      <c r="G1862" s="7" t="s">
        <v>1027</v>
      </c>
      <c r="H1862" s="8" t="s">
        <v>2065</v>
      </c>
      <c r="I1862" s="8" t="s">
        <v>1998</v>
      </c>
      <c r="J1862" s="9">
        <v>1.93</v>
      </c>
    </row>
    <row r="1863" spans="7:10" hidden="1" x14ac:dyDescent="0.3">
      <c r="G1863" s="7" t="s">
        <v>1037</v>
      </c>
      <c r="H1863" s="8" t="s">
        <v>2034</v>
      </c>
      <c r="I1863" s="8" t="s">
        <v>1998</v>
      </c>
      <c r="J1863" s="9">
        <v>1.44</v>
      </c>
    </row>
    <row r="1864" spans="7:10" hidden="1" x14ac:dyDescent="0.3">
      <c r="G1864" s="7" t="s">
        <v>1039</v>
      </c>
      <c r="H1864" s="8" t="s">
        <v>2034</v>
      </c>
      <c r="I1864" s="8" t="s">
        <v>1998</v>
      </c>
      <c r="J1864" s="9">
        <v>3</v>
      </c>
    </row>
    <row r="1865" spans="7:10" hidden="1" x14ac:dyDescent="0.3">
      <c r="G1865" s="10" t="s">
        <v>1042</v>
      </c>
      <c r="H1865" s="11" t="s">
        <v>2041</v>
      </c>
      <c r="I1865" s="11" t="s">
        <v>1998</v>
      </c>
      <c r="J1865" s="12">
        <v>8.31</v>
      </c>
    </row>
    <row r="1866" spans="7:10" hidden="1" x14ac:dyDescent="0.3">
      <c r="G1866" s="7" t="s">
        <v>1061</v>
      </c>
      <c r="H1866" s="8" t="s">
        <v>2066</v>
      </c>
      <c r="I1866" s="8" t="s">
        <v>1998</v>
      </c>
      <c r="J1866" s="9">
        <v>2.31</v>
      </c>
    </row>
    <row r="1867" spans="7:10" hidden="1" x14ac:dyDescent="0.3">
      <c r="G1867" s="7" t="s">
        <v>1090</v>
      </c>
      <c r="H1867" s="8" t="s">
        <v>2034</v>
      </c>
      <c r="I1867" s="8" t="s">
        <v>1998</v>
      </c>
      <c r="J1867" s="9">
        <v>1.04</v>
      </c>
    </row>
    <row r="1868" spans="7:10" hidden="1" x14ac:dyDescent="0.3">
      <c r="G1868" s="10" t="s">
        <v>1095</v>
      </c>
      <c r="H1868" s="11" t="s">
        <v>2069</v>
      </c>
      <c r="I1868" s="11" t="s">
        <v>1998</v>
      </c>
      <c r="J1868" s="12">
        <v>2.4</v>
      </c>
    </row>
    <row r="1869" spans="7:10" hidden="1" x14ac:dyDescent="0.3">
      <c r="G1869" s="7" t="s">
        <v>1102</v>
      </c>
      <c r="H1869" s="8" t="s">
        <v>2043</v>
      </c>
      <c r="I1869" s="8" t="s">
        <v>1998</v>
      </c>
      <c r="J1869" s="9">
        <v>9.48</v>
      </c>
    </row>
    <row r="1870" spans="7:10" hidden="1" x14ac:dyDescent="0.3">
      <c r="G1870" s="7" t="s">
        <v>1104</v>
      </c>
      <c r="H1870" s="8" t="s">
        <v>2083</v>
      </c>
      <c r="I1870" s="8" t="s">
        <v>1998</v>
      </c>
      <c r="J1870" s="9">
        <v>2.4700000000000002</v>
      </c>
    </row>
    <row r="1871" spans="7:10" hidden="1" x14ac:dyDescent="0.3">
      <c r="G1871" s="10" t="s">
        <v>1139</v>
      </c>
      <c r="H1871" s="11" t="s">
        <v>2035</v>
      </c>
      <c r="I1871" s="11" t="s">
        <v>1998</v>
      </c>
      <c r="J1871" s="12">
        <v>1.1499999999999999</v>
      </c>
    </row>
    <row r="1872" spans="7:10" hidden="1" x14ac:dyDescent="0.3">
      <c r="G1872" s="10" t="s">
        <v>1145</v>
      </c>
      <c r="H1872" s="11" t="s">
        <v>2034</v>
      </c>
      <c r="I1872" s="11" t="s">
        <v>1998</v>
      </c>
      <c r="J1872" s="12">
        <v>1.06</v>
      </c>
    </row>
    <row r="1873" spans="7:10" hidden="1" x14ac:dyDescent="0.3">
      <c r="G1873" s="7" t="s">
        <v>1182</v>
      </c>
      <c r="H1873" s="8" t="s">
        <v>2035</v>
      </c>
      <c r="I1873" s="8" t="s">
        <v>1998</v>
      </c>
      <c r="J1873" s="9">
        <v>4.79</v>
      </c>
    </row>
    <row r="1874" spans="7:10" hidden="1" x14ac:dyDescent="0.3">
      <c r="G1874" s="10" t="s">
        <v>1185</v>
      </c>
      <c r="H1874" s="11" t="s">
        <v>2037</v>
      </c>
      <c r="I1874" s="11" t="s">
        <v>1998</v>
      </c>
      <c r="J1874" s="12">
        <v>1.42</v>
      </c>
    </row>
    <row r="1875" spans="7:10" hidden="1" x14ac:dyDescent="0.3">
      <c r="G1875" s="7" t="s">
        <v>1186</v>
      </c>
      <c r="H1875" s="8" t="s">
        <v>2034</v>
      </c>
      <c r="I1875" s="8" t="s">
        <v>1998</v>
      </c>
      <c r="J1875" s="9">
        <v>2.44</v>
      </c>
    </row>
    <row r="1876" spans="7:10" hidden="1" x14ac:dyDescent="0.3">
      <c r="G1876" s="10" t="s">
        <v>1187</v>
      </c>
      <c r="H1876" s="11" t="s">
        <v>2061</v>
      </c>
      <c r="I1876" s="11" t="s">
        <v>1998</v>
      </c>
      <c r="J1876" s="12">
        <v>0.85</v>
      </c>
    </row>
    <row r="1877" spans="7:10" hidden="1" x14ac:dyDescent="0.3">
      <c r="G1877" s="10" t="s">
        <v>1207</v>
      </c>
      <c r="H1877" s="11" t="s">
        <v>2039</v>
      </c>
      <c r="I1877" s="11" t="s">
        <v>1998</v>
      </c>
      <c r="J1877" s="12">
        <v>1.18</v>
      </c>
    </row>
    <row r="1878" spans="7:10" hidden="1" x14ac:dyDescent="0.3">
      <c r="G1878" s="7" t="s">
        <v>1208</v>
      </c>
      <c r="H1878" s="8" t="s">
        <v>1975</v>
      </c>
      <c r="I1878" s="8" t="s">
        <v>1998</v>
      </c>
      <c r="J1878" s="9">
        <v>3</v>
      </c>
    </row>
    <row r="1879" spans="7:10" hidden="1" x14ac:dyDescent="0.3">
      <c r="G1879" s="10" t="s">
        <v>1213</v>
      </c>
      <c r="H1879" s="11" t="s">
        <v>2039</v>
      </c>
      <c r="I1879" s="11" t="s">
        <v>1998</v>
      </c>
      <c r="J1879" s="12">
        <v>0.79</v>
      </c>
    </row>
    <row r="1880" spans="7:10" hidden="1" x14ac:dyDescent="0.3">
      <c r="G1880" s="7" t="s">
        <v>1216</v>
      </c>
      <c r="H1880" s="8" t="s">
        <v>2034</v>
      </c>
      <c r="I1880" s="8" t="s">
        <v>1998</v>
      </c>
      <c r="J1880" s="9">
        <v>3.88</v>
      </c>
    </row>
    <row r="1881" spans="7:10" hidden="1" x14ac:dyDescent="0.3">
      <c r="G1881" s="7" t="s">
        <v>1228</v>
      </c>
      <c r="H1881" s="8" t="s">
        <v>2065</v>
      </c>
      <c r="I1881" s="8" t="s">
        <v>1998</v>
      </c>
      <c r="J1881" s="9">
        <v>1.82</v>
      </c>
    </row>
    <row r="1882" spans="7:10" hidden="1" x14ac:dyDescent="0.3">
      <c r="G1882" s="7" t="s">
        <v>1245</v>
      </c>
      <c r="H1882" s="8" t="s">
        <v>2034</v>
      </c>
      <c r="I1882" s="8" t="s">
        <v>1998</v>
      </c>
      <c r="J1882" s="9">
        <v>1.51</v>
      </c>
    </row>
    <row r="1883" spans="7:10" hidden="1" x14ac:dyDescent="0.3">
      <c r="G1883" s="7" t="s">
        <v>1249</v>
      </c>
      <c r="H1883" s="8" t="s">
        <v>2038</v>
      </c>
      <c r="I1883" s="8" t="s">
        <v>1998</v>
      </c>
      <c r="J1883" s="9">
        <v>4.4400000000000004</v>
      </c>
    </row>
    <row r="1884" spans="7:10" hidden="1" x14ac:dyDescent="0.3">
      <c r="G1884" s="7" t="s">
        <v>1251</v>
      </c>
      <c r="H1884" s="8" t="s">
        <v>2034</v>
      </c>
      <c r="I1884" s="8" t="s">
        <v>1998</v>
      </c>
      <c r="J1884" s="9">
        <v>0.52</v>
      </c>
    </row>
    <row r="1885" spans="7:10" hidden="1" x14ac:dyDescent="0.3">
      <c r="G1885" s="10" t="s">
        <v>1258</v>
      </c>
      <c r="H1885" s="11" t="s">
        <v>2038</v>
      </c>
      <c r="I1885" s="11" t="s">
        <v>1998</v>
      </c>
      <c r="J1885" s="12">
        <v>5.01</v>
      </c>
    </row>
    <row r="1886" spans="7:10" hidden="1" x14ac:dyDescent="0.3">
      <c r="G1886" s="7" t="s">
        <v>1259</v>
      </c>
      <c r="H1886" s="8" t="s">
        <v>1975</v>
      </c>
      <c r="I1886" s="8" t="s">
        <v>1998</v>
      </c>
      <c r="J1886" s="9">
        <v>0.53</v>
      </c>
    </row>
    <row r="1887" spans="7:10" hidden="1" x14ac:dyDescent="0.3">
      <c r="G1887" s="10" t="s">
        <v>1287</v>
      </c>
      <c r="H1887" s="11" t="s">
        <v>2034</v>
      </c>
      <c r="I1887" s="11" t="s">
        <v>1998</v>
      </c>
      <c r="J1887" s="12">
        <v>1.52</v>
      </c>
    </row>
    <row r="1888" spans="7:10" hidden="1" x14ac:dyDescent="0.3">
      <c r="G1888" s="7" t="s">
        <v>1292</v>
      </c>
      <c r="H1888" s="8" t="s">
        <v>2034</v>
      </c>
      <c r="I1888" s="8" t="s">
        <v>1998</v>
      </c>
      <c r="J1888" s="9">
        <v>0.98</v>
      </c>
    </row>
    <row r="1889" spans="7:10" hidden="1" x14ac:dyDescent="0.3">
      <c r="G1889" s="7" t="s">
        <v>1306</v>
      </c>
      <c r="H1889" s="8" t="s">
        <v>2035</v>
      </c>
      <c r="I1889" s="8" t="s">
        <v>1998</v>
      </c>
      <c r="J1889" s="9">
        <v>0.65</v>
      </c>
    </row>
    <row r="1890" spans="7:10" hidden="1" x14ac:dyDescent="0.3">
      <c r="G1890" s="10" t="s">
        <v>1307</v>
      </c>
      <c r="H1890" s="11" t="s">
        <v>1975</v>
      </c>
      <c r="I1890" s="11" t="s">
        <v>1998</v>
      </c>
      <c r="J1890" s="12">
        <v>0.72</v>
      </c>
    </row>
    <row r="1891" spans="7:10" hidden="1" x14ac:dyDescent="0.3">
      <c r="G1891" s="7" t="s">
        <v>1311</v>
      </c>
      <c r="H1891" s="8" t="s">
        <v>2040</v>
      </c>
      <c r="I1891" s="8" t="s">
        <v>1998</v>
      </c>
      <c r="J1891" s="9">
        <v>1.1299999999999999</v>
      </c>
    </row>
    <row r="1892" spans="7:10" hidden="1" x14ac:dyDescent="0.3">
      <c r="G1892" s="7" t="s">
        <v>1319</v>
      </c>
      <c r="H1892" s="8" t="s">
        <v>2038</v>
      </c>
      <c r="I1892" s="8" t="s">
        <v>1998</v>
      </c>
      <c r="J1892" s="9">
        <v>5.04</v>
      </c>
    </row>
    <row r="1893" spans="7:10" hidden="1" x14ac:dyDescent="0.3">
      <c r="G1893" s="10" t="s">
        <v>1320</v>
      </c>
      <c r="H1893" s="11" t="s">
        <v>2034</v>
      </c>
      <c r="I1893" s="11" t="s">
        <v>1998</v>
      </c>
      <c r="J1893" s="12">
        <v>1.25</v>
      </c>
    </row>
    <row r="1894" spans="7:10" hidden="1" x14ac:dyDescent="0.3">
      <c r="G1894" s="7" t="s">
        <v>1327</v>
      </c>
      <c r="H1894" s="8" t="s">
        <v>2034</v>
      </c>
      <c r="I1894" s="8" t="s">
        <v>1998</v>
      </c>
      <c r="J1894" s="9">
        <v>0.66</v>
      </c>
    </row>
    <row r="1895" spans="7:10" hidden="1" x14ac:dyDescent="0.3">
      <c r="G1895" s="10" t="s">
        <v>1334</v>
      </c>
      <c r="H1895" s="11" t="s">
        <v>2043</v>
      </c>
      <c r="I1895" s="11" t="s">
        <v>1998</v>
      </c>
      <c r="J1895" s="12">
        <v>0.49</v>
      </c>
    </row>
    <row r="1896" spans="7:10" hidden="1" x14ac:dyDescent="0.3">
      <c r="G1896" s="10" t="s">
        <v>1349</v>
      </c>
      <c r="H1896" s="11" t="s">
        <v>2034</v>
      </c>
      <c r="I1896" s="11" t="s">
        <v>1998</v>
      </c>
      <c r="J1896" s="12">
        <v>1.63</v>
      </c>
    </row>
    <row r="1897" spans="7:10" hidden="1" x14ac:dyDescent="0.3">
      <c r="G1897" s="7" t="s">
        <v>1352</v>
      </c>
      <c r="H1897" s="8" t="s">
        <v>2034</v>
      </c>
      <c r="I1897" s="8" t="s">
        <v>1998</v>
      </c>
      <c r="J1897" s="9">
        <v>0.79</v>
      </c>
    </row>
    <row r="1898" spans="7:10" hidden="1" x14ac:dyDescent="0.3">
      <c r="G1898" s="7" t="s">
        <v>1356</v>
      </c>
      <c r="H1898" s="8" t="s">
        <v>2052</v>
      </c>
      <c r="I1898" s="8" t="s">
        <v>1998</v>
      </c>
      <c r="J1898" s="9">
        <v>0.56999999999999995</v>
      </c>
    </row>
    <row r="1899" spans="7:10" hidden="1" x14ac:dyDescent="0.3">
      <c r="G1899" s="10" t="s">
        <v>1357</v>
      </c>
      <c r="H1899" s="11" t="s">
        <v>2035</v>
      </c>
      <c r="I1899" s="11" t="s">
        <v>1998</v>
      </c>
      <c r="J1899" s="12">
        <v>1.43</v>
      </c>
    </row>
    <row r="1900" spans="7:10" hidden="1" x14ac:dyDescent="0.3">
      <c r="G1900" s="7" t="s">
        <v>1368</v>
      </c>
      <c r="H1900" s="8" t="s">
        <v>2034</v>
      </c>
      <c r="I1900" s="8" t="s">
        <v>1998</v>
      </c>
      <c r="J1900" s="9">
        <v>1.58</v>
      </c>
    </row>
    <row r="1901" spans="7:10" hidden="1" x14ac:dyDescent="0.3">
      <c r="G1901" s="7" t="s">
        <v>1374</v>
      </c>
      <c r="H1901" s="8" t="s">
        <v>2034</v>
      </c>
      <c r="I1901" s="8" t="s">
        <v>1998</v>
      </c>
      <c r="J1901" s="9">
        <v>0.73</v>
      </c>
    </row>
    <row r="1902" spans="7:10" hidden="1" x14ac:dyDescent="0.3">
      <c r="G1902" s="7" t="s">
        <v>1380</v>
      </c>
      <c r="H1902" s="8" t="s">
        <v>2035</v>
      </c>
      <c r="I1902" s="8" t="s">
        <v>1998</v>
      </c>
      <c r="J1902" s="9">
        <v>2.06</v>
      </c>
    </row>
    <row r="1903" spans="7:10" hidden="1" x14ac:dyDescent="0.3">
      <c r="G1903" s="10" t="s">
        <v>1411</v>
      </c>
      <c r="H1903" s="11" t="s">
        <v>2034</v>
      </c>
      <c r="I1903" s="11" t="s">
        <v>1998</v>
      </c>
      <c r="J1903" s="12">
        <v>1.1299999999999999</v>
      </c>
    </row>
    <row r="1904" spans="7:10" hidden="1" x14ac:dyDescent="0.3">
      <c r="G1904" s="7" t="s">
        <v>1418</v>
      </c>
      <c r="H1904" s="8" t="s">
        <v>2038</v>
      </c>
      <c r="I1904" s="8" t="s">
        <v>1998</v>
      </c>
      <c r="J1904" s="9">
        <v>1.05</v>
      </c>
    </row>
    <row r="1905" spans="7:10" hidden="1" x14ac:dyDescent="0.3">
      <c r="G1905" s="7" t="s">
        <v>1424</v>
      </c>
      <c r="H1905" s="8" t="s">
        <v>2043</v>
      </c>
      <c r="I1905" s="8" t="s">
        <v>1998</v>
      </c>
      <c r="J1905" s="9">
        <v>3.22</v>
      </c>
    </row>
    <row r="1906" spans="7:10" hidden="1" x14ac:dyDescent="0.3">
      <c r="G1906" s="7" t="s">
        <v>1430</v>
      </c>
      <c r="H1906" s="8" t="s">
        <v>2052</v>
      </c>
      <c r="I1906" s="8" t="s">
        <v>1998</v>
      </c>
      <c r="J1906" s="9">
        <v>0.96</v>
      </c>
    </row>
    <row r="1907" spans="7:10" hidden="1" x14ac:dyDescent="0.3">
      <c r="G1907" s="10" t="s">
        <v>1459</v>
      </c>
      <c r="H1907" s="11" t="s">
        <v>2034</v>
      </c>
      <c r="I1907" s="11" t="s">
        <v>1998</v>
      </c>
      <c r="J1907" s="12">
        <v>1.27</v>
      </c>
    </row>
    <row r="1908" spans="7:10" hidden="1" x14ac:dyDescent="0.3">
      <c r="G1908" s="10" t="s">
        <v>1463</v>
      </c>
      <c r="H1908" s="11" t="s">
        <v>2038</v>
      </c>
      <c r="I1908" s="11" t="s">
        <v>1998</v>
      </c>
      <c r="J1908" s="12">
        <v>2.9</v>
      </c>
    </row>
    <row r="1909" spans="7:10" hidden="1" x14ac:dyDescent="0.3">
      <c r="G1909" s="7" t="s">
        <v>1468</v>
      </c>
      <c r="H1909" s="8" t="s">
        <v>2041</v>
      </c>
      <c r="I1909" s="8" t="s">
        <v>1998</v>
      </c>
      <c r="J1909" s="9">
        <v>2.69</v>
      </c>
    </row>
    <row r="1910" spans="7:10" hidden="1" x14ac:dyDescent="0.3">
      <c r="G1910" s="10" t="s">
        <v>1483</v>
      </c>
      <c r="H1910" s="11" t="s">
        <v>2038</v>
      </c>
      <c r="I1910" s="11" t="s">
        <v>1998</v>
      </c>
      <c r="J1910" s="12">
        <v>4.7300000000000004</v>
      </c>
    </row>
    <row r="1911" spans="7:10" hidden="1" x14ac:dyDescent="0.3">
      <c r="G1911" s="7" t="s">
        <v>1484</v>
      </c>
      <c r="H1911" s="8" t="s">
        <v>1975</v>
      </c>
      <c r="I1911" s="8" t="s">
        <v>1998</v>
      </c>
      <c r="J1911" s="9">
        <v>6.5</v>
      </c>
    </row>
    <row r="1912" spans="7:10" hidden="1" x14ac:dyDescent="0.3">
      <c r="G1912" s="7" t="s">
        <v>1496</v>
      </c>
      <c r="H1912" s="8" t="s">
        <v>2034</v>
      </c>
      <c r="I1912" s="8" t="s">
        <v>1998</v>
      </c>
      <c r="J1912" s="9">
        <v>0.93</v>
      </c>
    </row>
    <row r="1913" spans="7:10" hidden="1" x14ac:dyDescent="0.3">
      <c r="G1913" s="10" t="s">
        <v>1497</v>
      </c>
      <c r="H1913" s="11" t="s">
        <v>2034</v>
      </c>
      <c r="I1913" s="11" t="s">
        <v>1998</v>
      </c>
      <c r="J1913" s="12">
        <v>0.68</v>
      </c>
    </row>
    <row r="1914" spans="7:10" hidden="1" x14ac:dyDescent="0.3">
      <c r="G1914" s="7" t="s">
        <v>1500</v>
      </c>
      <c r="H1914" s="8" t="s">
        <v>2038</v>
      </c>
      <c r="I1914" s="8" t="s">
        <v>1998</v>
      </c>
      <c r="J1914" s="9">
        <v>0.34</v>
      </c>
    </row>
    <row r="1915" spans="7:10" hidden="1" x14ac:dyDescent="0.3">
      <c r="G1915" s="7" t="s">
        <v>1502</v>
      </c>
      <c r="H1915" s="8" t="s">
        <v>2063</v>
      </c>
      <c r="I1915" s="8" t="s">
        <v>1998</v>
      </c>
      <c r="J1915" s="9">
        <v>3.02</v>
      </c>
    </row>
    <row r="1916" spans="7:10" hidden="1" x14ac:dyDescent="0.3">
      <c r="G1916" s="10" t="s">
        <v>1543</v>
      </c>
      <c r="H1916" s="11" t="s">
        <v>2034</v>
      </c>
      <c r="I1916" s="11" t="s">
        <v>1998</v>
      </c>
      <c r="J1916" s="12">
        <v>0.95</v>
      </c>
    </row>
    <row r="1917" spans="7:10" hidden="1" x14ac:dyDescent="0.3">
      <c r="G1917" s="7" t="s">
        <v>1588</v>
      </c>
      <c r="H1917" s="8" t="s">
        <v>2034</v>
      </c>
      <c r="I1917" s="8" t="s">
        <v>1998</v>
      </c>
      <c r="J1917" s="9">
        <v>0.72</v>
      </c>
    </row>
    <row r="1918" spans="7:10" hidden="1" x14ac:dyDescent="0.3">
      <c r="G1918" s="10" t="s">
        <v>1597</v>
      </c>
      <c r="H1918" s="11" t="s">
        <v>2038</v>
      </c>
      <c r="I1918" s="11" t="s">
        <v>1998</v>
      </c>
      <c r="J1918" s="12">
        <v>4.0199999999999996</v>
      </c>
    </row>
    <row r="1919" spans="7:10" hidden="1" x14ac:dyDescent="0.3">
      <c r="G1919" s="7" t="s">
        <v>1618</v>
      </c>
      <c r="H1919" s="8" t="s">
        <v>2052</v>
      </c>
      <c r="I1919" s="8" t="s">
        <v>1998</v>
      </c>
      <c r="J1919" s="9">
        <v>0.47</v>
      </c>
    </row>
    <row r="1920" spans="7:10" hidden="1" x14ac:dyDescent="0.3">
      <c r="G1920" s="10" t="s">
        <v>1625</v>
      </c>
      <c r="H1920" s="11" t="s">
        <v>2052</v>
      </c>
      <c r="I1920" s="11" t="s">
        <v>1998</v>
      </c>
      <c r="J1920" s="12">
        <v>0.54</v>
      </c>
    </row>
    <row r="1921" spans="7:10" hidden="1" x14ac:dyDescent="0.3">
      <c r="G1921" s="7" t="s">
        <v>1634</v>
      </c>
      <c r="H1921" s="8" t="s">
        <v>2087</v>
      </c>
      <c r="I1921" s="8" t="s">
        <v>1998</v>
      </c>
      <c r="J1921" s="9">
        <v>0.81</v>
      </c>
    </row>
    <row r="1922" spans="7:10" hidden="1" x14ac:dyDescent="0.3">
      <c r="G1922" s="7" t="s">
        <v>1648</v>
      </c>
      <c r="H1922" s="8" t="s">
        <v>2047</v>
      </c>
      <c r="I1922" s="8" t="s">
        <v>1998</v>
      </c>
      <c r="J1922" s="9">
        <v>0.86</v>
      </c>
    </row>
    <row r="1923" spans="7:10" hidden="1" x14ac:dyDescent="0.3">
      <c r="G1923" s="7" t="s">
        <v>1658</v>
      </c>
      <c r="H1923" s="8" t="s">
        <v>2038</v>
      </c>
      <c r="I1923" s="8" t="s">
        <v>1998</v>
      </c>
      <c r="J1923" s="9">
        <v>1.35</v>
      </c>
    </row>
    <row r="1924" spans="7:10" hidden="1" x14ac:dyDescent="0.3">
      <c r="G1924" s="10" t="s">
        <v>1703</v>
      </c>
      <c r="H1924" s="11" t="s">
        <v>2066</v>
      </c>
      <c r="I1924" s="11" t="s">
        <v>1998</v>
      </c>
      <c r="J1924" s="12">
        <v>1.46</v>
      </c>
    </row>
    <row r="1925" spans="7:10" hidden="1" x14ac:dyDescent="0.3">
      <c r="G1925" s="10" t="s">
        <v>1709</v>
      </c>
      <c r="H1925" s="11" t="s">
        <v>2036</v>
      </c>
      <c r="I1925" s="11" t="s">
        <v>1998</v>
      </c>
      <c r="J1925" s="12">
        <v>1.19</v>
      </c>
    </row>
    <row r="1926" spans="7:10" hidden="1" x14ac:dyDescent="0.3">
      <c r="G1926" s="7" t="s">
        <v>1718</v>
      </c>
      <c r="H1926" s="8" t="s">
        <v>2034</v>
      </c>
      <c r="I1926" s="8" t="s">
        <v>1998</v>
      </c>
      <c r="J1926" s="9">
        <v>1.5</v>
      </c>
    </row>
    <row r="1927" spans="7:10" hidden="1" x14ac:dyDescent="0.3">
      <c r="G1927" s="7" t="s">
        <v>1726</v>
      </c>
      <c r="H1927" s="8" t="s">
        <v>2036</v>
      </c>
      <c r="I1927" s="8" t="s">
        <v>1998</v>
      </c>
      <c r="J1927" s="9">
        <v>1.2</v>
      </c>
    </row>
    <row r="1928" spans="7:10" hidden="1" x14ac:dyDescent="0.3">
      <c r="G1928" s="7" t="s">
        <v>1730</v>
      </c>
      <c r="H1928" s="8" t="s">
        <v>2034</v>
      </c>
      <c r="I1928" s="8" t="s">
        <v>1998</v>
      </c>
      <c r="J1928" s="9">
        <v>1.52</v>
      </c>
    </row>
    <row r="1929" spans="7:10" hidden="1" x14ac:dyDescent="0.3">
      <c r="G1929" s="10" t="s">
        <v>1733</v>
      </c>
      <c r="H1929" s="11" t="s">
        <v>2064</v>
      </c>
      <c r="I1929" s="11" t="s">
        <v>1998</v>
      </c>
      <c r="J1929" s="12">
        <v>9.58</v>
      </c>
    </row>
    <row r="1930" spans="7:10" hidden="1" x14ac:dyDescent="0.3">
      <c r="G1930" s="7" t="s">
        <v>1754</v>
      </c>
      <c r="H1930" s="8" t="s">
        <v>2057</v>
      </c>
      <c r="I1930" s="8" t="s">
        <v>1998</v>
      </c>
      <c r="J1930" s="9">
        <v>0.57999999999999996</v>
      </c>
    </row>
    <row r="1931" spans="7:10" hidden="1" x14ac:dyDescent="0.3">
      <c r="G1931" s="10" t="s">
        <v>1757</v>
      </c>
      <c r="H1931" s="11" t="s">
        <v>2034</v>
      </c>
      <c r="I1931" s="11" t="s">
        <v>1998</v>
      </c>
      <c r="J1931" s="12">
        <v>1</v>
      </c>
    </row>
    <row r="1932" spans="7:10" hidden="1" x14ac:dyDescent="0.3">
      <c r="G1932" s="7" t="s">
        <v>1789</v>
      </c>
      <c r="H1932" s="8" t="s">
        <v>2076</v>
      </c>
      <c r="I1932" s="8" t="s">
        <v>1998</v>
      </c>
      <c r="J1932" s="9">
        <v>2.65</v>
      </c>
    </row>
    <row r="1933" spans="7:10" hidden="1" x14ac:dyDescent="0.3">
      <c r="G1933" s="7" t="s">
        <v>1800</v>
      </c>
      <c r="H1933" s="8" t="s">
        <v>2038</v>
      </c>
      <c r="I1933" s="8" t="s">
        <v>1998</v>
      </c>
      <c r="J1933" s="9">
        <v>3.32</v>
      </c>
    </row>
    <row r="1934" spans="7:10" hidden="1" x14ac:dyDescent="0.3">
      <c r="G1934" s="10" t="s">
        <v>1803</v>
      </c>
      <c r="H1934" s="11" t="s">
        <v>2038</v>
      </c>
      <c r="I1934" s="11" t="s">
        <v>1998</v>
      </c>
      <c r="J1934" s="12">
        <v>3.4</v>
      </c>
    </row>
    <row r="1935" spans="7:10" hidden="1" x14ac:dyDescent="0.3">
      <c r="G1935" s="10" t="s">
        <v>1817</v>
      </c>
      <c r="H1935" s="11" t="s">
        <v>2034</v>
      </c>
      <c r="I1935" s="11" t="s">
        <v>1998</v>
      </c>
      <c r="J1935" s="12">
        <v>0.71</v>
      </c>
    </row>
    <row r="1936" spans="7:10" hidden="1" x14ac:dyDescent="0.3">
      <c r="G1936" s="10" t="s">
        <v>1819</v>
      </c>
      <c r="H1936" s="11" t="s">
        <v>2074</v>
      </c>
      <c r="I1936" s="11" t="s">
        <v>1998</v>
      </c>
      <c r="J1936" s="12">
        <v>1.18</v>
      </c>
    </row>
    <row r="1937" spans="7:10" hidden="1" x14ac:dyDescent="0.3">
      <c r="G1937" s="10" t="s">
        <v>1821</v>
      </c>
      <c r="H1937" s="11" t="s">
        <v>2074</v>
      </c>
      <c r="I1937" s="11" t="s">
        <v>1998</v>
      </c>
      <c r="J1937" s="12">
        <v>0.83</v>
      </c>
    </row>
    <row r="1938" spans="7:10" hidden="1" x14ac:dyDescent="0.3">
      <c r="G1938" s="10" t="s">
        <v>1823</v>
      </c>
      <c r="H1938" s="11" t="s">
        <v>2036</v>
      </c>
      <c r="I1938" s="11" t="s">
        <v>1998</v>
      </c>
      <c r="J1938" s="12">
        <v>0.27</v>
      </c>
    </row>
    <row r="1939" spans="7:10" hidden="1" x14ac:dyDescent="0.3">
      <c r="G1939" s="7" t="s">
        <v>1851</v>
      </c>
      <c r="H1939" s="8" t="s">
        <v>2034</v>
      </c>
      <c r="I1939" s="8" t="s">
        <v>1998</v>
      </c>
      <c r="J1939" s="9">
        <v>3</v>
      </c>
    </row>
    <row r="1940" spans="7:10" hidden="1" x14ac:dyDescent="0.3">
      <c r="G1940" s="10" t="s">
        <v>1866</v>
      </c>
      <c r="H1940" s="11" t="s">
        <v>2063</v>
      </c>
      <c r="I1940" s="11" t="s">
        <v>1998</v>
      </c>
      <c r="J1940" s="12">
        <v>0.74</v>
      </c>
    </row>
    <row r="1941" spans="7:10" hidden="1" x14ac:dyDescent="0.3">
      <c r="G1941" s="10" t="s">
        <v>1868</v>
      </c>
      <c r="H1941" s="11" t="s">
        <v>2090</v>
      </c>
      <c r="I1941" s="11" t="s">
        <v>1998</v>
      </c>
      <c r="J1941" s="12">
        <v>1.01</v>
      </c>
    </row>
    <row r="1942" spans="7:10" hidden="1" x14ac:dyDescent="0.3">
      <c r="G1942" s="10" t="s">
        <v>1870</v>
      </c>
      <c r="H1942" s="11" t="s">
        <v>2034</v>
      </c>
      <c r="I1942" s="11" t="s">
        <v>1998</v>
      </c>
      <c r="J1942" s="12">
        <v>0.97</v>
      </c>
    </row>
    <row r="1943" spans="7:10" hidden="1" x14ac:dyDescent="0.3">
      <c r="G1943" s="7" t="s">
        <v>1877</v>
      </c>
      <c r="H1943" s="8" t="s">
        <v>2034</v>
      </c>
      <c r="I1943" s="8" t="s">
        <v>1998</v>
      </c>
      <c r="J1943" s="9">
        <v>0.68</v>
      </c>
    </row>
    <row r="1944" spans="7:10" hidden="1" x14ac:dyDescent="0.3">
      <c r="G1944" s="10" t="s">
        <v>1880</v>
      </c>
      <c r="H1944" s="11" t="s">
        <v>2034</v>
      </c>
      <c r="I1944" s="11" t="s">
        <v>1998</v>
      </c>
      <c r="J1944" s="12">
        <v>1.1100000000000001</v>
      </c>
    </row>
    <row r="1945" spans="7:10" hidden="1" x14ac:dyDescent="0.3">
      <c r="G1945" s="7" t="s">
        <v>1881</v>
      </c>
      <c r="H1945" s="8" t="s">
        <v>2034</v>
      </c>
      <c r="I1945" s="8" t="s">
        <v>1998</v>
      </c>
      <c r="J1945" s="9">
        <v>0.69</v>
      </c>
    </row>
    <row r="1946" spans="7:10" hidden="1" x14ac:dyDescent="0.3">
      <c r="G1946" s="10" t="s">
        <v>1894</v>
      </c>
      <c r="H1946" s="11" t="s">
        <v>2039</v>
      </c>
      <c r="I1946" s="11" t="s">
        <v>1998</v>
      </c>
      <c r="J1946" s="12">
        <v>0.63</v>
      </c>
    </row>
    <row r="1947" spans="7:10" hidden="1" x14ac:dyDescent="0.3">
      <c r="G1947" s="10" t="s">
        <v>1898</v>
      </c>
      <c r="H1947" s="11" t="s">
        <v>2034</v>
      </c>
      <c r="I1947" s="11" t="s">
        <v>1998</v>
      </c>
      <c r="J1947" s="12">
        <v>0.77</v>
      </c>
    </row>
    <row r="1948" spans="7:10" hidden="1" x14ac:dyDescent="0.3">
      <c r="G1948" s="10" t="s">
        <v>1906</v>
      </c>
      <c r="H1948" s="11" t="s">
        <v>2038</v>
      </c>
      <c r="I1948" s="11" t="s">
        <v>1998</v>
      </c>
      <c r="J1948" s="12">
        <v>0.87</v>
      </c>
    </row>
    <row r="1949" spans="7:10" hidden="1" x14ac:dyDescent="0.3">
      <c r="G1949" s="10" t="s">
        <v>1924</v>
      </c>
      <c r="H1949" s="11" t="s">
        <v>2035</v>
      </c>
      <c r="I1949" s="11" t="s">
        <v>1998</v>
      </c>
      <c r="J1949" s="12">
        <v>0.4</v>
      </c>
    </row>
    <row r="1950" spans="7:10" hidden="1" x14ac:dyDescent="0.3">
      <c r="G1950" s="10" t="s">
        <v>1926</v>
      </c>
      <c r="H1950" s="11" t="s">
        <v>2034</v>
      </c>
      <c r="I1950" s="11" t="s">
        <v>1998</v>
      </c>
      <c r="J1950" s="12">
        <v>2.21</v>
      </c>
    </row>
    <row r="1951" spans="7:10" hidden="1" x14ac:dyDescent="0.3">
      <c r="G1951" s="10" t="s">
        <v>1927</v>
      </c>
      <c r="H1951" s="11" t="s">
        <v>2039</v>
      </c>
      <c r="I1951" s="11" t="s">
        <v>1998</v>
      </c>
      <c r="J1951" s="12">
        <v>0.02</v>
      </c>
    </row>
    <row r="1952" spans="7:10" hidden="1" x14ac:dyDescent="0.3">
      <c r="G1952" s="10" t="s">
        <v>1933</v>
      </c>
      <c r="H1952" s="11" t="s">
        <v>2034</v>
      </c>
      <c r="I1952" s="11" t="s">
        <v>1998</v>
      </c>
      <c r="J1952" s="12">
        <v>0.26</v>
      </c>
    </row>
    <row r="1953" spans="7:10" hidden="1" x14ac:dyDescent="0.3">
      <c r="G1953" s="7" t="s">
        <v>1934</v>
      </c>
      <c r="H1953" s="8" t="s">
        <v>2038</v>
      </c>
      <c r="I1953" s="8" t="s">
        <v>1998</v>
      </c>
      <c r="J1953" s="9">
        <v>1.4</v>
      </c>
    </row>
    <row r="1954" spans="7:10" hidden="1" x14ac:dyDescent="0.3">
      <c r="G1954" s="7" t="s">
        <v>1955</v>
      </c>
      <c r="H1954" s="8" t="s">
        <v>2050</v>
      </c>
      <c r="I1954" s="8" t="s">
        <v>1998</v>
      </c>
      <c r="J1954" s="9">
        <v>0.2</v>
      </c>
    </row>
    <row r="1955" spans="7:10" hidden="1" x14ac:dyDescent="0.3">
      <c r="G1955" s="10" t="s">
        <v>105</v>
      </c>
      <c r="H1955" s="11" t="s">
        <v>2034</v>
      </c>
      <c r="I1955" s="11" t="s">
        <v>1988</v>
      </c>
      <c r="J1955" s="12">
        <v>46.31</v>
      </c>
    </row>
    <row r="1956" spans="7:10" hidden="1" x14ac:dyDescent="0.3">
      <c r="G1956" s="10" t="s">
        <v>119</v>
      </c>
      <c r="H1956" s="11" t="s">
        <v>2041</v>
      </c>
      <c r="I1956" s="11" t="s">
        <v>1988</v>
      </c>
      <c r="J1956" s="12">
        <v>50.53</v>
      </c>
    </row>
    <row r="1957" spans="7:10" hidden="1" x14ac:dyDescent="0.3">
      <c r="G1957" s="10" t="s">
        <v>146</v>
      </c>
      <c r="H1957" s="11" t="s">
        <v>2055</v>
      </c>
      <c r="I1957" s="11" t="s">
        <v>1988</v>
      </c>
      <c r="J1957" s="12">
        <v>18.27</v>
      </c>
    </row>
    <row r="1958" spans="7:10" hidden="1" x14ac:dyDescent="0.3">
      <c r="G1958" s="7" t="s">
        <v>168</v>
      </c>
      <c r="H1958" s="8" t="s">
        <v>2034</v>
      </c>
      <c r="I1958" s="8" t="s">
        <v>1988</v>
      </c>
      <c r="J1958" s="9">
        <v>28.49</v>
      </c>
    </row>
    <row r="1959" spans="7:10" hidden="1" x14ac:dyDescent="0.3">
      <c r="G1959" s="10" t="s">
        <v>199</v>
      </c>
      <c r="H1959" s="11" t="s">
        <v>2041</v>
      </c>
      <c r="I1959" s="11" t="s">
        <v>1988</v>
      </c>
      <c r="J1959" s="12">
        <v>40.380000000000003</v>
      </c>
    </row>
    <row r="1960" spans="7:10" hidden="1" x14ac:dyDescent="0.3">
      <c r="G1960" s="10" t="s">
        <v>350</v>
      </c>
      <c r="H1960" s="11" t="s">
        <v>2039</v>
      </c>
      <c r="I1960" s="11" t="s">
        <v>1988</v>
      </c>
      <c r="J1960" s="12">
        <v>12.72</v>
      </c>
    </row>
    <row r="1961" spans="7:10" hidden="1" x14ac:dyDescent="0.3">
      <c r="G1961" s="7" t="s">
        <v>388</v>
      </c>
      <c r="H1961" s="8" t="s">
        <v>2036</v>
      </c>
      <c r="I1961" s="8" t="s">
        <v>1988</v>
      </c>
      <c r="J1961" s="9">
        <v>15.37</v>
      </c>
    </row>
    <row r="1962" spans="7:10" hidden="1" x14ac:dyDescent="0.3">
      <c r="G1962" s="7" t="s">
        <v>425</v>
      </c>
      <c r="H1962" s="8" t="s">
        <v>2038</v>
      </c>
      <c r="I1962" s="8" t="s">
        <v>1988</v>
      </c>
      <c r="J1962" s="9">
        <v>20.34</v>
      </c>
    </row>
    <row r="1963" spans="7:10" hidden="1" x14ac:dyDescent="0.3">
      <c r="G1963" s="7" t="s">
        <v>431</v>
      </c>
      <c r="H1963" s="8" t="s">
        <v>2038</v>
      </c>
      <c r="I1963" s="8" t="s">
        <v>1988</v>
      </c>
      <c r="J1963" s="9">
        <v>9.0299999999999994</v>
      </c>
    </row>
    <row r="1964" spans="7:10" hidden="1" x14ac:dyDescent="0.3">
      <c r="G1964" s="7" t="s">
        <v>487</v>
      </c>
      <c r="H1964" s="8" t="s">
        <v>2038</v>
      </c>
      <c r="I1964" s="8" t="s">
        <v>1988</v>
      </c>
      <c r="J1964" s="9">
        <v>12.09</v>
      </c>
    </row>
    <row r="1965" spans="7:10" hidden="1" x14ac:dyDescent="0.3">
      <c r="G1965" s="10" t="s">
        <v>537</v>
      </c>
      <c r="H1965" s="11" t="s">
        <v>2041</v>
      </c>
      <c r="I1965" s="11" t="s">
        <v>1988</v>
      </c>
      <c r="J1965" s="12">
        <v>15.26</v>
      </c>
    </row>
    <row r="1966" spans="7:10" hidden="1" x14ac:dyDescent="0.3">
      <c r="G1966" s="7" t="s">
        <v>540</v>
      </c>
      <c r="H1966" s="8" t="s">
        <v>2050</v>
      </c>
      <c r="I1966" s="8" t="s">
        <v>1988</v>
      </c>
      <c r="J1966" s="9">
        <v>10.119999999999999</v>
      </c>
    </row>
    <row r="1967" spans="7:10" hidden="1" x14ac:dyDescent="0.3">
      <c r="G1967" s="10" t="s">
        <v>555</v>
      </c>
      <c r="H1967" s="11" t="s">
        <v>2034</v>
      </c>
      <c r="I1967" s="11" t="s">
        <v>1988</v>
      </c>
      <c r="J1967" s="12">
        <v>7.66</v>
      </c>
    </row>
    <row r="1968" spans="7:10" hidden="1" x14ac:dyDescent="0.3">
      <c r="G1968" s="7" t="s">
        <v>567</v>
      </c>
      <c r="H1968" s="8" t="s">
        <v>2034</v>
      </c>
      <c r="I1968" s="8" t="s">
        <v>1988</v>
      </c>
      <c r="J1968" s="9">
        <v>8.25</v>
      </c>
    </row>
    <row r="1969" spans="7:10" hidden="1" x14ac:dyDescent="0.3">
      <c r="G1969" s="10" t="s">
        <v>584</v>
      </c>
      <c r="H1969" s="11" t="s">
        <v>2065</v>
      </c>
      <c r="I1969" s="11" t="s">
        <v>1988</v>
      </c>
      <c r="J1969" s="12">
        <v>6.89</v>
      </c>
    </row>
    <row r="1970" spans="7:10" hidden="1" x14ac:dyDescent="0.3">
      <c r="G1970" s="7" t="s">
        <v>597</v>
      </c>
      <c r="H1970" s="8" t="s">
        <v>2037</v>
      </c>
      <c r="I1970" s="8" t="s">
        <v>1988</v>
      </c>
      <c r="J1970" s="9">
        <v>7.69</v>
      </c>
    </row>
    <row r="1971" spans="7:10" hidden="1" x14ac:dyDescent="0.3">
      <c r="G1971" s="7" t="s">
        <v>601</v>
      </c>
      <c r="H1971" s="8" t="s">
        <v>2038</v>
      </c>
      <c r="I1971" s="8" t="s">
        <v>1988</v>
      </c>
      <c r="J1971" s="9">
        <v>12.85</v>
      </c>
    </row>
    <row r="1972" spans="7:10" hidden="1" x14ac:dyDescent="0.3">
      <c r="G1972" s="7" t="s">
        <v>623</v>
      </c>
      <c r="H1972" s="8" t="s">
        <v>2034</v>
      </c>
      <c r="I1972" s="8" t="s">
        <v>1988</v>
      </c>
      <c r="J1972" s="9">
        <v>18.61</v>
      </c>
    </row>
    <row r="1973" spans="7:10" hidden="1" x14ac:dyDescent="0.3">
      <c r="G1973" s="7" t="s">
        <v>635</v>
      </c>
      <c r="H1973" s="8" t="s">
        <v>2034</v>
      </c>
      <c r="I1973" s="8" t="s">
        <v>1988</v>
      </c>
      <c r="J1973" s="9">
        <v>7.99</v>
      </c>
    </row>
    <row r="1974" spans="7:10" hidden="1" x14ac:dyDescent="0.3">
      <c r="G1974" s="10" t="s">
        <v>636</v>
      </c>
      <c r="H1974" s="11" t="s">
        <v>2034</v>
      </c>
      <c r="I1974" s="11" t="s">
        <v>1988</v>
      </c>
      <c r="J1974" s="12">
        <v>10.199999999999999</v>
      </c>
    </row>
    <row r="1975" spans="7:10" hidden="1" x14ac:dyDescent="0.3">
      <c r="G1975" s="10" t="s">
        <v>644</v>
      </c>
      <c r="H1975" s="11" t="s">
        <v>2034</v>
      </c>
      <c r="I1975" s="11" t="s">
        <v>1988</v>
      </c>
      <c r="J1975" s="12">
        <v>6.63</v>
      </c>
    </row>
    <row r="1976" spans="7:10" hidden="1" x14ac:dyDescent="0.3">
      <c r="G1976" s="10" t="s">
        <v>664</v>
      </c>
      <c r="H1976" s="11" t="s">
        <v>2035</v>
      </c>
      <c r="I1976" s="11" t="s">
        <v>1988</v>
      </c>
      <c r="J1976" s="12">
        <v>6.62</v>
      </c>
    </row>
    <row r="1977" spans="7:10" hidden="1" x14ac:dyDescent="0.3">
      <c r="G1977" s="10" t="s">
        <v>706</v>
      </c>
      <c r="H1977" s="11" t="s">
        <v>2035</v>
      </c>
      <c r="I1977" s="11" t="s">
        <v>1988</v>
      </c>
      <c r="J1977" s="12">
        <v>9.99</v>
      </c>
    </row>
    <row r="1978" spans="7:10" hidden="1" x14ac:dyDescent="0.3">
      <c r="G1978" s="7" t="s">
        <v>711</v>
      </c>
      <c r="H1978" s="8" t="s">
        <v>2036</v>
      </c>
      <c r="I1978" s="8" t="s">
        <v>1988</v>
      </c>
      <c r="J1978" s="9">
        <v>10.52</v>
      </c>
    </row>
    <row r="1979" spans="7:10" hidden="1" x14ac:dyDescent="0.3">
      <c r="G1979" s="7" t="s">
        <v>778</v>
      </c>
      <c r="H1979" s="8" t="s">
        <v>2065</v>
      </c>
      <c r="I1979" s="8" t="s">
        <v>1988</v>
      </c>
      <c r="J1979" s="9">
        <v>4.5999999999999996</v>
      </c>
    </row>
    <row r="1980" spans="7:10" hidden="1" x14ac:dyDescent="0.3">
      <c r="G1980" s="7" t="s">
        <v>801</v>
      </c>
      <c r="H1980" s="8" t="s">
        <v>2065</v>
      </c>
      <c r="I1980" s="8" t="s">
        <v>1988</v>
      </c>
      <c r="J1980" s="9">
        <v>4.34</v>
      </c>
    </row>
    <row r="1981" spans="7:10" hidden="1" x14ac:dyDescent="0.3">
      <c r="G1981" s="7" t="s">
        <v>1989</v>
      </c>
      <c r="H1981" s="8" t="s">
        <v>2038</v>
      </c>
      <c r="I1981" s="8" t="s">
        <v>1988</v>
      </c>
      <c r="J1981" s="9">
        <v>11.45</v>
      </c>
    </row>
    <row r="1982" spans="7:10" hidden="1" x14ac:dyDescent="0.3">
      <c r="G1982" s="10" t="s">
        <v>969</v>
      </c>
      <c r="H1982" s="11" t="s">
        <v>2047</v>
      </c>
      <c r="I1982" s="11" t="s">
        <v>1988</v>
      </c>
      <c r="J1982" s="12">
        <v>3.61</v>
      </c>
    </row>
    <row r="1983" spans="7:10" hidden="1" x14ac:dyDescent="0.3">
      <c r="G1983" s="7" t="s">
        <v>981</v>
      </c>
      <c r="H1983" s="8" t="s">
        <v>2038</v>
      </c>
      <c r="I1983" s="8" t="s">
        <v>1988</v>
      </c>
      <c r="J1983" s="9">
        <v>4.8</v>
      </c>
    </row>
    <row r="1984" spans="7:10" hidden="1" x14ac:dyDescent="0.3">
      <c r="G1984" s="7" t="s">
        <v>995</v>
      </c>
      <c r="H1984" s="8" t="s">
        <v>2034</v>
      </c>
      <c r="I1984" s="8" t="s">
        <v>1988</v>
      </c>
      <c r="J1984" s="9">
        <v>5.49</v>
      </c>
    </row>
    <row r="1985" spans="7:10" hidden="1" x14ac:dyDescent="0.3">
      <c r="G1985" s="10" t="s">
        <v>1000</v>
      </c>
      <c r="H1985" s="11" t="s">
        <v>2043</v>
      </c>
      <c r="I1985" s="11" t="s">
        <v>1988</v>
      </c>
      <c r="J1985" s="12">
        <v>11.2</v>
      </c>
    </row>
    <row r="1986" spans="7:10" hidden="1" x14ac:dyDescent="0.3">
      <c r="G1986" s="10" t="s">
        <v>1004</v>
      </c>
      <c r="H1986" s="11" t="s">
        <v>2034</v>
      </c>
      <c r="I1986" s="11" t="s">
        <v>1988</v>
      </c>
      <c r="J1986" s="12">
        <v>7.06</v>
      </c>
    </row>
    <row r="1987" spans="7:10" hidden="1" x14ac:dyDescent="0.3">
      <c r="G1987" s="10" t="s">
        <v>1016</v>
      </c>
      <c r="H1987" s="11" t="s">
        <v>2049</v>
      </c>
      <c r="I1987" s="11" t="s">
        <v>1988</v>
      </c>
      <c r="J1987" s="12">
        <v>7.1</v>
      </c>
    </row>
    <row r="1988" spans="7:10" hidden="1" x14ac:dyDescent="0.3">
      <c r="G1988" s="7" t="s">
        <v>1094</v>
      </c>
      <c r="H1988" s="8" t="s">
        <v>2034</v>
      </c>
      <c r="I1988" s="8" t="s">
        <v>1988</v>
      </c>
      <c r="J1988" s="9">
        <v>12.94</v>
      </c>
    </row>
    <row r="1989" spans="7:10" hidden="1" x14ac:dyDescent="0.3">
      <c r="G1989" s="10" t="s">
        <v>1099</v>
      </c>
      <c r="H1989" s="11" t="s">
        <v>2038</v>
      </c>
      <c r="I1989" s="11" t="s">
        <v>1988</v>
      </c>
      <c r="J1989" s="12">
        <v>8.48</v>
      </c>
    </row>
    <row r="1990" spans="7:10" hidden="1" x14ac:dyDescent="0.3">
      <c r="G1990" s="10" t="s">
        <v>1121</v>
      </c>
      <c r="H1990" s="11" t="s">
        <v>2034</v>
      </c>
      <c r="I1990" s="11" t="s">
        <v>1988</v>
      </c>
      <c r="J1990" s="12">
        <v>4.53</v>
      </c>
    </row>
    <row r="1991" spans="7:10" hidden="1" x14ac:dyDescent="0.3">
      <c r="G1991" s="10" t="s">
        <v>1167</v>
      </c>
      <c r="H1991" s="11" t="s">
        <v>2034</v>
      </c>
      <c r="I1991" s="11" t="s">
        <v>1988</v>
      </c>
      <c r="J1991" s="12">
        <v>6.07</v>
      </c>
    </row>
    <row r="1992" spans="7:10" hidden="1" x14ac:dyDescent="0.3">
      <c r="G1992" s="7" t="s">
        <v>1188</v>
      </c>
      <c r="H1992" s="8" t="s">
        <v>2038</v>
      </c>
      <c r="I1992" s="8" t="s">
        <v>1988</v>
      </c>
      <c r="J1992" s="9">
        <v>6.88</v>
      </c>
    </row>
    <row r="1993" spans="7:10" hidden="1" x14ac:dyDescent="0.3">
      <c r="G1993" s="10" t="s">
        <v>1289</v>
      </c>
      <c r="H1993" s="11" t="s">
        <v>2045</v>
      </c>
      <c r="I1993" s="11" t="s">
        <v>1988</v>
      </c>
      <c r="J1993" s="12">
        <v>3.79</v>
      </c>
    </row>
    <row r="1994" spans="7:10" hidden="1" x14ac:dyDescent="0.3">
      <c r="G1994" s="10" t="s">
        <v>1297</v>
      </c>
      <c r="H1994" s="11" t="s">
        <v>2038</v>
      </c>
      <c r="I1994" s="11" t="s">
        <v>1988</v>
      </c>
      <c r="J1994" s="12">
        <v>9.36</v>
      </c>
    </row>
    <row r="1995" spans="7:10" hidden="1" x14ac:dyDescent="0.3">
      <c r="G1995" s="10" t="s">
        <v>1312</v>
      </c>
      <c r="H1995" s="11" t="s">
        <v>2038</v>
      </c>
      <c r="I1995" s="11" t="s">
        <v>1988</v>
      </c>
      <c r="J1995" s="12">
        <v>3.8</v>
      </c>
    </row>
    <row r="1996" spans="7:10" hidden="1" x14ac:dyDescent="0.3">
      <c r="G1996" s="7" t="s">
        <v>1329</v>
      </c>
      <c r="H1996" s="8" t="s">
        <v>2043</v>
      </c>
      <c r="I1996" s="8" t="s">
        <v>1988</v>
      </c>
      <c r="J1996" s="9">
        <v>7.71</v>
      </c>
    </row>
    <row r="1997" spans="7:10" hidden="1" x14ac:dyDescent="0.3">
      <c r="G1997" s="7" t="s">
        <v>1990</v>
      </c>
      <c r="H1997" s="8" t="s">
        <v>2037</v>
      </c>
      <c r="I1997" s="8" t="s">
        <v>1988</v>
      </c>
      <c r="J1997" s="9">
        <v>5.63</v>
      </c>
    </row>
    <row r="1998" spans="7:10" hidden="1" x14ac:dyDescent="0.3">
      <c r="G1998" s="10" t="s">
        <v>1355</v>
      </c>
      <c r="H1998" s="11" t="s">
        <v>2038</v>
      </c>
      <c r="I1998" s="11" t="s">
        <v>1988</v>
      </c>
      <c r="J1998" s="12">
        <v>5.49</v>
      </c>
    </row>
    <row r="1999" spans="7:10" hidden="1" x14ac:dyDescent="0.3">
      <c r="G1999" s="7" t="s">
        <v>1386</v>
      </c>
      <c r="H1999" s="8" t="s">
        <v>2076</v>
      </c>
      <c r="I1999" s="8" t="s">
        <v>1988</v>
      </c>
      <c r="J1999" s="9">
        <v>5.44</v>
      </c>
    </row>
    <row r="2000" spans="7:10" hidden="1" x14ac:dyDescent="0.3">
      <c r="G2000" s="10" t="s">
        <v>1395</v>
      </c>
      <c r="H2000" s="11" t="s">
        <v>2044</v>
      </c>
      <c r="I2000" s="11" t="s">
        <v>1988</v>
      </c>
      <c r="J2000" s="12">
        <v>4.7699999999999996</v>
      </c>
    </row>
    <row r="2001" spans="7:10" hidden="1" x14ac:dyDescent="0.3">
      <c r="G2001" s="7" t="s">
        <v>1396</v>
      </c>
      <c r="H2001" s="8" t="s">
        <v>2067</v>
      </c>
      <c r="I2001" s="8" t="s">
        <v>1988</v>
      </c>
      <c r="J2001" s="9">
        <v>3.97</v>
      </c>
    </row>
    <row r="2002" spans="7:10" hidden="1" x14ac:dyDescent="0.3">
      <c r="G2002" s="7" t="s">
        <v>1404</v>
      </c>
      <c r="H2002" s="8" t="s">
        <v>2034</v>
      </c>
      <c r="I2002" s="8" t="s">
        <v>1988</v>
      </c>
      <c r="J2002" s="9">
        <v>4.5999999999999996</v>
      </c>
    </row>
    <row r="2003" spans="7:10" hidden="1" x14ac:dyDescent="0.3">
      <c r="G2003" s="10" t="s">
        <v>1423</v>
      </c>
      <c r="H2003" s="11" t="s">
        <v>2038</v>
      </c>
      <c r="I2003" s="11" t="s">
        <v>1988</v>
      </c>
      <c r="J2003" s="12">
        <v>3.63</v>
      </c>
    </row>
    <row r="2004" spans="7:10" hidden="1" x14ac:dyDescent="0.3">
      <c r="G2004" s="7" t="s">
        <v>1434</v>
      </c>
      <c r="H2004" s="8" t="s">
        <v>2037</v>
      </c>
      <c r="I2004" s="8" t="s">
        <v>1988</v>
      </c>
      <c r="J2004" s="9">
        <v>7.48</v>
      </c>
    </row>
    <row r="2005" spans="7:10" hidden="1" x14ac:dyDescent="0.3">
      <c r="G2005" s="10" t="s">
        <v>1451</v>
      </c>
      <c r="H2005" s="11" t="s">
        <v>2039</v>
      </c>
      <c r="I2005" s="11" t="s">
        <v>1988</v>
      </c>
      <c r="J2005" s="12">
        <v>7.17</v>
      </c>
    </row>
    <row r="2006" spans="7:10" hidden="1" x14ac:dyDescent="0.3">
      <c r="G2006" s="7" t="s">
        <v>1456</v>
      </c>
      <c r="H2006" s="8" t="s">
        <v>2038</v>
      </c>
      <c r="I2006" s="8" t="s">
        <v>1988</v>
      </c>
      <c r="J2006" s="9">
        <v>2.85</v>
      </c>
    </row>
    <row r="2007" spans="7:10" hidden="1" x14ac:dyDescent="0.3">
      <c r="G2007" s="7" t="s">
        <v>1490</v>
      </c>
      <c r="H2007" s="8" t="s">
        <v>2038</v>
      </c>
      <c r="I2007" s="8" t="s">
        <v>1988</v>
      </c>
      <c r="J2007" s="9">
        <v>4.09</v>
      </c>
    </row>
    <row r="2008" spans="7:10" hidden="1" x14ac:dyDescent="0.3">
      <c r="G2008" s="7" t="s">
        <v>1520</v>
      </c>
      <c r="H2008" s="8" t="s">
        <v>2041</v>
      </c>
      <c r="I2008" s="8" t="s">
        <v>1988</v>
      </c>
      <c r="J2008" s="9">
        <v>9.19</v>
      </c>
    </row>
    <row r="2009" spans="7:10" hidden="1" x14ac:dyDescent="0.3">
      <c r="G2009" s="10" t="s">
        <v>1567</v>
      </c>
      <c r="H2009" s="11" t="s">
        <v>1975</v>
      </c>
      <c r="I2009" s="11" t="s">
        <v>1988</v>
      </c>
      <c r="J2009" s="12">
        <v>3.91</v>
      </c>
    </row>
    <row r="2010" spans="7:10" hidden="1" x14ac:dyDescent="0.3">
      <c r="G2010" s="7" t="s">
        <v>1684</v>
      </c>
      <c r="H2010" s="8" t="s">
        <v>2038</v>
      </c>
      <c r="I2010" s="8" t="s">
        <v>1988</v>
      </c>
      <c r="J2010" s="9">
        <v>5.25</v>
      </c>
    </row>
    <row r="2011" spans="7:10" hidden="1" x14ac:dyDescent="0.3">
      <c r="G2011" s="7" t="s">
        <v>1704</v>
      </c>
      <c r="H2011" s="8" t="s">
        <v>2047</v>
      </c>
      <c r="I2011" s="8" t="s">
        <v>1988</v>
      </c>
      <c r="J2011" s="9">
        <v>3.42</v>
      </c>
    </row>
    <row r="2012" spans="7:10" hidden="1" x14ac:dyDescent="0.3">
      <c r="G2012" s="10" t="s">
        <v>1991</v>
      </c>
      <c r="H2012" s="11" t="s">
        <v>2047</v>
      </c>
      <c r="I2012" s="11" t="s">
        <v>1988</v>
      </c>
      <c r="J2012" s="12">
        <v>5.83</v>
      </c>
    </row>
    <row r="2013" spans="7:10" hidden="1" x14ac:dyDescent="0.3">
      <c r="G2013" s="10" t="s">
        <v>1771</v>
      </c>
      <c r="H2013" s="11" t="s">
        <v>2038</v>
      </c>
      <c r="I2013" s="11" t="s">
        <v>1988</v>
      </c>
      <c r="J2013" s="12">
        <v>3.31</v>
      </c>
    </row>
    <row r="2014" spans="7:10" hidden="1" x14ac:dyDescent="0.3">
      <c r="G2014" s="7" t="s">
        <v>1806</v>
      </c>
      <c r="H2014" s="8" t="s">
        <v>2043</v>
      </c>
      <c r="I2014" s="8" t="s">
        <v>1988</v>
      </c>
      <c r="J2014" s="9">
        <v>3.11</v>
      </c>
    </row>
    <row r="2015" spans="7:10" hidden="1" x14ac:dyDescent="0.3">
      <c r="G2015" s="7" t="s">
        <v>1843</v>
      </c>
      <c r="H2015" s="8" t="s">
        <v>2034</v>
      </c>
      <c r="I2015" s="8" t="s">
        <v>1988</v>
      </c>
      <c r="J2015" s="9">
        <v>1.67</v>
      </c>
    </row>
    <row r="2016" spans="7:10" hidden="1" x14ac:dyDescent="0.3">
      <c r="G2016" s="7" t="s">
        <v>1845</v>
      </c>
      <c r="H2016" s="8" t="s">
        <v>2043</v>
      </c>
      <c r="I2016" s="8" t="s">
        <v>1988</v>
      </c>
      <c r="J2016" s="9">
        <v>2.29</v>
      </c>
    </row>
    <row r="2017" spans="7:10" hidden="1" x14ac:dyDescent="0.3">
      <c r="G2017" s="13" t="s">
        <v>1909</v>
      </c>
      <c r="H2017" s="14" t="s">
        <v>2034</v>
      </c>
      <c r="I2017" s="14" t="s">
        <v>1988</v>
      </c>
      <c r="J2017" s="15">
        <v>4.04</v>
      </c>
    </row>
    <row r="2018" spans="7:10" x14ac:dyDescent="0.3">
      <c r="I2018" s="19" t="s">
        <v>2093</v>
      </c>
      <c r="J2018" s="20">
        <f>SUBTOTAL(9,J36:J110)</f>
        <v>1227.5899999999999</v>
      </c>
    </row>
    <row r="2021" spans="7:10" x14ac:dyDescent="0.3">
      <c r="I2021" s="18" t="s">
        <v>2092</v>
      </c>
      <c r="J2021" s="17">
        <f>SUBTOTAL(3,G36:G110)</f>
        <v>27</v>
      </c>
    </row>
  </sheetData>
  <autoFilter ref="G17:J2017" xr:uid="{E21D7593-17FC-411F-B55D-301EC0D184BE}">
    <filterColumn colId="2">
      <filters>
        <filter val="Банк"/>
      </filters>
    </filterColumn>
    <filterColumn colId="3">
      <customFilters>
        <customFilter operator="greaterThanOrEqual" val="20"/>
      </customFilters>
    </filterColumn>
    <sortState xmlns:xlrd2="http://schemas.microsoft.com/office/spreadsheetml/2017/richdata2" ref="G18:J2017">
      <sortCondition ref="I18:I2017"/>
    </sortState>
  </autoFilter>
  <conditionalFormatting sqref="K36:K1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{7872B9DB-93FA-4FE8-ACF1-6ACE28533FF3}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J2018" formulaRang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72B9DB-93FA-4FE8-ACF1-6ACE28533F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K36:K110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2583-33FB-474B-99EB-EBE00B745F6B}">
  <sheetPr filterMode="1"/>
  <dimension ref="F4:J2005"/>
  <sheetViews>
    <sheetView topLeftCell="A946" workbookViewId="0">
      <selection activeCell="A12" sqref="A12"/>
    </sheetView>
  </sheetViews>
  <sheetFormatPr defaultRowHeight="14.4" x14ac:dyDescent="0.3"/>
  <cols>
    <col min="5" max="5" width="8.6640625" customWidth="1"/>
    <col min="6" max="6" width="9.109375" hidden="1" customWidth="1"/>
    <col min="7" max="7" width="21.6640625" customWidth="1"/>
    <col min="8" max="8" width="20.88671875" customWidth="1"/>
    <col min="9" max="9" width="19.109375" customWidth="1"/>
    <col min="10" max="10" width="21.6640625" customWidth="1"/>
  </cols>
  <sheetData>
    <row r="4" spans="7:10" x14ac:dyDescent="0.3">
      <c r="G4" s="4" t="s">
        <v>1974</v>
      </c>
      <c r="H4" s="5" t="s">
        <v>1973</v>
      </c>
      <c r="I4" s="5" t="s">
        <v>1972</v>
      </c>
      <c r="J4" s="6" t="s">
        <v>1971</v>
      </c>
    </row>
    <row r="5" spans="7:10" hidden="1" x14ac:dyDescent="0.3">
      <c r="G5" s="7" t="s">
        <v>0</v>
      </c>
      <c r="H5" s="8" t="s">
        <v>2034</v>
      </c>
      <c r="I5" s="8" t="s">
        <v>1979</v>
      </c>
      <c r="J5" s="9">
        <v>120.32</v>
      </c>
    </row>
    <row r="6" spans="7:10" hidden="1" x14ac:dyDescent="0.3">
      <c r="G6" s="10" t="s">
        <v>1</v>
      </c>
      <c r="H6" s="11" t="s">
        <v>2034</v>
      </c>
      <c r="I6" s="11" t="s">
        <v>1992</v>
      </c>
      <c r="J6" s="12">
        <v>149.69999999999999</v>
      </c>
    </row>
    <row r="7" spans="7:10" hidden="1" x14ac:dyDescent="0.3">
      <c r="G7" s="7" t="s">
        <v>2</v>
      </c>
      <c r="H7" s="8" t="s">
        <v>2034</v>
      </c>
      <c r="I7" s="8" t="s">
        <v>1979</v>
      </c>
      <c r="J7" s="9">
        <v>85.39</v>
      </c>
    </row>
    <row r="8" spans="7:10" hidden="1" x14ac:dyDescent="0.3">
      <c r="G8" s="10" t="s">
        <v>3</v>
      </c>
      <c r="H8" s="11" t="s">
        <v>2034</v>
      </c>
      <c r="I8" s="11" t="s">
        <v>2005</v>
      </c>
      <c r="J8" s="12">
        <v>106.98</v>
      </c>
    </row>
    <row r="9" spans="7:10" hidden="1" x14ac:dyDescent="0.3">
      <c r="G9" s="7" t="s">
        <v>4</v>
      </c>
      <c r="H9" s="8" t="s">
        <v>2035</v>
      </c>
      <c r="I9" s="8" t="s">
        <v>1979</v>
      </c>
      <c r="J9" s="9">
        <v>76.38</v>
      </c>
    </row>
    <row r="10" spans="7:10" hidden="1" x14ac:dyDescent="0.3">
      <c r="G10" s="10" t="s">
        <v>5</v>
      </c>
      <c r="H10" s="11" t="s">
        <v>2034</v>
      </c>
      <c r="I10" s="11" t="s">
        <v>2022</v>
      </c>
      <c r="J10" s="12">
        <v>328.21</v>
      </c>
    </row>
    <row r="11" spans="7:10" hidden="1" x14ac:dyDescent="0.3">
      <c r="G11" s="7" t="s">
        <v>6</v>
      </c>
      <c r="H11" s="8" t="s">
        <v>2036</v>
      </c>
      <c r="I11" s="8" t="s">
        <v>2022</v>
      </c>
      <c r="J11" s="9">
        <v>306.73</v>
      </c>
    </row>
    <row r="12" spans="7:10" hidden="1" x14ac:dyDescent="0.3">
      <c r="G12" s="10" t="s">
        <v>7</v>
      </c>
      <c r="H12" s="11" t="s">
        <v>2035</v>
      </c>
      <c r="I12" s="11" t="s">
        <v>2022</v>
      </c>
      <c r="J12" s="12">
        <v>249.47</v>
      </c>
    </row>
    <row r="13" spans="7:10" hidden="1" x14ac:dyDescent="0.3">
      <c r="G13" s="7" t="s">
        <v>8</v>
      </c>
      <c r="H13" s="8" t="s">
        <v>2034</v>
      </c>
      <c r="I13" s="8" t="s">
        <v>1979</v>
      </c>
      <c r="J13" s="9">
        <v>79.900000000000006</v>
      </c>
    </row>
    <row r="14" spans="7:10" hidden="1" x14ac:dyDescent="0.3">
      <c r="G14" s="10" t="s">
        <v>9</v>
      </c>
      <c r="H14" s="11" t="s">
        <v>2037</v>
      </c>
      <c r="I14" s="11" t="s">
        <v>1998</v>
      </c>
      <c r="J14" s="12">
        <v>78.25</v>
      </c>
    </row>
    <row r="15" spans="7:10" hidden="1" x14ac:dyDescent="0.3">
      <c r="G15" s="7" t="s">
        <v>10</v>
      </c>
      <c r="H15" s="8" t="s">
        <v>2036</v>
      </c>
      <c r="I15" s="8" t="s">
        <v>1998</v>
      </c>
      <c r="J15" s="9">
        <v>137.11000000000001</v>
      </c>
    </row>
    <row r="16" spans="7:10" hidden="1" x14ac:dyDescent="0.3">
      <c r="G16" s="10" t="s">
        <v>11</v>
      </c>
      <c r="H16" s="11" t="s">
        <v>2038</v>
      </c>
      <c r="I16" s="11" t="s">
        <v>1997</v>
      </c>
      <c r="J16" s="12">
        <v>173.09</v>
      </c>
    </row>
    <row r="17" spans="7:10" hidden="1" x14ac:dyDescent="0.3">
      <c r="G17" s="7" t="s">
        <v>12</v>
      </c>
      <c r="H17" s="8" t="s">
        <v>2034</v>
      </c>
      <c r="I17" s="8" t="s">
        <v>2023</v>
      </c>
      <c r="J17" s="9">
        <v>312.43</v>
      </c>
    </row>
    <row r="18" spans="7:10" hidden="1" x14ac:dyDescent="0.3">
      <c r="G18" s="10" t="s">
        <v>13</v>
      </c>
      <c r="H18" s="11" t="s">
        <v>2035</v>
      </c>
      <c r="I18" s="11" t="s">
        <v>1979</v>
      </c>
      <c r="J18" s="12">
        <v>55.05</v>
      </c>
    </row>
    <row r="19" spans="7:10" hidden="1" x14ac:dyDescent="0.3">
      <c r="G19" s="7" t="s">
        <v>14</v>
      </c>
      <c r="H19" s="8" t="s">
        <v>2039</v>
      </c>
      <c r="I19" s="8" t="s">
        <v>2022</v>
      </c>
      <c r="J19" s="9">
        <v>144.94</v>
      </c>
    </row>
    <row r="20" spans="7:10" hidden="1" x14ac:dyDescent="0.3">
      <c r="G20" s="10" t="s">
        <v>15</v>
      </c>
      <c r="H20" s="11" t="s">
        <v>2034</v>
      </c>
      <c r="I20" s="11" t="s">
        <v>2022</v>
      </c>
      <c r="J20" s="12">
        <v>184.92</v>
      </c>
    </row>
    <row r="21" spans="7:10" hidden="1" x14ac:dyDescent="0.3">
      <c r="G21" s="7" t="s">
        <v>16</v>
      </c>
      <c r="H21" s="8" t="s">
        <v>2039</v>
      </c>
      <c r="I21" s="8" t="s">
        <v>1979</v>
      </c>
      <c r="J21" s="9">
        <v>60.9</v>
      </c>
    </row>
    <row r="22" spans="7:10" hidden="1" x14ac:dyDescent="0.3">
      <c r="G22" s="10" t="s">
        <v>17</v>
      </c>
      <c r="H22" s="11" t="s">
        <v>2034</v>
      </c>
      <c r="I22" s="11" t="s">
        <v>1998</v>
      </c>
      <c r="J22" s="12">
        <v>76.33</v>
      </c>
    </row>
    <row r="23" spans="7:10" hidden="1" x14ac:dyDescent="0.3">
      <c r="G23" s="7" t="s">
        <v>18</v>
      </c>
      <c r="H23" s="8" t="s">
        <v>2040</v>
      </c>
      <c r="I23" s="8" t="s">
        <v>1979</v>
      </c>
      <c r="J23" s="9">
        <v>44.81</v>
      </c>
    </row>
    <row r="24" spans="7:10" hidden="1" x14ac:dyDescent="0.3">
      <c r="G24" s="10" t="s">
        <v>19</v>
      </c>
      <c r="H24" s="11" t="s">
        <v>2035</v>
      </c>
      <c r="I24" s="11" t="s">
        <v>1979</v>
      </c>
      <c r="J24" s="12">
        <v>47.87</v>
      </c>
    </row>
    <row r="25" spans="7:10" hidden="1" x14ac:dyDescent="0.3">
      <c r="G25" s="7" t="s">
        <v>20</v>
      </c>
      <c r="H25" s="8" t="s">
        <v>2034</v>
      </c>
      <c r="I25" s="8" t="s">
        <v>2004</v>
      </c>
      <c r="J25" s="9">
        <v>61.68</v>
      </c>
    </row>
    <row r="26" spans="7:10" hidden="1" x14ac:dyDescent="0.3">
      <c r="G26" s="10" t="s">
        <v>21</v>
      </c>
      <c r="H26" s="11" t="s">
        <v>2034</v>
      </c>
      <c r="I26" s="11" t="s">
        <v>2022</v>
      </c>
      <c r="J26" s="12">
        <v>162.41</v>
      </c>
    </row>
    <row r="27" spans="7:10" hidden="1" x14ac:dyDescent="0.3">
      <c r="G27" s="7" t="s">
        <v>22</v>
      </c>
      <c r="H27" s="8" t="s">
        <v>2034</v>
      </c>
      <c r="I27" s="8" t="s">
        <v>2027</v>
      </c>
      <c r="J27" s="9">
        <v>91.13</v>
      </c>
    </row>
    <row r="28" spans="7:10" hidden="1" x14ac:dyDescent="0.3">
      <c r="G28" s="10" t="s">
        <v>23</v>
      </c>
      <c r="H28" s="11" t="s">
        <v>2035</v>
      </c>
      <c r="I28" s="11" t="s">
        <v>1979</v>
      </c>
      <c r="J28" s="12">
        <v>51.74</v>
      </c>
    </row>
    <row r="29" spans="7:10" hidden="1" x14ac:dyDescent="0.3">
      <c r="G29" s="7" t="s">
        <v>24</v>
      </c>
      <c r="H29" s="8" t="s">
        <v>2034</v>
      </c>
      <c r="I29" s="8" t="s">
        <v>2028</v>
      </c>
      <c r="J29" s="9">
        <v>75.11</v>
      </c>
    </row>
    <row r="30" spans="7:10" hidden="1" x14ac:dyDescent="0.3">
      <c r="G30" s="10" t="s">
        <v>25</v>
      </c>
      <c r="H30" s="11" t="s">
        <v>2034</v>
      </c>
      <c r="I30" s="11" t="s">
        <v>1979</v>
      </c>
      <c r="J30" s="12">
        <v>40.409999999999997</v>
      </c>
    </row>
    <row r="31" spans="7:10" hidden="1" x14ac:dyDescent="0.3">
      <c r="G31" s="7" t="s">
        <v>26</v>
      </c>
      <c r="H31" s="8" t="s">
        <v>2034</v>
      </c>
      <c r="I31" s="8" t="s">
        <v>2001</v>
      </c>
      <c r="J31" s="9">
        <v>68.92</v>
      </c>
    </row>
    <row r="32" spans="7:10" hidden="1" x14ac:dyDescent="0.3">
      <c r="G32" s="10" t="s">
        <v>27</v>
      </c>
      <c r="H32" s="11" t="s">
        <v>2039</v>
      </c>
      <c r="I32" s="11" t="s">
        <v>2005</v>
      </c>
      <c r="J32" s="12">
        <v>115.2</v>
      </c>
    </row>
    <row r="33" spans="7:10" hidden="1" x14ac:dyDescent="0.3">
      <c r="G33" s="7" t="s">
        <v>28</v>
      </c>
      <c r="H33" s="8" t="s">
        <v>2041</v>
      </c>
      <c r="I33" s="8" t="s">
        <v>2005</v>
      </c>
      <c r="J33" s="9">
        <v>124.41</v>
      </c>
    </row>
    <row r="34" spans="7:10" hidden="1" x14ac:dyDescent="0.3">
      <c r="G34" s="10" t="s">
        <v>29</v>
      </c>
      <c r="H34" s="11" t="s">
        <v>2037</v>
      </c>
      <c r="I34" s="11" t="s">
        <v>1998</v>
      </c>
      <c r="J34" s="12">
        <v>68.31</v>
      </c>
    </row>
    <row r="35" spans="7:10" hidden="1" x14ac:dyDescent="0.3">
      <c r="G35" s="7" t="s">
        <v>30</v>
      </c>
      <c r="H35" s="8" t="s">
        <v>2042</v>
      </c>
      <c r="I35" s="8" t="s">
        <v>2022</v>
      </c>
      <c r="J35" s="9">
        <v>83.09</v>
      </c>
    </row>
    <row r="36" spans="7:10" hidden="1" x14ac:dyDescent="0.3">
      <c r="G36" s="10" t="s">
        <v>31</v>
      </c>
      <c r="H36" s="11" t="s">
        <v>2038</v>
      </c>
      <c r="I36" s="11" t="s">
        <v>2028</v>
      </c>
      <c r="J36" s="12">
        <v>100.82</v>
      </c>
    </row>
    <row r="37" spans="7:10" hidden="1" x14ac:dyDescent="0.3">
      <c r="G37" s="7" t="s">
        <v>32</v>
      </c>
      <c r="H37" s="8" t="s">
        <v>2041</v>
      </c>
      <c r="I37" s="8" t="s">
        <v>2031</v>
      </c>
      <c r="J37" s="9">
        <v>66.67</v>
      </c>
    </row>
    <row r="38" spans="7:10" hidden="1" x14ac:dyDescent="0.3">
      <c r="G38" s="10" t="s">
        <v>33</v>
      </c>
      <c r="H38" s="11" t="s">
        <v>2034</v>
      </c>
      <c r="I38" s="11" t="s">
        <v>1998</v>
      </c>
      <c r="J38" s="12">
        <v>52.08</v>
      </c>
    </row>
    <row r="39" spans="7:10" hidden="1" x14ac:dyDescent="0.3">
      <c r="G39" s="7" t="s">
        <v>34</v>
      </c>
      <c r="H39" s="8" t="s">
        <v>2034</v>
      </c>
      <c r="I39" s="8" t="s">
        <v>1999</v>
      </c>
      <c r="J39" s="9">
        <v>51.3</v>
      </c>
    </row>
    <row r="40" spans="7:10" hidden="1" x14ac:dyDescent="0.3">
      <c r="G40" s="10" t="s">
        <v>35</v>
      </c>
      <c r="H40" s="11" t="s">
        <v>2034</v>
      </c>
      <c r="I40" s="11" t="s">
        <v>1998</v>
      </c>
      <c r="J40" s="12">
        <v>47.78</v>
      </c>
    </row>
    <row r="41" spans="7:10" hidden="1" x14ac:dyDescent="0.3">
      <c r="G41" s="7" t="s">
        <v>36</v>
      </c>
      <c r="H41" s="8" t="s">
        <v>2034</v>
      </c>
      <c r="I41" s="8" t="s">
        <v>1998</v>
      </c>
      <c r="J41" s="9">
        <v>52.46</v>
      </c>
    </row>
    <row r="42" spans="7:10" hidden="1" x14ac:dyDescent="0.3">
      <c r="G42" s="10" t="s">
        <v>37</v>
      </c>
      <c r="H42" s="11" t="s">
        <v>2036</v>
      </c>
      <c r="I42" s="11" t="s">
        <v>1998</v>
      </c>
      <c r="J42" s="12">
        <v>81.48</v>
      </c>
    </row>
    <row r="43" spans="7:10" hidden="1" x14ac:dyDescent="0.3">
      <c r="G43" s="7" t="s">
        <v>38</v>
      </c>
      <c r="H43" s="8" t="s">
        <v>2041</v>
      </c>
      <c r="I43" s="8" t="s">
        <v>2028</v>
      </c>
      <c r="J43" s="9">
        <v>78.53</v>
      </c>
    </row>
    <row r="44" spans="7:10" hidden="1" x14ac:dyDescent="0.3">
      <c r="G44" s="10" t="s">
        <v>39</v>
      </c>
      <c r="H44" s="11" t="s">
        <v>2034</v>
      </c>
      <c r="I44" s="11" t="s">
        <v>1979</v>
      </c>
      <c r="J44" s="12">
        <v>35.909999999999997</v>
      </c>
    </row>
    <row r="45" spans="7:10" hidden="1" x14ac:dyDescent="0.3">
      <c r="G45" s="7" t="s">
        <v>40</v>
      </c>
      <c r="H45" s="8" t="s">
        <v>2036</v>
      </c>
      <c r="I45" s="8" t="s">
        <v>1979</v>
      </c>
      <c r="J45" s="9">
        <v>50.03</v>
      </c>
    </row>
    <row r="46" spans="7:10" hidden="1" x14ac:dyDescent="0.3">
      <c r="G46" s="10" t="s">
        <v>41</v>
      </c>
      <c r="H46" s="11" t="s">
        <v>2034</v>
      </c>
      <c r="I46" s="11" t="s">
        <v>1998</v>
      </c>
      <c r="J46" s="12">
        <v>43.39</v>
      </c>
    </row>
    <row r="47" spans="7:10" hidden="1" x14ac:dyDescent="0.3">
      <c r="G47" s="7" t="s">
        <v>42</v>
      </c>
      <c r="H47" s="8" t="s">
        <v>2039</v>
      </c>
      <c r="I47" s="8" t="s">
        <v>1979</v>
      </c>
      <c r="J47" s="9">
        <v>49.68</v>
      </c>
    </row>
    <row r="48" spans="7:10" hidden="1" x14ac:dyDescent="0.3">
      <c r="G48" s="10" t="s">
        <v>43</v>
      </c>
      <c r="H48" s="11" t="s">
        <v>2038</v>
      </c>
      <c r="I48" s="11" t="s">
        <v>1979</v>
      </c>
      <c r="J48" s="12">
        <v>27.96</v>
      </c>
    </row>
    <row r="49" spans="7:10" hidden="1" x14ac:dyDescent="0.3">
      <c r="G49" s="7" t="s">
        <v>44</v>
      </c>
      <c r="H49" s="8" t="s">
        <v>2041</v>
      </c>
      <c r="I49" s="8" t="s">
        <v>1997</v>
      </c>
      <c r="J49" s="9">
        <v>177.04</v>
      </c>
    </row>
    <row r="50" spans="7:10" hidden="1" x14ac:dyDescent="0.3">
      <c r="G50" s="10" t="s">
        <v>45</v>
      </c>
      <c r="H50" s="11" t="s">
        <v>2039</v>
      </c>
      <c r="I50" s="11" t="s">
        <v>1979</v>
      </c>
      <c r="J50" s="12">
        <v>81.099999999999994</v>
      </c>
    </row>
    <row r="51" spans="7:10" hidden="1" x14ac:dyDescent="0.3">
      <c r="G51" s="7" t="s">
        <v>46</v>
      </c>
      <c r="H51" s="8" t="s">
        <v>2035</v>
      </c>
      <c r="I51" s="8" t="s">
        <v>1979</v>
      </c>
      <c r="J51" s="9">
        <v>52.38</v>
      </c>
    </row>
    <row r="52" spans="7:10" hidden="1" x14ac:dyDescent="0.3">
      <c r="G52" s="10" t="s">
        <v>47</v>
      </c>
      <c r="H52" s="11" t="s">
        <v>2043</v>
      </c>
      <c r="I52" s="11" t="s">
        <v>2025</v>
      </c>
      <c r="J52" s="12">
        <v>79.180000000000007</v>
      </c>
    </row>
    <row r="53" spans="7:10" hidden="1" x14ac:dyDescent="0.3">
      <c r="G53" s="7" t="s">
        <v>48</v>
      </c>
      <c r="H53" s="8" t="s">
        <v>2034</v>
      </c>
      <c r="I53" s="8" t="s">
        <v>2028</v>
      </c>
      <c r="J53" s="9">
        <v>43.86</v>
      </c>
    </row>
    <row r="54" spans="7:10" hidden="1" x14ac:dyDescent="0.3">
      <c r="G54" s="10" t="s">
        <v>49</v>
      </c>
      <c r="H54" s="11" t="s">
        <v>2037</v>
      </c>
      <c r="I54" s="11" t="s">
        <v>2001</v>
      </c>
      <c r="J54" s="12">
        <v>76.11</v>
      </c>
    </row>
    <row r="55" spans="7:10" hidden="1" x14ac:dyDescent="0.3">
      <c r="G55" s="7" t="s">
        <v>50</v>
      </c>
      <c r="H55" s="8" t="s">
        <v>2044</v>
      </c>
      <c r="I55" s="8" t="s">
        <v>2022</v>
      </c>
      <c r="J55" s="9">
        <v>58.43</v>
      </c>
    </row>
    <row r="56" spans="7:10" hidden="1" x14ac:dyDescent="0.3">
      <c r="G56" s="10" t="s">
        <v>51</v>
      </c>
      <c r="H56" s="11" t="s">
        <v>2045</v>
      </c>
      <c r="I56" s="11" t="s">
        <v>2022</v>
      </c>
      <c r="J56" s="12">
        <v>46.95</v>
      </c>
    </row>
    <row r="57" spans="7:10" hidden="1" x14ac:dyDescent="0.3">
      <c r="G57" s="7" t="s">
        <v>52</v>
      </c>
      <c r="H57" s="8" t="s">
        <v>2046</v>
      </c>
      <c r="I57" s="8" t="s">
        <v>2022</v>
      </c>
      <c r="J57" s="9">
        <v>36.47</v>
      </c>
    </row>
    <row r="58" spans="7:10" hidden="1" x14ac:dyDescent="0.3">
      <c r="G58" s="10" t="s">
        <v>53</v>
      </c>
      <c r="H58" s="11" t="s">
        <v>2039</v>
      </c>
      <c r="I58" s="11" t="s">
        <v>2028</v>
      </c>
      <c r="J58" s="12">
        <v>57.96</v>
      </c>
    </row>
    <row r="59" spans="7:10" hidden="1" x14ac:dyDescent="0.3">
      <c r="G59" s="7" t="s">
        <v>54</v>
      </c>
      <c r="H59" s="8" t="s">
        <v>2034</v>
      </c>
      <c r="I59" s="8" t="s">
        <v>2026</v>
      </c>
      <c r="J59" s="9">
        <v>41.36</v>
      </c>
    </row>
    <row r="60" spans="7:10" hidden="1" x14ac:dyDescent="0.3">
      <c r="G60" s="10" t="s">
        <v>55</v>
      </c>
      <c r="H60" s="11" t="s">
        <v>2041</v>
      </c>
      <c r="I60" s="11" t="s">
        <v>1998</v>
      </c>
      <c r="J60" s="12">
        <v>29.82</v>
      </c>
    </row>
    <row r="61" spans="7:10" hidden="1" x14ac:dyDescent="0.3">
      <c r="G61" s="7" t="s">
        <v>56</v>
      </c>
      <c r="H61" s="8" t="s">
        <v>2034</v>
      </c>
      <c r="I61" s="8" t="s">
        <v>1999</v>
      </c>
      <c r="J61" s="9">
        <v>50.51</v>
      </c>
    </row>
    <row r="62" spans="7:10" hidden="1" x14ac:dyDescent="0.3">
      <c r="G62" s="10" t="s">
        <v>57</v>
      </c>
      <c r="H62" s="11" t="s">
        <v>2040</v>
      </c>
      <c r="I62" s="11" t="s">
        <v>1979</v>
      </c>
      <c r="J62" s="12">
        <v>28.21</v>
      </c>
    </row>
    <row r="63" spans="7:10" hidden="1" x14ac:dyDescent="0.3">
      <c r="G63" s="7" t="s">
        <v>58</v>
      </c>
      <c r="H63" s="8" t="s">
        <v>2039</v>
      </c>
      <c r="I63" s="8" t="s">
        <v>1999</v>
      </c>
      <c r="J63" s="9">
        <v>32.28</v>
      </c>
    </row>
    <row r="64" spans="7:10" hidden="1" x14ac:dyDescent="0.3">
      <c r="G64" s="10" t="s">
        <v>59</v>
      </c>
      <c r="H64" s="11" t="s">
        <v>2034</v>
      </c>
      <c r="I64" s="11" t="s">
        <v>2005</v>
      </c>
      <c r="J64" s="12">
        <v>44.78</v>
      </c>
    </row>
    <row r="65" spans="7:10" hidden="1" x14ac:dyDescent="0.3">
      <c r="G65" s="7" t="s">
        <v>60</v>
      </c>
      <c r="H65" s="8" t="s">
        <v>2041</v>
      </c>
      <c r="I65" s="8" t="s">
        <v>1992</v>
      </c>
      <c r="J65" s="9">
        <v>90.68</v>
      </c>
    </row>
    <row r="66" spans="7:10" hidden="1" x14ac:dyDescent="0.3">
      <c r="G66" s="10" t="s">
        <v>61</v>
      </c>
      <c r="H66" s="11" t="s">
        <v>2038</v>
      </c>
      <c r="I66" s="11" t="s">
        <v>1979</v>
      </c>
      <c r="J66" s="12">
        <v>23.5</v>
      </c>
    </row>
    <row r="67" spans="7:10" hidden="1" x14ac:dyDescent="0.3">
      <c r="G67" s="7" t="s">
        <v>62</v>
      </c>
      <c r="H67" s="8" t="s">
        <v>2038</v>
      </c>
      <c r="I67" s="8" t="s">
        <v>1997</v>
      </c>
      <c r="J67" s="9">
        <v>80.709999999999994</v>
      </c>
    </row>
    <row r="68" spans="7:10" hidden="1" x14ac:dyDescent="0.3">
      <c r="G68" s="10" t="s">
        <v>63</v>
      </c>
      <c r="H68" s="11" t="s">
        <v>2039</v>
      </c>
      <c r="I68" s="11" t="s">
        <v>2031</v>
      </c>
      <c r="J68" s="12">
        <v>63.68</v>
      </c>
    </row>
    <row r="69" spans="7:10" hidden="1" x14ac:dyDescent="0.3">
      <c r="G69" s="7" t="s">
        <v>64</v>
      </c>
      <c r="H69" s="8" t="s">
        <v>2045</v>
      </c>
      <c r="I69" s="8" t="s">
        <v>1979</v>
      </c>
      <c r="J69" s="9">
        <v>19.399999999999999</v>
      </c>
    </row>
    <row r="70" spans="7:10" hidden="1" x14ac:dyDescent="0.3">
      <c r="G70" s="10" t="s">
        <v>65</v>
      </c>
      <c r="H70" s="11" t="s">
        <v>2038</v>
      </c>
      <c r="I70" s="11" t="s">
        <v>1997</v>
      </c>
      <c r="J70" s="12">
        <v>80.02</v>
      </c>
    </row>
    <row r="71" spans="7:10" hidden="1" x14ac:dyDescent="0.3">
      <c r="G71" s="7" t="s">
        <v>66</v>
      </c>
      <c r="H71" s="8" t="s">
        <v>2034</v>
      </c>
      <c r="I71" s="8" t="s">
        <v>2027</v>
      </c>
      <c r="J71" s="9">
        <v>87.9</v>
      </c>
    </row>
    <row r="72" spans="7:10" hidden="1" x14ac:dyDescent="0.3">
      <c r="G72" s="10" t="s">
        <v>67</v>
      </c>
      <c r="H72" s="11" t="s">
        <v>2034</v>
      </c>
      <c r="I72" s="11" t="s">
        <v>2017</v>
      </c>
      <c r="J72" s="12">
        <v>43.65</v>
      </c>
    </row>
    <row r="73" spans="7:10" hidden="1" x14ac:dyDescent="0.3">
      <c r="G73" s="7" t="s">
        <v>68</v>
      </c>
      <c r="H73" s="8" t="s">
        <v>2042</v>
      </c>
      <c r="I73" s="8" t="s">
        <v>2005</v>
      </c>
      <c r="J73" s="9">
        <v>88.95</v>
      </c>
    </row>
    <row r="74" spans="7:10" hidden="1" x14ac:dyDescent="0.3">
      <c r="G74" s="10" t="s">
        <v>69</v>
      </c>
      <c r="H74" s="11" t="s">
        <v>2037</v>
      </c>
      <c r="I74" s="11" t="s">
        <v>2005</v>
      </c>
      <c r="J74" s="12">
        <v>64.930000000000007</v>
      </c>
    </row>
    <row r="75" spans="7:10" hidden="1" x14ac:dyDescent="0.3">
      <c r="G75" s="7" t="s">
        <v>70</v>
      </c>
      <c r="H75" s="8" t="s">
        <v>2034</v>
      </c>
      <c r="I75" s="8" t="s">
        <v>2023</v>
      </c>
      <c r="J75" s="9">
        <v>81.510000000000005</v>
      </c>
    </row>
    <row r="76" spans="7:10" hidden="1" x14ac:dyDescent="0.3">
      <c r="G76" s="10" t="s">
        <v>71</v>
      </c>
      <c r="H76" s="11" t="s">
        <v>2041</v>
      </c>
      <c r="I76" s="11" t="s">
        <v>2031</v>
      </c>
      <c r="J76" s="12">
        <v>55.63</v>
      </c>
    </row>
    <row r="77" spans="7:10" hidden="1" x14ac:dyDescent="0.3">
      <c r="G77" s="7" t="s">
        <v>72</v>
      </c>
      <c r="H77" s="8" t="s">
        <v>2034</v>
      </c>
      <c r="I77" s="8" t="s">
        <v>2005</v>
      </c>
      <c r="J77" s="9">
        <v>31.71</v>
      </c>
    </row>
    <row r="78" spans="7:10" hidden="1" x14ac:dyDescent="0.3">
      <c r="G78" s="10" t="s">
        <v>73</v>
      </c>
      <c r="H78" s="11" t="s">
        <v>2034</v>
      </c>
      <c r="I78" s="11" t="s">
        <v>2025</v>
      </c>
      <c r="J78" s="12">
        <v>38.83</v>
      </c>
    </row>
    <row r="79" spans="7:10" hidden="1" x14ac:dyDescent="0.3">
      <c r="G79" s="7" t="s">
        <v>74</v>
      </c>
      <c r="H79" s="8" t="s">
        <v>2034</v>
      </c>
      <c r="I79" s="8" t="s">
        <v>1998</v>
      </c>
      <c r="J79" s="9">
        <v>32.42</v>
      </c>
    </row>
    <row r="80" spans="7:10" hidden="1" x14ac:dyDescent="0.3">
      <c r="G80" s="10" t="s">
        <v>75</v>
      </c>
      <c r="H80" s="11" t="s">
        <v>2040</v>
      </c>
      <c r="I80" s="11" t="s">
        <v>2028</v>
      </c>
      <c r="J80" s="12">
        <v>41.14</v>
      </c>
    </row>
    <row r="81" spans="7:10" hidden="1" x14ac:dyDescent="0.3">
      <c r="G81" s="7" t="s">
        <v>76</v>
      </c>
      <c r="H81" s="8" t="s">
        <v>2045</v>
      </c>
      <c r="I81" s="8" t="s">
        <v>2022</v>
      </c>
      <c r="J81" s="9">
        <v>70.319999999999993</v>
      </c>
    </row>
    <row r="82" spans="7:10" hidden="1" x14ac:dyDescent="0.3">
      <c r="G82" s="10" t="s">
        <v>77</v>
      </c>
      <c r="H82" s="11" t="s">
        <v>2035</v>
      </c>
      <c r="I82" s="11" t="s">
        <v>2005</v>
      </c>
      <c r="J82" s="12">
        <v>75.61</v>
      </c>
    </row>
    <row r="83" spans="7:10" hidden="1" x14ac:dyDescent="0.3">
      <c r="G83" s="7" t="s">
        <v>78</v>
      </c>
      <c r="H83" s="8" t="s">
        <v>2042</v>
      </c>
      <c r="I83" s="8" t="s">
        <v>2031</v>
      </c>
      <c r="J83" s="9">
        <v>46.58</v>
      </c>
    </row>
    <row r="84" spans="7:10" hidden="1" x14ac:dyDescent="0.3">
      <c r="G84" s="10" t="s">
        <v>79</v>
      </c>
      <c r="H84" s="11" t="s">
        <v>2041</v>
      </c>
      <c r="I84" s="11" t="s">
        <v>2005</v>
      </c>
      <c r="J84" s="12">
        <v>62.06</v>
      </c>
    </row>
    <row r="85" spans="7:10" hidden="1" x14ac:dyDescent="0.3">
      <c r="G85" s="7" t="s">
        <v>80</v>
      </c>
      <c r="H85" s="8" t="s">
        <v>2042</v>
      </c>
      <c r="I85" s="8" t="s">
        <v>2028</v>
      </c>
      <c r="J85" s="9">
        <v>37.18</v>
      </c>
    </row>
    <row r="86" spans="7:10" hidden="1" x14ac:dyDescent="0.3">
      <c r="G86" s="10" t="s">
        <v>81</v>
      </c>
      <c r="H86" s="11" t="s">
        <v>2035</v>
      </c>
      <c r="I86" s="11" t="s">
        <v>1999</v>
      </c>
      <c r="J86" s="12">
        <v>37.22</v>
      </c>
    </row>
    <row r="87" spans="7:10" hidden="1" x14ac:dyDescent="0.3">
      <c r="G87" s="7" t="s">
        <v>82</v>
      </c>
      <c r="H87" s="8" t="s">
        <v>2037</v>
      </c>
      <c r="I87" s="8" t="s">
        <v>1999</v>
      </c>
      <c r="J87" s="9">
        <v>30.58</v>
      </c>
    </row>
    <row r="88" spans="7:10" x14ac:dyDescent="0.3">
      <c r="G88" s="10" t="s">
        <v>925</v>
      </c>
      <c r="H88" s="11" t="s">
        <v>2047</v>
      </c>
      <c r="I88" s="11" t="s">
        <v>1978</v>
      </c>
      <c r="J88" s="12">
        <v>16.41</v>
      </c>
    </row>
    <row r="89" spans="7:10" hidden="1" x14ac:dyDescent="0.3">
      <c r="G89" s="7" t="s">
        <v>84</v>
      </c>
      <c r="H89" s="8" t="s">
        <v>2042</v>
      </c>
      <c r="I89" s="8" t="s">
        <v>1979</v>
      </c>
      <c r="J89" s="9">
        <v>21.02</v>
      </c>
    </row>
    <row r="90" spans="7:10" hidden="1" x14ac:dyDescent="0.3">
      <c r="G90" s="10" t="s">
        <v>85</v>
      </c>
      <c r="H90" s="11" t="s">
        <v>1975</v>
      </c>
      <c r="I90" s="11" t="s">
        <v>1979</v>
      </c>
      <c r="J90" s="12">
        <v>26.36</v>
      </c>
    </row>
    <row r="91" spans="7:10" hidden="1" x14ac:dyDescent="0.3">
      <c r="G91" s="7" t="s">
        <v>86</v>
      </c>
      <c r="H91" s="8" t="s">
        <v>2048</v>
      </c>
      <c r="I91" s="8" t="s">
        <v>2001</v>
      </c>
      <c r="J91" s="9">
        <v>49.35</v>
      </c>
    </row>
    <row r="92" spans="7:10" hidden="1" x14ac:dyDescent="0.3">
      <c r="G92" s="10" t="s">
        <v>87</v>
      </c>
      <c r="H92" s="11" t="s">
        <v>2034</v>
      </c>
      <c r="I92" s="11" t="s">
        <v>1998</v>
      </c>
      <c r="J92" s="12">
        <v>24.27</v>
      </c>
    </row>
    <row r="93" spans="7:10" hidden="1" x14ac:dyDescent="0.3">
      <c r="G93" s="7" t="s">
        <v>88</v>
      </c>
      <c r="H93" s="8" t="s">
        <v>2041</v>
      </c>
      <c r="I93" s="8" t="s">
        <v>2030</v>
      </c>
      <c r="J93" s="9">
        <v>58.58</v>
      </c>
    </row>
    <row r="94" spans="7:10" hidden="1" x14ac:dyDescent="0.3">
      <c r="G94" s="10" t="s">
        <v>89</v>
      </c>
      <c r="H94" s="11" t="s">
        <v>2039</v>
      </c>
      <c r="I94" s="11" t="s">
        <v>2031</v>
      </c>
      <c r="J94" s="12">
        <v>55.28</v>
      </c>
    </row>
    <row r="95" spans="7:10" hidden="1" x14ac:dyDescent="0.3">
      <c r="G95" s="7" t="s">
        <v>90</v>
      </c>
      <c r="H95" s="8" t="s">
        <v>2041</v>
      </c>
      <c r="I95" s="8" t="s">
        <v>1997</v>
      </c>
      <c r="J95" s="9">
        <v>60.16</v>
      </c>
    </row>
    <row r="96" spans="7:10" hidden="1" x14ac:dyDescent="0.3">
      <c r="G96" s="10" t="s">
        <v>91</v>
      </c>
      <c r="H96" s="11" t="s">
        <v>2034</v>
      </c>
      <c r="I96" s="11" t="s">
        <v>1979</v>
      </c>
      <c r="J96" s="12">
        <v>21.23</v>
      </c>
    </row>
    <row r="97" spans="7:10" hidden="1" x14ac:dyDescent="0.3">
      <c r="G97" s="7" t="s">
        <v>92</v>
      </c>
      <c r="H97" s="8" t="s">
        <v>2034</v>
      </c>
      <c r="I97" s="8" t="s">
        <v>1978</v>
      </c>
      <c r="J97" s="9">
        <v>54.85</v>
      </c>
    </row>
    <row r="98" spans="7:10" x14ac:dyDescent="0.3">
      <c r="G98" s="10" t="s">
        <v>83</v>
      </c>
      <c r="H98" s="11" t="s">
        <v>2047</v>
      </c>
      <c r="I98" s="11" t="s">
        <v>1979</v>
      </c>
      <c r="J98" s="12">
        <v>24.96</v>
      </c>
    </row>
    <row r="99" spans="7:10" hidden="1" x14ac:dyDescent="0.3">
      <c r="G99" s="7" t="s">
        <v>94</v>
      </c>
      <c r="H99" s="8" t="s">
        <v>2039</v>
      </c>
      <c r="I99" s="8" t="s">
        <v>1997</v>
      </c>
      <c r="J99" s="9">
        <v>55.24</v>
      </c>
    </row>
    <row r="100" spans="7:10" hidden="1" x14ac:dyDescent="0.3">
      <c r="G100" s="10" t="s">
        <v>95</v>
      </c>
      <c r="H100" s="11" t="s">
        <v>2049</v>
      </c>
      <c r="I100" s="11" t="s">
        <v>2022</v>
      </c>
      <c r="J100" s="12">
        <v>57.81</v>
      </c>
    </row>
    <row r="101" spans="7:10" hidden="1" x14ac:dyDescent="0.3">
      <c r="G101" s="7" t="s">
        <v>96</v>
      </c>
      <c r="H101" s="8" t="s">
        <v>2037</v>
      </c>
      <c r="I101" s="8" t="s">
        <v>1999</v>
      </c>
      <c r="J101" s="9">
        <v>26.96</v>
      </c>
    </row>
    <row r="102" spans="7:10" hidden="1" x14ac:dyDescent="0.3">
      <c r="G102" s="10" t="s">
        <v>97</v>
      </c>
      <c r="H102" s="11" t="s">
        <v>2036</v>
      </c>
      <c r="I102" s="11" t="s">
        <v>2005</v>
      </c>
      <c r="J102" s="12">
        <v>46.38</v>
      </c>
    </row>
    <row r="103" spans="7:10" hidden="1" x14ac:dyDescent="0.3">
      <c r="G103" s="7" t="s">
        <v>98</v>
      </c>
      <c r="H103" s="8" t="s">
        <v>2038</v>
      </c>
      <c r="I103" s="8" t="s">
        <v>2031</v>
      </c>
      <c r="J103" s="9">
        <v>47.09</v>
      </c>
    </row>
    <row r="104" spans="7:10" hidden="1" x14ac:dyDescent="0.3">
      <c r="G104" s="10" t="s">
        <v>99</v>
      </c>
      <c r="H104" s="11" t="s">
        <v>2034</v>
      </c>
      <c r="I104" s="11" t="s">
        <v>2028</v>
      </c>
      <c r="J104" s="12">
        <v>34.68</v>
      </c>
    </row>
    <row r="105" spans="7:10" hidden="1" x14ac:dyDescent="0.3">
      <c r="G105" s="7" t="s">
        <v>100</v>
      </c>
      <c r="H105" s="8" t="s">
        <v>1976</v>
      </c>
      <c r="I105" s="8" t="s">
        <v>2015</v>
      </c>
      <c r="J105" s="9">
        <v>29.84</v>
      </c>
    </row>
    <row r="106" spans="7:10" hidden="1" x14ac:dyDescent="0.3">
      <c r="G106" s="10" t="s">
        <v>101</v>
      </c>
      <c r="H106" s="11" t="s">
        <v>2034</v>
      </c>
      <c r="I106" s="11" t="s">
        <v>1979</v>
      </c>
      <c r="J106" s="12">
        <v>16.600000000000001</v>
      </c>
    </row>
    <row r="107" spans="7:10" hidden="1" x14ac:dyDescent="0.3">
      <c r="G107" s="7" t="s">
        <v>102</v>
      </c>
      <c r="H107" s="8" t="s">
        <v>2034</v>
      </c>
      <c r="I107" s="8" t="s">
        <v>2002</v>
      </c>
      <c r="J107" s="9">
        <v>45.37</v>
      </c>
    </row>
    <row r="108" spans="7:10" hidden="1" x14ac:dyDescent="0.3">
      <c r="G108" s="10" t="s">
        <v>103</v>
      </c>
      <c r="H108" s="11" t="s">
        <v>2050</v>
      </c>
      <c r="I108" s="11" t="s">
        <v>1979</v>
      </c>
      <c r="J108" s="12">
        <v>24.48</v>
      </c>
    </row>
    <row r="109" spans="7:10" hidden="1" x14ac:dyDescent="0.3">
      <c r="G109" s="7" t="s">
        <v>104</v>
      </c>
      <c r="H109" s="8" t="s">
        <v>2051</v>
      </c>
      <c r="I109" s="8" t="s">
        <v>1992</v>
      </c>
      <c r="J109" s="9">
        <v>39.369999999999997</v>
      </c>
    </row>
    <row r="110" spans="7:10" hidden="1" x14ac:dyDescent="0.3">
      <c r="G110" s="10" t="s">
        <v>105</v>
      </c>
      <c r="H110" s="11" t="s">
        <v>2034</v>
      </c>
      <c r="I110" s="11" t="s">
        <v>1988</v>
      </c>
      <c r="J110" s="12">
        <v>46.31</v>
      </c>
    </row>
    <row r="111" spans="7:10" hidden="1" x14ac:dyDescent="0.3">
      <c r="G111" s="7" t="s">
        <v>106</v>
      </c>
      <c r="H111" s="8" t="s">
        <v>2038</v>
      </c>
      <c r="I111" s="8" t="s">
        <v>2027</v>
      </c>
      <c r="J111" s="9">
        <v>66.8</v>
      </c>
    </row>
    <row r="112" spans="7:10" hidden="1" x14ac:dyDescent="0.3">
      <c r="G112" s="10" t="s">
        <v>107</v>
      </c>
      <c r="H112" s="11" t="s">
        <v>2034</v>
      </c>
      <c r="I112" s="11" t="s">
        <v>1992</v>
      </c>
      <c r="J112" s="12">
        <v>42.73</v>
      </c>
    </row>
    <row r="113" spans="7:10" hidden="1" x14ac:dyDescent="0.3">
      <c r="G113" s="7" t="s">
        <v>108</v>
      </c>
      <c r="H113" s="8" t="s">
        <v>2034</v>
      </c>
      <c r="I113" s="8" t="s">
        <v>2030</v>
      </c>
      <c r="J113" s="9">
        <v>42.58</v>
      </c>
    </row>
    <row r="114" spans="7:10" hidden="1" x14ac:dyDescent="0.3">
      <c r="G114" s="10" t="s">
        <v>109</v>
      </c>
      <c r="H114" s="11" t="s">
        <v>2042</v>
      </c>
      <c r="I114" s="11" t="s">
        <v>1979</v>
      </c>
      <c r="J114" s="12">
        <v>19.809999999999999</v>
      </c>
    </row>
    <row r="115" spans="7:10" hidden="1" x14ac:dyDescent="0.3">
      <c r="G115" s="7" t="s">
        <v>110</v>
      </c>
      <c r="H115" s="8" t="s">
        <v>2034</v>
      </c>
      <c r="I115" s="8" t="s">
        <v>2005</v>
      </c>
      <c r="J115" s="9">
        <v>35.380000000000003</v>
      </c>
    </row>
    <row r="116" spans="7:10" hidden="1" x14ac:dyDescent="0.3">
      <c r="G116" s="10" t="s">
        <v>111</v>
      </c>
      <c r="H116" s="11" t="s">
        <v>2052</v>
      </c>
      <c r="I116" s="11" t="s">
        <v>2028</v>
      </c>
      <c r="J116" s="12">
        <v>23.3</v>
      </c>
    </row>
    <row r="117" spans="7:10" hidden="1" x14ac:dyDescent="0.3">
      <c r="G117" s="7" t="s">
        <v>112</v>
      </c>
      <c r="H117" s="8" t="s">
        <v>1975</v>
      </c>
      <c r="I117" s="8" t="s">
        <v>1979</v>
      </c>
      <c r="J117" s="9">
        <v>17.96</v>
      </c>
    </row>
    <row r="118" spans="7:10" hidden="1" x14ac:dyDescent="0.3">
      <c r="G118" s="10" t="s">
        <v>113</v>
      </c>
      <c r="H118" s="11" t="s">
        <v>2041</v>
      </c>
      <c r="I118" s="11" t="s">
        <v>1997</v>
      </c>
      <c r="J118" s="12">
        <v>112.61</v>
      </c>
    </row>
    <row r="119" spans="7:10" hidden="1" x14ac:dyDescent="0.3">
      <c r="G119" s="7" t="s">
        <v>114</v>
      </c>
      <c r="H119" s="8" t="s">
        <v>2034</v>
      </c>
      <c r="I119" s="8" t="s">
        <v>2002</v>
      </c>
      <c r="J119" s="9">
        <v>45.14</v>
      </c>
    </row>
    <row r="120" spans="7:10" hidden="1" x14ac:dyDescent="0.3">
      <c r="G120" s="10" t="s">
        <v>115</v>
      </c>
      <c r="H120" s="11" t="s">
        <v>2035</v>
      </c>
      <c r="I120" s="11" t="s">
        <v>2015</v>
      </c>
      <c r="J120" s="12">
        <v>27.89</v>
      </c>
    </row>
    <row r="121" spans="7:10" hidden="1" x14ac:dyDescent="0.3">
      <c r="G121" s="7" t="s">
        <v>116</v>
      </c>
      <c r="H121" s="8" t="s">
        <v>2034</v>
      </c>
      <c r="I121" s="8" t="s">
        <v>2027</v>
      </c>
      <c r="J121" s="9">
        <v>25.95</v>
      </c>
    </row>
    <row r="122" spans="7:10" hidden="1" x14ac:dyDescent="0.3">
      <c r="G122" s="10" t="s">
        <v>117</v>
      </c>
      <c r="H122" s="11" t="s">
        <v>2034</v>
      </c>
      <c r="I122" s="11" t="s">
        <v>2017</v>
      </c>
      <c r="J122" s="12">
        <v>32.130000000000003</v>
      </c>
    </row>
    <row r="123" spans="7:10" hidden="1" x14ac:dyDescent="0.3">
      <c r="G123" s="7" t="s">
        <v>118</v>
      </c>
      <c r="H123" s="8" t="s">
        <v>2039</v>
      </c>
      <c r="I123" s="8" t="s">
        <v>2000</v>
      </c>
      <c r="J123" s="9">
        <v>98.6</v>
      </c>
    </row>
    <row r="124" spans="7:10" hidden="1" x14ac:dyDescent="0.3">
      <c r="G124" s="10" t="s">
        <v>119</v>
      </c>
      <c r="H124" s="11" t="s">
        <v>2041</v>
      </c>
      <c r="I124" s="11" t="s">
        <v>1988</v>
      </c>
      <c r="J124" s="12">
        <v>50.53</v>
      </c>
    </row>
    <row r="125" spans="7:10" hidden="1" x14ac:dyDescent="0.3">
      <c r="G125" s="7" t="s">
        <v>120</v>
      </c>
      <c r="H125" s="8" t="s">
        <v>2050</v>
      </c>
      <c r="I125" s="8" t="s">
        <v>1979</v>
      </c>
      <c r="J125" s="9">
        <v>22.14</v>
      </c>
    </row>
    <row r="126" spans="7:10" hidden="1" x14ac:dyDescent="0.3">
      <c r="G126" s="10" t="s">
        <v>121</v>
      </c>
      <c r="H126" s="11" t="s">
        <v>2035</v>
      </c>
      <c r="I126" s="11" t="s">
        <v>2000</v>
      </c>
      <c r="J126" s="12">
        <v>65.33</v>
      </c>
    </row>
    <row r="127" spans="7:10" hidden="1" x14ac:dyDescent="0.3">
      <c r="G127" s="7" t="s">
        <v>122</v>
      </c>
      <c r="H127" s="8" t="s">
        <v>2034</v>
      </c>
      <c r="I127" s="8" t="s">
        <v>1999</v>
      </c>
      <c r="J127" s="9">
        <v>22.01</v>
      </c>
    </row>
    <row r="128" spans="7:10" hidden="1" x14ac:dyDescent="0.3">
      <c r="G128" s="10" t="s">
        <v>123</v>
      </c>
      <c r="H128" s="11" t="s">
        <v>2034</v>
      </c>
      <c r="I128" s="11" t="s">
        <v>2027</v>
      </c>
      <c r="J128" s="12">
        <v>36.840000000000003</v>
      </c>
    </row>
    <row r="129" spans="7:10" hidden="1" x14ac:dyDescent="0.3">
      <c r="G129" s="7" t="s">
        <v>124</v>
      </c>
      <c r="H129" s="8" t="s">
        <v>2034</v>
      </c>
      <c r="I129" s="8" t="s">
        <v>2005</v>
      </c>
      <c r="J129" s="9">
        <v>27.08</v>
      </c>
    </row>
    <row r="130" spans="7:10" hidden="1" x14ac:dyDescent="0.3">
      <c r="G130" s="10" t="s">
        <v>125</v>
      </c>
      <c r="H130" s="11" t="s">
        <v>2038</v>
      </c>
      <c r="I130" s="11" t="s">
        <v>2029</v>
      </c>
      <c r="J130" s="12">
        <v>38.75</v>
      </c>
    </row>
    <row r="131" spans="7:10" hidden="1" x14ac:dyDescent="0.3">
      <c r="G131" s="7" t="s">
        <v>126</v>
      </c>
      <c r="H131" s="8" t="s">
        <v>2034</v>
      </c>
      <c r="I131" s="8" t="s">
        <v>1987</v>
      </c>
      <c r="J131" s="9">
        <v>36.340000000000003</v>
      </c>
    </row>
    <row r="132" spans="7:10" hidden="1" x14ac:dyDescent="0.3">
      <c r="G132" s="10" t="s">
        <v>127</v>
      </c>
      <c r="H132" s="11" t="s">
        <v>2034</v>
      </c>
      <c r="I132" s="11" t="s">
        <v>2001</v>
      </c>
      <c r="J132" s="12">
        <v>32.56</v>
      </c>
    </row>
    <row r="133" spans="7:10" hidden="1" x14ac:dyDescent="0.3">
      <c r="G133" s="7" t="s">
        <v>128</v>
      </c>
      <c r="H133" s="8" t="s">
        <v>2040</v>
      </c>
      <c r="I133" s="8" t="s">
        <v>2022</v>
      </c>
      <c r="J133" s="9">
        <v>47.64</v>
      </c>
    </row>
    <row r="134" spans="7:10" hidden="1" x14ac:dyDescent="0.3">
      <c r="G134" s="10" t="s">
        <v>129</v>
      </c>
      <c r="H134" s="11" t="s">
        <v>2034</v>
      </c>
      <c r="I134" s="11" t="s">
        <v>2017</v>
      </c>
      <c r="J134" s="12">
        <v>24.5</v>
      </c>
    </row>
    <row r="135" spans="7:10" hidden="1" x14ac:dyDescent="0.3">
      <c r="G135" s="7" t="s">
        <v>130</v>
      </c>
      <c r="H135" s="8" t="s">
        <v>2034</v>
      </c>
      <c r="I135" s="8" t="s">
        <v>2028</v>
      </c>
      <c r="J135" s="9">
        <v>20.55</v>
      </c>
    </row>
    <row r="136" spans="7:10" hidden="1" x14ac:dyDescent="0.3">
      <c r="G136" s="10" t="s">
        <v>131</v>
      </c>
      <c r="H136" s="11" t="s">
        <v>2034</v>
      </c>
      <c r="I136" s="11" t="s">
        <v>2022</v>
      </c>
      <c r="J136" s="12">
        <v>82.16</v>
      </c>
    </row>
    <row r="137" spans="7:10" hidden="1" x14ac:dyDescent="0.3">
      <c r="G137" s="7" t="s">
        <v>132</v>
      </c>
      <c r="H137" s="8" t="s">
        <v>2034</v>
      </c>
      <c r="I137" s="8" t="s">
        <v>1997</v>
      </c>
      <c r="J137" s="9">
        <v>178.1</v>
      </c>
    </row>
    <row r="138" spans="7:10" x14ac:dyDescent="0.3">
      <c r="G138" s="10" t="s">
        <v>133</v>
      </c>
      <c r="H138" s="11" t="s">
        <v>2047</v>
      </c>
      <c r="I138" s="11" t="s">
        <v>1979</v>
      </c>
      <c r="J138" s="12">
        <v>15.56</v>
      </c>
    </row>
    <row r="139" spans="7:10" hidden="1" x14ac:dyDescent="0.3">
      <c r="G139" s="7" t="s">
        <v>134</v>
      </c>
      <c r="H139" s="8" t="s">
        <v>2036</v>
      </c>
      <c r="I139" s="8" t="s">
        <v>1992</v>
      </c>
      <c r="J139" s="9">
        <v>35.93</v>
      </c>
    </row>
    <row r="140" spans="7:10" hidden="1" x14ac:dyDescent="0.3">
      <c r="G140" s="10" t="s">
        <v>135</v>
      </c>
      <c r="H140" s="11" t="s">
        <v>2035</v>
      </c>
      <c r="I140" s="11" t="s">
        <v>2028</v>
      </c>
      <c r="J140" s="12">
        <v>35.200000000000003</v>
      </c>
    </row>
    <row r="141" spans="7:10" hidden="1" x14ac:dyDescent="0.3">
      <c r="G141" s="7" t="s">
        <v>136</v>
      </c>
      <c r="H141" s="8" t="s">
        <v>2037</v>
      </c>
      <c r="I141" s="8" t="s">
        <v>2005</v>
      </c>
      <c r="J141" s="9">
        <v>31.68</v>
      </c>
    </row>
    <row r="142" spans="7:10" hidden="1" x14ac:dyDescent="0.3">
      <c r="G142" s="10" t="s">
        <v>137</v>
      </c>
      <c r="H142" s="11" t="s">
        <v>2034</v>
      </c>
      <c r="I142" s="11" t="s">
        <v>2023</v>
      </c>
      <c r="J142" s="12">
        <v>52.62</v>
      </c>
    </row>
    <row r="143" spans="7:10" hidden="1" x14ac:dyDescent="0.3">
      <c r="G143" s="7" t="s">
        <v>138</v>
      </c>
      <c r="H143" s="8" t="s">
        <v>2046</v>
      </c>
      <c r="I143" s="8" t="s">
        <v>2022</v>
      </c>
      <c r="J143" s="9">
        <v>35.08</v>
      </c>
    </row>
    <row r="144" spans="7:10" hidden="1" x14ac:dyDescent="0.3">
      <c r="G144" s="10" t="s">
        <v>139</v>
      </c>
      <c r="H144" s="11" t="s">
        <v>2038</v>
      </c>
      <c r="I144" s="11" t="s">
        <v>1986</v>
      </c>
      <c r="J144" s="12">
        <v>31.8</v>
      </c>
    </row>
    <row r="145" spans="7:10" hidden="1" x14ac:dyDescent="0.3">
      <c r="G145" s="7" t="s">
        <v>140</v>
      </c>
      <c r="H145" s="8" t="s">
        <v>2040</v>
      </c>
      <c r="I145" s="8" t="s">
        <v>2031</v>
      </c>
      <c r="J145" s="9">
        <v>20.69</v>
      </c>
    </row>
    <row r="146" spans="7:10" hidden="1" x14ac:dyDescent="0.3">
      <c r="G146" s="10" t="s">
        <v>141</v>
      </c>
      <c r="H146" s="11" t="s">
        <v>2053</v>
      </c>
      <c r="I146" s="11" t="s">
        <v>2027</v>
      </c>
      <c r="J146" s="12">
        <v>40.409999999999997</v>
      </c>
    </row>
    <row r="147" spans="7:10" x14ac:dyDescent="0.3">
      <c r="G147" s="7" t="s">
        <v>142</v>
      </c>
      <c r="H147" s="8" t="s">
        <v>2047</v>
      </c>
      <c r="I147" s="8" t="s">
        <v>1979</v>
      </c>
      <c r="J147" s="9">
        <v>15.84</v>
      </c>
    </row>
    <row r="148" spans="7:10" hidden="1" x14ac:dyDescent="0.3">
      <c r="G148" s="10" t="s">
        <v>143</v>
      </c>
      <c r="H148" s="11" t="s">
        <v>2034</v>
      </c>
      <c r="I148" s="11" t="s">
        <v>2001</v>
      </c>
      <c r="J148" s="12">
        <v>23.1</v>
      </c>
    </row>
    <row r="149" spans="7:10" hidden="1" x14ac:dyDescent="0.3">
      <c r="G149" s="7" t="s">
        <v>144</v>
      </c>
      <c r="H149" s="8" t="s">
        <v>2054</v>
      </c>
      <c r="I149" s="8" t="s">
        <v>2030</v>
      </c>
      <c r="J149" s="9">
        <v>30.27</v>
      </c>
    </row>
    <row r="150" spans="7:10" hidden="1" x14ac:dyDescent="0.3">
      <c r="G150" s="10" t="s">
        <v>1980</v>
      </c>
      <c r="H150" s="11" t="s">
        <v>1975</v>
      </c>
      <c r="I150" s="11" t="s">
        <v>1979</v>
      </c>
      <c r="J150" s="12">
        <v>15.87</v>
      </c>
    </row>
    <row r="151" spans="7:10" hidden="1" x14ac:dyDescent="0.3">
      <c r="G151" s="7" t="s">
        <v>145</v>
      </c>
      <c r="H151" s="8" t="s">
        <v>2034</v>
      </c>
      <c r="I151" s="8" t="s">
        <v>2027</v>
      </c>
      <c r="J151" s="9">
        <v>55.91</v>
      </c>
    </row>
    <row r="152" spans="7:10" hidden="1" x14ac:dyDescent="0.3">
      <c r="G152" s="10" t="s">
        <v>146</v>
      </c>
      <c r="H152" s="11" t="s">
        <v>2055</v>
      </c>
      <c r="I152" s="11" t="s">
        <v>1988</v>
      </c>
      <c r="J152" s="12">
        <v>18.27</v>
      </c>
    </row>
    <row r="153" spans="7:10" hidden="1" x14ac:dyDescent="0.3">
      <c r="G153" s="7" t="s">
        <v>147</v>
      </c>
      <c r="H153" s="8" t="s">
        <v>2054</v>
      </c>
      <c r="I153" s="8" t="s">
        <v>1979</v>
      </c>
      <c r="J153" s="9">
        <v>21.04</v>
      </c>
    </row>
    <row r="154" spans="7:10" hidden="1" x14ac:dyDescent="0.3">
      <c r="G154" s="10" t="s">
        <v>148</v>
      </c>
      <c r="H154" s="11" t="s">
        <v>2034</v>
      </c>
      <c r="I154" s="11" t="s">
        <v>2005</v>
      </c>
      <c r="J154" s="12">
        <v>24.37</v>
      </c>
    </row>
    <row r="155" spans="7:10" hidden="1" x14ac:dyDescent="0.3">
      <c r="G155" s="7" t="s">
        <v>149</v>
      </c>
      <c r="H155" s="8" t="s">
        <v>2043</v>
      </c>
      <c r="I155" s="8" t="s">
        <v>2031</v>
      </c>
      <c r="J155" s="9">
        <v>23.14</v>
      </c>
    </row>
    <row r="156" spans="7:10" hidden="1" x14ac:dyDescent="0.3">
      <c r="G156" s="10" t="s">
        <v>150</v>
      </c>
      <c r="H156" s="11" t="s">
        <v>2036</v>
      </c>
      <c r="I156" s="11" t="s">
        <v>1978</v>
      </c>
      <c r="J156" s="12">
        <v>43.09</v>
      </c>
    </row>
    <row r="157" spans="7:10" hidden="1" x14ac:dyDescent="0.3">
      <c r="G157" s="7" t="s">
        <v>151</v>
      </c>
      <c r="H157" s="8" t="s">
        <v>2042</v>
      </c>
      <c r="I157" s="8" t="s">
        <v>1979</v>
      </c>
      <c r="J157" s="9">
        <v>15.98</v>
      </c>
    </row>
    <row r="158" spans="7:10" hidden="1" x14ac:dyDescent="0.3">
      <c r="G158" s="10" t="s">
        <v>152</v>
      </c>
      <c r="H158" s="11" t="s">
        <v>2034</v>
      </c>
      <c r="I158" s="11" t="s">
        <v>1999</v>
      </c>
      <c r="J158" s="12">
        <v>18.760000000000002</v>
      </c>
    </row>
    <row r="159" spans="7:10" hidden="1" x14ac:dyDescent="0.3">
      <c r="G159" s="7" t="s">
        <v>153</v>
      </c>
      <c r="H159" s="8" t="s">
        <v>2056</v>
      </c>
      <c r="I159" s="8" t="s">
        <v>2015</v>
      </c>
      <c r="J159" s="9">
        <v>39.01</v>
      </c>
    </row>
    <row r="160" spans="7:10" hidden="1" x14ac:dyDescent="0.3">
      <c r="G160" s="10" t="s">
        <v>154</v>
      </c>
      <c r="H160" s="11" t="s">
        <v>2052</v>
      </c>
      <c r="I160" s="11" t="s">
        <v>1992</v>
      </c>
      <c r="J160" s="12">
        <v>17.32</v>
      </c>
    </row>
    <row r="161" spans="7:10" hidden="1" x14ac:dyDescent="0.3">
      <c r="G161" s="7" t="s">
        <v>155</v>
      </c>
      <c r="H161" s="8" t="s">
        <v>2057</v>
      </c>
      <c r="I161" s="8" t="s">
        <v>1979</v>
      </c>
      <c r="J161" s="9">
        <v>13.7</v>
      </c>
    </row>
    <row r="162" spans="7:10" hidden="1" x14ac:dyDescent="0.3">
      <c r="G162" s="10" t="s">
        <v>156</v>
      </c>
      <c r="H162" s="11" t="s">
        <v>2041</v>
      </c>
      <c r="I162" s="11" t="s">
        <v>1979</v>
      </c>
      <c r="J162" s="12">
        <v>22.61</v>
      </c>
    </row>
    <row r="163" spans="7:10" hidden="1" x14ac:dyDescent="0.3">
      <c r="G163" s="7" t="s">
        <v>157</v>
      </c>
      <c r="H163" s="8" t="s">
        <v>2058</v>
      </c>
      <c r="I163" s="8" t="s">
        <v>2015</v>
      </c>
      <c r="J163" s="9">
        <v>18.34</v>
      </c>
    </row>
    <row r="164" spans="7:10" hidden="1" x14ac:dyDescent="0.3">
      <c r="G164" s="10" t="s">
        <v>158</v>
      </c>
      <c r="H164" s="11" t="s">
        <v>2034</v>
      </c>
      <c r="I164" s="11" t="s">
        <v>1999</v>
      </c>
      <c r="J164" s="12">
        <v>22.34</v>
      </c>
    </row>
    <row r="165" spans="7:10" hidden="1" x14ac:dyDescent="0.3">
      <c r="G165" s="7" t="s">
        <v>1981</v>
      </c>
      <c r="H165" s="8" t="s">
        <v>1975</v>
      </c>
      <c r="I165" s="8" t="s">
        <v>1979</v>
      </c>
      <c r="J165" s="9">
        <v>14.23</v>
      </c>
    </row>
    <row r="166" spans="7:10" hidden="1" x14ac:dyDescent="0.3">
      <c r="G166" s="10" t="s">
        <v>159</v>
      </c>
      <c r="H166" s="11" t="s">
        <v>2045</v>
      </c>
      <c r="I166" s="11" t="s">
        <v>2028</v>
      </c>
      <c r="J166" s="12">
        <v>19.47</v>
      </c>
    </row>
    <row r="167" spans="7:10" hidden="1" x14ac:dyDescent="0.3">
      <c r="G167" s="7" t="s">
        <v>160</v>
      </c>
      <c r="H167" s="8" t="s">
        <v>2034</v>
      </c>
      <c r="I167" s="8" t="s">
        <v>1998</v>
      </c>
      <c r="J167" s="9">
        <v>18.54</v>
      </c>
    </row>
    <row r="168" spans="7:10" hidden="1" x14ac:dyDescent="0.3">
      <c r="G168" s="10" t="s">
        <v>161</v>
      </c>
      <c r="H168" s="11" t="s">
        <v>2034</v>
      </c>
      <c r="I168" s="11" t="s">
        <v>2023</v>
      </c>
      <c r="J168" s="12">
        <v>43.24</v>
      </c>
    </row>
    <row r="169" spans="7:10" x14ac:dyDescent="0.3">
      <c r="G169" s="7" t="s">
        <v>166</v>
      </c>
      <c r="H169" s="8" t="s">
        <v>2047</v>
      </c>
      <c r="I169" s="8" t="s">
        <v>1979</v>
      </c>
      <c r="J169" s="9">
        <v>12.78</v>
      </c>
    </row>
    <row r="170" spans="7:10" hidden="1" x14ac:dyDescent="0.3">
      <c r="G170" s="10" t="s">
        <v>163</v>
      </c>
      <c r="H170" s="11" t="s">
        <v>2035</v>
      </c>
      <c r="I170" s="11" t="s">
        <v>2005</v>
      </c>
      <c r="J170" s="12">
        <v>49.15</v>
      </c>
    </row>
    <row r="171" spans="7:10" hidden="1" x14ac:dyDescent="0.3">
      <c r="G171" s="7" t="s">
        <v>164</v>
      </c>
      <c r="H171" s="8" t="s">
        <v>2035</v>
      </c>
      <c r="I171" s="8" t="s">
        <v>1999</v>
      </c>
      <c r="J171" s="9">
        <v>22.69</v>
      </c>
    </row>
    <row r="172" spans="7:10" hidden="1" x14ac:dyDescent="0.3">
      <c r="G172" s="10" t="s">
        <v>165</v>
      </c>
      <c r="H172" s="11" t="s">
        <v>2034</v>
      </c>
      <c r="I172" s="11" t="s">
        <v>2017</v>
      </c>
      <c r="J172" s="12">
        <v>22.26</v>
      </c>
    </row>
    <row r="173" spans="7:10" x14ac:dyDescent="0.3">
      <c r="G173" s="7" t="s">
        <v>523</v>
      </c>
      <c r="H173" s="8" t="s">
        <v>2047</v>
      </c>
      <c r="I173" s="8" t="s">
        <v>1979</v>
      </c>
      <c r="J173" s="9">
        <v>15.84</v>
      </c>
    </row>
    <row r="174" spans="7:10" hidden="1" x14ac:dyDescent="0.3">
      <c r="G174" s="10" t="s">
        <v>167</v>
      </c>
      <c r="H174" s="11" t="s">
        <v>2043</v>
      </c>
      <c r="I174" s="11" t="s">
        <v>1997</v>
      </c>
      <c r="J174" s="12">
        <v>51.3</v>
      </c>
    </row>
    <row r="175" spans="7:10" hidden="1" x14ac:dyDescent="0.3">
      <c r="G175" s="7" t="s">
        <v>168</v>
      </c>
      <c r="H175" s="8" t="s">
        <v>2034</v>
      </c>
      <c r="I175" s="8" t="s">
        <v>1988</v>
      </c>
      <c r="J175" s="9">
        <v>28.49</v>
      </c>
    </row>
    <row r="176" spans="7:10" hidden="1" x14ac:dyDescent="0.3">
      <c r="G176" s="10" t="s">
        <v>169</v>
      </c>
      <c r="H176" s="11" t="s">
        <v>2038</v>
      </c>
      <c r="I176" s="11" t="s">
        <v>1979</v>
      </c>
      <c r="J176" s="12">
        <v>9.39</v>
      </c>
    </row>
    <row r="177" spans="7:10" hidden="1" x14ac:dyDescent="0.3">
      <c r="G177" s="7" t="s">
        <v>170</v>
      </c>
      <c r="H177" s="8" t="s">
        <v>2038</v>
      </c>
      <c r="I177" s="8" t="s">
        <v>2015</v>
      </c>
      <c r="J177" s="9">
        <v>31.62</v>
      </c>
    </row>
    <row r="178" spans="7:10" hidden="1" x14ac:dyDescent="0.3">
      <c r="G178" s="10" t="s">
        <v>171</v>
      </c>
      <c r="H178" s="11" t="s">
        <v>2035</v>
      </c>
      <c r="I178" s="11" t="s">
        <v>2001</v>
      </c>
      <c r="J178" s="12">
        <v>20.66</v>
      </c>
    </row>
    <row r="179" spans="7:10" hidden="1" x14ac:dyDescent="0.3">
      <c r="G179" s="7" t="s">
        <v>172</v>
      </c>
      <c r="H179" s="8" t="s">
        <v>2034</v>
      </c>
      <c r="I179" s="8" t="s">
        <v>2022</v>
      </c>
      <c r="J179" s="9">
        <v>44.46</v>
      </c>
    </row>
    <row r="180" spans="7:10" hidden="1" x14ac:dyDescent="0.3">
      <c r="G180" s="10" t="s">
        <v>173</v>
      </c>
      <c r="H180" s="11" t="s">
        <v>2044</v>
      </c>
      <c r="I180" s="11" t="s">
        <v>1979</v>
      </c>
      <c r="J180" s="12">
        <v>19.38</v>
      </c>
    </row>
    <row r="181" spans="7:10" hidden="1" x14ac:dyDescent="0.3">
      <c r="G181" s="7" t="s">
        <v>174</v>
      </c>
      <c r="H181" s="8" t="s">
        <v>2039</v>
      </c>
      <c r="I181" s="8" t="s">
        <v>2031</v>
      </c>
      <c r="J181" s="9">
        <v>24.6</v>
      </c>
    </row>
    <row r="182" spans="7:10" hidden="1" x14ac:dyDescent="0.3">
      <c r="G182" s="10" t="s">
        <v>175</v>
      </c>
      <c r="H182" s="11" t="s">
        <v>2049</v>
      </c>
      <c r="I182" s="11" t="s">
        <v>1992</v>
      </c>
      <c r="J182" s="12">
        <v>25.79</v>
      </c>
    </row>
    <row r="183" spans="7:10" hidden="1" x14ac:dyDescent="0.3">
      <c r="G183" s="7" t="s">
        <v>176</v>
      </c>
      <c r="H183" s="8" t="s">
        <v>2034</v>
      </c>
      <c r="I183" s="8" t="s">
        <v>2003</v>
      </c>
      <c r="J183" s="9">
        <v>20.46</v>
      </c>
    </row>
    <row r="184" spans="7:10" hidden="1" x14ac:dyDescent="0.3">
      <c r="G184" s="10" t="s">
        <v>177</v>
      </c>
      <c r="H184" s="11" t="s">
        <v>2039</v>
      </c>
      <c r="I184" s="11" t="s">
        <v>2017</v>
      </c>
      <c r="J184" s="12">
        <v>29.07</v>
      </c>
    </row>
    <row r="185" spans="7:10" hidden="1" x14ac:dyDescent="0.3">
      <c r="G185" s="7" t="s">
        <v>178</v>
      </c>
      <c r="H185" s="8" t="s">
        <v>2039</v>
      </c>
      <c r="I185" s="8" t="s">
        <v>1993</v>
      </c>
      <c r="J185" s="9">
        <v>43.45</v>
      </c>
    </row>
    <row r="186" spans="7:10" hidden="1" x14ac:dyDescent="0.3">
      <c r="G186" s="10" t="s">
        <v>179</v>
      </c>
      <c r="H186" s="11" t="s">
        <v>2034</v>
      </c>
      <c r="I186" s="11" t="s">
        <v>1978</v>
      </c>
      <c r="J186" s="12">
        <v>37.21</v>
      </c>
    </row>
    <row r="187" spans="7:10" hidden="1" x14ac:dyDescent="0.3">
      <c r="G187" s="7" t="s">
        <v>180</v>
      </c>
      <c r="H187" s="8" t="s">
        <v>2034</v>
      </c>
      <c r="I187" s="8" t="s">
        <v>2002</v>
      </c>
      <c r="J187" s="9">
        <v>22.49</v>
      </c>
    </row>
    <row r="188" spans="7:10" hidden="1" x14ac:dyDescent="0.3">
      <c r="G188" s="10" t="s">
        <v>181</v>
      </c>
      <c r="H188" s="11" t="s">
        <v>2034</v>
      </c>
      <c r="I188" s="11" t="s">
        <v>1992</v>
      </c>
      <c r="J188" s="12">
        <v>27.65</v>
      </c>
    </row>
    <row r="189" spans="7:10" hidden="1" x14ac:dyDescent="0.3">
      <c r="G189" s="7" t="s">
        <v>182</v>
      </c>
      <c r="H189" s="8" t="s">
        <v>2035</v>
      </c>
      <c r="I189" s="8" t="s">
        <v>1998</v>
      </c>
      <c r="J189" s="9">
        <v>24.97</v>
      </c>
    </row>
    <row r="190" spans="7:10" hidden="1" x14ac:dyDescent="0.3">
      <c r="G190" s="10" t="s">
        <v>183</v>
      </c>
      <c r="H190" s="11" t="s">
        <v>2036</v>
      </c>
      <c r="I190" s="11" t="s">
        <v>2015</v>
      </c>
      <c r="J190" s="12">
        <v>26.86</v>
      </c>
    </row>
    <row r="191" spans="7:10" hidden="1" x14ac:dyDescent="0.3">
      <c r="G191" s="7" t="s">
        <v>184</v>
      </c>
      <c r="H191" s="8" t="s">
        <v>2044</v>
      </c>
      <c r="I191" s="8" t="s">
        <v>1979</v>
      </c>
      <c r="J191" s="9">
        <v>17.38</v>
      </c>
    </row>
    <row r="192" spans="7:10" hidden="1" x14ac:dyDescent="0.3">
      <c r="G192" s="10" t="s">
        <v>185</v>
      </c>
      <c r="H192" s="11" t="s">
        <v>2038</v>
      </c>
      <c r="I192" s="11" t="s">
        <v>2029</v>
      </c>
      <c r="J192" s="12">
        <v>32.9</v>
      </c>
    </row>
    <row r="193" spans="7:10" x14ac:dyDescent="0.3">
      <c r="G193" s="10" t="s">
        <v>531</v>
      </c>
      <c r="H193" s="11" t="s">
        <v>2047</v>
      </c>
      <c r="I193" s="11" t="s">
        <v>1979</v>
      </c>
      <c r="J193" s="12">
        <v>4.5199999999999996</v>
      </c>
    </row>
    <row r="194" spans="7:10" hidden="1" x14ac:dyDescent="0.3">
      <c r="G194" s="10" t="s">
        <v>187</v>
      </c>
      <c r="H194" s="11" t="s">
        <v>2034</v>
      </c>
      <c r="I194" s="11" t="s">
        <v>2031</v>
      </c>
      <c r="J194" s="12">
        <v>16.75</v>
      </c>
    </row>
    <row r="195" spans="7:10" hidden="1" x14ac:dyDescent="0.3">
      <c r="G195" s="7" t="s">
        <v>188</v>
      </c>
      <c r="H195" s="8" t="s">
        <v>2057</v>
      </c>
      <c r="I195" s="8" t="s">
        <v>2027</v>
      </c>
      <c r="J195" s="9">
        <v>19.079999999999998</v>
      </c>
    </row>
    <row r="196" spans="7:10" hidden="1" x14ac:dyDescent="0.3">
      <c r="G196" s="10" t="s">
        <v>189</v>
      </c>
      <c r="H196" s="11" t="s">
        <v>2034</v>
      </c>
      <c r="I196" s="11" t="s">
        <v>1999</v>
      </c>
      <c r="J196" s="12">
        <v>19.21</v>
      </c>
    </row>
    <row r="197" spans="7:10" hidden="1" x14ac:dyDescent="0.3">
      <c r="G197" s="7" t="s">
        <v>190</v>
      </c>
      <c r="H197" s="8" t="s">
        <v>2034</v>
      </c>
      <c r="I197" s="8" t="s">
        <v>1999</v>
      </c>
      <c r="J197" s="9">
        <v>12.43</v>
      </c>
    </row>
    <row r="198" spans="7:10" hidden="1" x14ac:dyDescent="0.3">
      <c r="G198" s="10" t="s">
        <v>191</v>
      </c>
      <c r="H198" s="11" t="s">
        <v>2038</v>
      </c>
      <c r="I198" s="11" t="s">
        <v>2030</v>
      </c>
      <c r="J198" s="12">
        <v>23.67</v>
      </c>
    </row>
    <row r="199" spans="7:10" hidden="1" x14ac:dyDescent="0.3">
      <c r="G199" s="7" t="s">
        <v>192</v>
      </c>
      <c r="H199" s="8" t="s">
        <v>1975</v>
      </c>
      <c r="I199" s="8" t="s">
        <v>2028</v>
      </c>
      <c r="J199" s="9">
        <v>16.87</v>
      </c>
    </row>
    <row r="200" spans="7:10" hidden="1" x14ac:dyDescent="0.3">
      <c r="G200" s="10" t="s">
        <v>193</v>
      </c>
      <c r="H200" s="11" t="s">
        <v>2034</v>
      </c>
      <c r="I200" s="11" t="s">
        <v>1979</v>
      </c>
      <c r="J200" s="12">
        <v>10.88</v>
      </c>
    </row>
    <row r="201" spans="7:10" hidden="1" x14ac:dyDescent="0.3">
      <c r="G201" s="7" t="s">
        <v>194</v>
      </c>
      <c r="H201" s="8" t="s">
        <v>2035</v>
      </c>
      <c r="I201" s="8" t="s">
        <v>2005</v>
      </c>
      <c r="J201" s="9">
        <v>52.53</v>
      </c>
    </row>
    <row r="202" spans="7:10" hidden="1" x14ac:dyDescent="0.3">
      <c r="G202" s="10" t="s">
        <v>195</v>
      </c>
      <c r="H202" s="11" t="s">
        <v>2034</v>
      </c>
      <c r="I202" s="11" t="s">
        <v>1992</v>
      </c>
      <c r="J202" s="12">
        <v>21.17</v>
      </c>
    </row>
    <row r="203" spans="7:10" hidden="1" x14ac:dyDescent="0.3">
      <c r="G203" s="7" t="s">
        <v>196</v>
      </c>
      <c r="H203" s="8" t="s">
        <v>2035</v>
      </c>
      <c r="I203" s="8" t="s">
        <v>2031</v>
      </c>
      <c r="J203" s="9">
        <v>16.11</v>
      </c>
    </row>
    <row r="204" spans="7:10" hidden="1" x14ac:dyDescent="0.3">
      <c r="G204" s="10" t="s">
        <v>197</v>
      </c>
      <c r="H204" s="11" t="s">
        <v>2034</v>
      </c>
      <c r="I204" s="11" t="s">
        <v>1998</v>
      </c>
      <c r="J204" s="12">
        <v>31.02</v>
      </c>
    </row>
    <row r="205" spans="7:10" hidden="1" x14ac:dyDescent="0.3">
      <c r="G205" s="7" t="s">
        <v>198</v>
      </c>
      <c r="H205" s="8" t="s">
        <v>2038</v>
      </c>
      <c r="I205" s="8" t="s">
        <v>1997</v>
      </c>
      <c r="J205" s="9">
        <v>81.3</v>
      </c>
    </row>
    <row r="206" spans="7:10" hidden="1" x14ac:dyDescent="0.3">
      <c r="G206" s="10" t="s">
        <v>199</v>
      </c>
      <c r="H206" s="11" t="s">
        <v>2041</v>
      </c>
      <c r="I206" s="11" t="s">
        <v>1988</v>
      </c>
      <c r="J206" s="12">
        <v>40.380000000000003</v>
      </c>
    </row>
    <row r="207" spans="7:10" hidden="1" x14ac:dyDescent="0.3">
      <c r="G207" s="7" t="s">
        <v>200</v>
      </c>
      <c r="H207" s="8" t="s">
        <v>2034</v>
      </c>
      <c r="I207" s="8" t="s">
        <v>1998</v>
      </c>
      <c r="J207" s="9">
        <v>12.08</v>
      </c>
    </row>
    <row r="208" spans="7:10" hidden="1" x14ac:dyDescent="0.3">
      <c r="G208" s="10" t="s">
        <v>201</v>
      </c>
      <c r="H208" s="11" t="s">
        <v>2039</v>
      </c>
      <c r="I208" s="11" t="s">
        <v>1997</v>
      </c>
      <c r="J208" s="12">
        <v>66.510000000000005</v>
      </c>
    </row>
    <row r="209" spans="7:10" hidden="1" x14ac:dyDescent="0.3">
      <c r="G209" s="7" t="s">
        <v>202</v>
      </c>
      <c r="H209" s="8" t="s">
        <v>2046</v>
      </c>
      <c r="I209" s="8" t="s">
        <v>2031</v>
      </c>
      <c r="J209" s="9">
        <v>24.52</v>
      </c>
    </row>
    <row r="210" spans="7:10" hidden="1" x14ac:dyDescent="0.3">
      <c r="G210" s="10" t="s">
        <v>203</v>
      </c>
      <c r="H210" s="11" t="s">
        <v>2034</v>
      </c>
      <c r="I210" s="11" t="s">
        <v>2022</v>
      </c>
      <c r="J210" s="12">
        <v>15.02</v>
      </c>
    </row>
    <row r="211" spans="7:10" hidden="1" x14ac:dyDescent="0.3">
      <c r="G211" s="7" t="s">
        <v>204</v>
      </c>
      <c r="H211" s="8" t="s">
        <v>2038</v>
      </c>
      <c r="I211" s="8" t="s">
        <v>2005</v>
      </c>
      <c r="J211" s="9">
        <v>26.61</v>
      </c>
    </row>
    <row r="212" spans="7:10" hidden="1" x14ac:dyDescent="0.3">
      <c r="G212" s="10" t="s">
        <v>205</v>
      </c>
      <c r="H212" s="11" t="s">
        <v>2034</v>
      </c>
      <c r="I212" s="11" t="s">
        <v>2002</v>
      </c>
      <c r="J212" s="12">
        <v>77.849999999999994</v>
      </c>
    </row>
    <row r="213" spans="7:10" hidden="1" x14ac:dyDescent="0.3">
      <c r="G213" s="7" t="s">
        <v>206</v>
      </c>
      <c r="H213" s="8" t="s">
        <v>2039</v>
      </c>
      <c r="I213" s="8" t="s">
        <v>2004</v>
      </c>
      <c r="J213" s="9">
        <v>17.18</v>
      </c>
    </row>
    <row r="214" spans="7:10" hidden="1" x14ac:dyDescent="0.3">
      <c r="G214" s="10" t="s">
        <v>207</v>
      </c>
      <c r="H214" s="11" t="s">
        <v>2034</v>
      </c>
      <c r="I214" s="11" t="s">
        <v>1978</v>
      </c>
      <c r="J214" s="12">
        <v>30.72</v>
      </c>
    </row>
    <row r="215" spans="7:10" hidden="1" x14ac:dyDescent="0.3">
      <c r="G215" s="7" t="s">
        <v>208</v>
      </c>
      <c r="H215" s="8" t="s">
        <v>2034</v>
      </c>
      <c r="I215" s="8" t="s">
        <v>1979</v>
      </c>
      <c r="J215" s="9">
        <v>11.04</v>
      </c>
    </row>
    <row r="216" spans="7:10" hidden="1" x14ac:dyDescent="0.3">
      <c r="G216" s="10" t="s">
        <v>209</v>
      </c>
      <c r="H216" s="11" t="s">
        <v>2034</v>
      </c>
      <c r="I216" s="11" t="s">
        <v>2015</v>
      </c>
      <c r="J216" s="12">
        <v>26.16</v>
      </c>
    </row>
    <row r="217" spans="7:10" hidden="1" x14ac:dyDescent="0.3">
      <c r="G217" s="7" t="s">
        <v>210</v>
      </c>
      <c r="H217" s="8" t="s">
        <v>2041</v>
      </c>
      <c r="I217" s="8" t="s">
        <v>2000</v>
      </c>
      <c r="J217" s="9">
        <v>76.540000000000006</v>
      </c>
    </row>
    <row r="218" spans="7:10" hidden="1" x14ac:dyDescent="0.3">
      <c r="G218" s="10" t="s">
        <v>211</v>
      </c>
      <c r="H218" s="11" t="s">
        <v>2038</v>
      </c>
      <c r="I218" s="11" t="s">
        <v>2015</v>
      </c>
      <c r="J218" s="12">
        <v>26.16</v>
      </c>
    </row>
    <row r="219" spans="7:10" hidden="1" x14ac:dyDescent="0.3">
      <c r="G219" s="7" t="s">
        <v>212</v>
      </c>
      <c r="H219" s="8" t="s">
        <v>2034</v>
      </c>
      <c r="I219" s="8" t="s">
        <v>1999</v>
      </c>
      <c r="J219" s="9">
        <v>14.65</v>
      </c>
    </row>
    <row r="220" spans="7:10" hidden="1" x14ac:dyDescent="0.3">
      <c r="G220" s="10" t="s">
        <v>213</v>
      </c>
      <c r="H220" s="11" t="s">
        <v>2043</v>
      </c>
      <c r="I220" s="11" t="s">
        <v>2015</v>
      </c>
      <c r="J220" s="12">
        <v>23.16</v>
      </c>
    </row>
    <row r="221" spans="7:10" hidden="1" x14ac:dyDescent="0.3">
      <c r="G221" s="7" t="s">
        <v>214</v>
      </c>
      <c r="H221" s="8" t="s">
        <v>2057</v>
      </c>
      <c r="I221" s="8" t="s">
        <v>1987</v>
      </c>
      <c r="J221" s="9">
        <v>30.23</v>
      </c>
    </row>
    <row r="222" spans="7:10" hidden="1" x14ac:dyDescent="0.3">
      <c r="G222" s="10" t="s">
        <v>215</v>
      </c>
      <c r="H222" s="11" t="s">
        <v>2034</v>
      </c>
      <c r="I222" s="11" t="s">
        <v>2005</v>
      </c>
      <c r="J222" s="12">
        <v>14.36</v>
      </c>
    </row>
    <row r="223" spans="7:10" hidden="1" x14ac:dyDescent="0.3">
      <c r="G223" s="7" t="s">
        <v>216</v>
      </c>
      <c r="H223" s="8" t="s">
        <v>2034</v>
      </c>
      <c r="I223" s="8" t="s">
        <v>2031</v>
      </c>
      <c r="J223" s="9">
        <v>18.04</v>
      </c>
    </row>
    <row r="224" spans="7:10" hidden="1" x14ac:dyDescent="0.3">
      <c r="G224" s="10" t="s">
        <v>217</v>
      </c>
      <c r="H224" s="11" t="s">
        <v>2034</v>
      </c>
      <c r="I224" s="11" t="s">
        <v>2030</v>
      </c>
      <c r="J224" s="12">
        <v>30.85</v>
      </c>
    </row>
    <row r="225" spans="7:10" hidden="1" x14ac:dyDescent="0.3">
      <c r="G225" s="7" t="s">
        <v>218</v>
      </c>
      <c r="H225" s="8" t="s">
        <v>2034</v>
      </c>
      <c r="I225" s="8" t="s">
        <v>2005</v>
      </c>
      <c r="J225" s="9">
        <v>16.02</v>
      </c>
    </row>
    <row r="226" spans="7:10" hidden="1" x14ac:dyDescent="0.3">
      <c r="G226" s="10" t="s">
        <v>219</v>
      </c>
      <c r="H226" s="11" t="s">
        <v>2038</v>
      </c>
      <c r="I226" s="11" t="s">
        <v>1997</v>
      </c>
      <c r="J226" s="12">
        <v>26.12</v>
      </c>
    </row>
    <row r="227" spans="7:10" hidden="1" x14ac:dyDescent="0.3">
      <c r="G227" s="7" t="s">
        <v>220</v>
      </c>
      <c r="H227" s="8" t="s">
        <v>2039</v>
      </c>
      <c r="I227" s="8" t="s">
        <v>2005</v>
      </c>
      <c r="J227" s="9">
        <v>38.130000000000003</v>
      </c>
    </row>
    <row r="228" spans="7:10" x14ac:dyDescent="0.3">
      <c r="G228" s="7" t="s">
        <v>1897</v>
      </c>
      <c r="H228" s="8" t="s">
        <v>2047</v>
      </c>
      <c r="I228" s="8" t="s">
        <v>1979</v>
      </c>
      <c r="J228" s="9">
        <v>0.79</v>
      </c>
    </row>
    <row r="229" spans="7:10" hidden="1" x14ac:dyDescent="0.3">
      <c r="G229" s="7" t="s">
        <v>222</v>
      </c>
      <c r="H229" s="8" t="s">
        <v>2040</v>
      </c>
      <c r="I229" s="8" t="s">
        <v>2031</v>
      </c>
      <c r="J229" s="9">
        <v>13.88</v>
      </c>
    </row>
    <row r="230" spans="7:10" hidden="1" x14ac:dyDescent="0.3">
      <c r="G230" s="10" t="s">
        <v>223</v>
      </c>
      <c r="H230" s="11" t="s">
        <v>2038</v>
      </c>
      <c r="I230" s="11" t="s">
        <v>1998</v>
      </c>
      <c r="J230" s="12">
        <v>10.02</v>
      </c>
    </row>
    <row r="231" spans="7:10" hidden="1" x14ac:dyDescent="0.3">
      <c r="G231" s="7" t="s">
        <v>224</v>
      </c>
      <c r="H231" s="8" t="s">
        <v>2038</v>
      </c>
      <c r="I231" s="8" t="s">
        <v>2000</v>
      </c>
      <c r="J231" s="9">
        <v>31.36</v>
      </c>
    </row>
    <row r="232" spans="7:10" hidden="1" x14ac:dyDescent="0.3">
      <c r="G232" s="10" t="s">
        <v>225</v>
      </c>
      <c r="H232" s="11" t="s">
        <v>2034</v>
      </c>
      <c r="I232" s="11" t="s">
        <v>2031</v>
      </c>
      <c r="J232" s="12">
        <v>15.36</v>
      </c>
    </row>
    <row r="233" spans="7:10" hidden="1" x14ac:dyDescent="0.3">
      <c r="G233" s="7" t="s">
        <v>226</v>
      </c>
      <c r="H233" s="8" t="s">
        <v>2038</v>
      </c>
      <c r="I233" s="8" t="s">
        <v>2028</v>
      </c>
      <c r="J233" s="9">
        <v>27.24</v>
      </c>
    </row>
    <row r="234" spans="7:10" hidden="1" x14ac:dyDescent="0.3">
      <c r="G234" s="10" t="s">
        <v>227</v>
      </c>
      <c r="H234" s="11" t="s">
        <v>2034</v>
      </c>
      <c r="I234" s="11" t="s">
        <v>2023</v>
      </c>
      <c r="J234" s="12">
        <v>22.39</v>
      </c>
    </row>
    <row r="235" spans="7:10" hidden="1" x14ac:dyDescent="0.3">
      <c r="G235" s="7" t="s">
        <v>228</v>
      </c>
      <c r="H235" s="8" t="s">
        <v>2034</v>
      </c>
      <c r="I235" s="8" t="s">
        <v>2031</v>
      </c>
      <c r="J235" s="9">
        <v>13.55</v>
      </c>
    </row>
    <row r="236" spans="7:10" hidden="1" x14ac:dyDescent="0.3">
      <c r="G236" s="10" t="s">
        <v>229</v>
      </c>
      <c r="H236" s="11" t="s">
        <v>2035</v>
      </c>
      <c r="I236" s="11" t="s">
        <v>1979</v>
      </c>
      <c r="J236" s="12">
        <v>8.0500000000000007</v>
      </c>
    </row>
    <row r="237" spans="7:10" hidden="1" x14ac:dyDescent="0.3">
      <c r="G237" s="7" t="s">
        <v>230</v>
      </c>
      <c r="H237" s="8" t="s">
        <v>2034</v>
      </c>
      <c r="I237" s="8" t="s">
        <v>2005</v>
      </c>
      <c r="J237" s="9">
        <v>13.93</v>
      </c>
    </row>
    <row r="238" spans="7:10" hidden="1" x14ac:dyDescent="0.3">
      <c r="G238" s="10" t="s">
        <v>231</v>
      </c>
      <c r="H238" s="11" t="s">
        <v>2034</v>
      </c>
      <c r="I238" s="11" t="s">
        <v>2023</v>
      </c>
      <c r="J238" s="12">
        <v>43.21</v>
      </c>
    </row>
    <row r="239" spans="7:10" hidden="1" x14ac:dyDescent="0.3">
      <c r="G239" s="7" t="s">
        <v>232</v>
      </c>
      <c r="H239" s="8" t="s">
        <v>2039</v>
      </c>
      <c r="I239" s="8" t="s">
        <v>1993</v>
      </c>
      <c r="J239" s="9">
        <v>31.75</v>
      </c>
    </row>
    <row r="240" spans="7:10" hidden="1" x14ac:dyDescent="0.3">
      <c r="G240" s="10" t="s">
        <v>233</v>
      </c>
      <c r="H240" s="11" t="s">
        <v>2038</v>
      </c>
      <c r="I240" s="11" t="s">
        <v>1992</v>
      </c>
      <c r="J240" s="12">
        <v>84.22</v>
      </c>
    </row>
    <row r="241" spans="7:10" hidden="1" x14ac:dyDescent="0.3">
      <c r="G241" s="7" t="s">
        <v>234</v>
      </c>
      <c r="H241" s="8" t="s">
        <v>2059</v>
      </c>
      <c r="I241" s="8" t="s">
        <v>2003</v>
      </c>
      <c r="J241" s="9">
        <v>11.09</v>
      </c>
    </row>
    <row r="242" spans="7:10" hidden="1" x14ac:dyDescent="0.3">
      <c r="G242" s="10" t="s">
        <v>235</v>
      </c>
      <c r="H242" s="11" t="s">
        <v>2041</v>
      </c>
      <c r="I242" s="11" t="s">
        <v>2015</v>
      </c>
      <c r="J242" s="12">
        <v>50.56</v>
      </c>
    </row>
    <row r="243" spans="7:10" hidden="1" x14ac:dyDescent="0.3">
      <c r="G243" s="7" t="s">
        <v>236</v>
      </c>
      <c r="H243" s="8" t="s">
        <v>2034</v>
      </c>
      <c r="I243" s="8" t="s">
        <v>1998</v>
      </c>
      <c r="J243" s="9">
        <v>11.55</v>
      </c>
    </row>
    <row r="244" spans="7:10" hidden="1" x14ac:dyDescent="0.3">
      <c r="G244" s="10" t="s">
        <v>237</v>
      </c>
      <c r="H244" s="11" t="s">
        <v>2034</v>
      </c>
      <c r="I244" s="11" t="s">
        <v>2026</v>
      </c>
      <c r="J244" s="12">
        <v>12.89</v>
      </c>
    </row>
    <row r="245" spans="7:10" hidden="1" x14ac:dyDescent="0.3">
      <c r="G245" s="7" t="s">
        <v>238</v>
      </c>
      <c r="H245" s="8" t="s">
        <v>2034</v>
      </c>
      <c r="I245" s="8" t="s">
        <v>1987</v>
      </c>
      <c r="J245" s="9">
        <v>22.01</v>
      </c>
    </row>
    <row r="246" spans="7:10" hidden="1" x14ac:dyDescent="0.3">
      <c r="G246" s="10" t="s">
        <v>239</v>
      </c>
      <c r="H246" s="11" t="s">
        <v>2034</v>
      </c>
      <c r="I246" s="11" t="s">
        <v>1986</v>
      </c>
      <c r="J246" s="12">
        <v>18.239999999999998</v>
      </c>
    </row>
    <row r="247" spans="7:10" hidden="1" x14ac:dyDescent="0.3">
      <c r="G247" s="7" t="s">
        <v>240</v>
      </c>
      <c r="H247" s="8" t="s">
        <v>2060</v>
      </c>
      <c r="I247" s="8" t="s">
        <v>1993</v>
      </c>
      <c r="J247" s="9">
        <v>15.33</v>
      </c>
    </row>
    <row r="248" spans="7:10" hidden="1" x14ac:dyDescent="0.3">
      <c r="G248" s="10" t="s">
        <v>241</v>
      </c>
      <c r="H248" s="11" t="s">
        <v>2036</v>
      </c>
      <c r="I248" s="11" t="s">
        <v>2022</v>
      </c>
      <c r="J248" s="12">
        <v>14.72</v>
      </c>
    </row>
    <row r="249" spans="7:10" hidden="1" x14ac:dyDescent="0.3">
      <c r="G249" s="7" t="s">
        <v>242</v>
      </c>
      <c r="H249" s="8" t="s">
        <v>2035</v>
      </c>
      <c r="I249" s="8" t="s">
        <v>2001</v>
      </c>
      <c r="J249" s="9">
        <v>12.06</v>
      </c>
    </row>
    <row r="250" spans="7:10" hidden="1" x14ac:dyDescent="0.3">
      <c r="G250" s="10" t="s">
        <v>243</v>
      </c>
      <c r="H250" s="11" t="s">
        <v>2034</v>
      </c>
      <c r="I250" s="11" t="s">
        <v>2022</v>
      </c>
      <c r="J250" s="12">
        <v>10.74</v>
      </c>
    </row>
    <row r="251" spans="7:10" hidden="1" x14ac:dyDescent="0.3">
      <c r="G251" s="7" t="s">
        <v>244</v>
      </c>
      <c r="H251" s="8" t="s">
        <v>2034</v>
      </c>
      <c r="I251" s="8" t="s">
        <v>1979</v>
      </c>
      <c r="J251" s="9">
        <v>8.31</v>
      </c>
    </row>
    <row r="252" spans="7:10" hidden="1" x14ac:dyDescent="0.3">
      <c r="G252" s="10" t="s">
        <v>245</v>
      </c>
      <c r="H252" s="11" t="s">
        <v>2034</v>
      </c>
      <c r="I252" s="11" t="s">
        <v>2026</v>
      </c>
      <c r="J252" s="12">
        <v>10.49</v>
      </c>
    </row>
    <row r="253" spans="7:10" hidden="1" x14ac:dyDescent="0.3">
      <c r="G253" s="7" t="s">
        <v>246</v>
      </c>
      <c r="H253" s="8" t="s">
        <v>2034</v>
      </c>
      <c r="I253" s="8" t="s">
        <v>2030</v>
      </c>
      <c r="J253" s="9">
        <v>12.99</v>
      </c>
    </row>
    <row r="254" spans="7:10" hidden="1" x14ac:dyDescent="0.3">
      <c r="G254" s="10" t="s">
        <v>247</v>
      </c>
      <c r="H254" s="11" t="s">
        <v>2034</v>
      </c>
      <c r="I254" s="11" t="s">
        <v>2002</v>
      </c>
      <c r="J254" s="12">
        <v>16.68</v>
      </c>
    </row>
    <row r="255" spans="7:10" hidden="1" x14ac:dyDescent="0.3">
      <c r="G255" s="7" t="s">
        <v>248</v>
      </c>
      <c r="H255" s="8" t="s">
        <v>2038</v>
      </c>
      <c r="I255" s="8" t="s">
        <v>2031</v>
      </c>
      <c r="J255" s="9">
        <v>19.899999999999999</v>
      </c>
    </row>
    <row r="256" spans="7:10" hidden="1" x14ac:dyDescent="0.3">
      <c r="G256" s="10" t="s">
        <v>249</v>
      </c>
      <c r="H256" s="11" t="s">
        <v>2038</v>
      </c>
      <c r="I256" s="11" t="s">
        <v>1999</v>
      </c>
      <c r="J256" s="12">
        <v>10.48</v>
      </c>
    </row>
    <row r="257" spans="7:10" hidden="1" x14ac:dyDescent="0.3">
      <c r="G257" s="7" t="s">
        <v>250</v>
      </c>
      <c r="H257" s="8" t="s">
        <v>2038</v>
      </c>
      <c r="I257" s="8" t="s">
        <v>2031</v>
      </c>
      <c r="J257" s="9">
        <v>24.38</v>
      </c>
    </row>
    <row r="258" spans="7:10" hidden="1" x14ac:dyDescent="0.3">
      <c r="G258" s="10" t="s">
        <v>251</v>
      </c>
      <c r="H258" s="11" t="s">
        <v>2039</v>
      </c>
      <c r="I258" s="11" t="s">
        <v>1993</v>
      </c>
      <c r="J258" s="12">
        <v>18.88</v>
      </c>
    </row>
    <row r="259" spans="7:10" hidden="1" x14ac:dyDescent="0.3">
      <c r="G259" s="7" t="s">
        <v>252</v>
      </c>
      <c r="H259" s="8" t="s">
        <v>2034</v>
      </c>
      <c r="I259" s="8" t="s">
        <v>2002</v>
      </c>
      <c r="J259" s="9">
        <v>24.46</v>
      </c>
    </row>
    <row r="260" spans="7:10" hidden="1" x14ac:dyDescent="0.3">
      <c r="G260" s="10" t="s">
        <v>253</v>
      </c>
      <c r="H260" s="11" t="s">
        <v>2061</v>
      </c>
      <c r="I260" s="11" t="s">
        <v>2022</v>
      </c>
      <c r="J260" s="12">
        <v>13.27</v>
      </c>
    </row>
    <row r="261" spans="7:10" hidden="1" x14ac:dyDescent="0.3">
      <c r="G261" s="7" t="s">
        <v>254</v>
      </c>
      <c r="H261" s="8" t="s">
        <v>2035</v>
      </c>
      <c r="I261" s="8" t="s">
        <v>2031</v>
      </c>
      <c r="J261" s="9">
        <v>23.11</v>
      </c>
    </row>
    <row r="262" spans="7:10" hidden="1" x14ac:dyDescent="0.3">
      <c r="G262" s="10" t="s">
        <v>255</v>
      </c>
      <c r="H262" s="11" t="s">
        <v>2034</v>
      </c>
      <c r="I262" s="11" t="s">
        <v>2022</v>
      </c>
      <c r="J262" s="12">
        <v>20.99</v>
      </c>
    </row>
    <row r="263" spans="7:10" hidden="1" x14ac:dyDescent="0.3">
      <c r="G263" s="7" t="s">
        <v>256</v>
      </c>
      <c r="H263" s="8" t="s">
        <v>2035</v>
      </c>
      <c r="I263" s="8" t="s">
        <v>1978</v>
      </c>
      <c r="J263" s="9">
        <v>18.93</v>
      </c>
    </row>
    <row r="264" spans="7:10" hidden="1" x14ac:dyDescent="0.3">
      <c r="G264" s="10" t="s">
        <v>257</v>
      </c>
      <c r="H264" s="11" t="s">
        <v>2039</v>
      </c>
      <c r="I264" s="11" t="s">
        <v>1993</v>
      </c>
      <c r="J264" s="12">
        <v>26.49</v>
      </c>
    </row>
    <row r="265" spans="7:10" hidden="1" x14ac:dyDescent="0.3">
      <c r="G265" s="7" t="s">
        <v>258</v>
      </c>
      <c r="H265" s="8" t="s">
        <v>2046</v>
      </c>
      <c r="I265" s="8" t="s">
        <v>2022</v>
      </c>
      <c r="J265" s="9">
        <v>10</v>
      </c>
    </row>
    <row r="266" spans="7:10" hidden="1" x14ac:dyDescent="0.3">
      <c r="G266" s="10" t="s">
        <v>259</v>
      </c>
      <c r="H266" s="11" t="s">
        <v>2039</v>
      </c>
      <c r="I266" s="11" t="s">
        <v>2023</v>
      </c>
      <c r="J266" s="12">
        <v>32.85</v>
      </c>
    </row>
    <row r="267" spans="7:10" hidden="1" x14ac:dyDescent="0.3">
      <c r="G267" s="7" t="s">
        <v>260</v>
      </c>
      <c r="H267" s="8" t="s">
        <v>2057</v>
      </c>
      <c r="I267" s="8" t="s">
        <v>1979</v>
      </c>
      <c r="J267" s="9">
        <v>9.01</v>
      </c>
    </row>
    <row r="268" spans="7:10" hidden="1" x14ac:dyDescent="0.3">
      <c r="G268" s="10" t="s">
        <v>261</v>
      </c>
      <c r="H268" s="11" t="s">
        <v>2034</v>
      </c>
      <c r="I268" s="11" t="s">
        <v>2023</v>
      </c>
      <c r="J268" s="12">
        <v>54.28</v>
      </c>
    </row>
    <row r="269" spans="7:10" hidden="1" x14ac:dyDescent="0.3">
      <c r="G269" s="7" t="s">
        <v>262</v>
      </c>
      <c r="H269" s="8" t="s">
        <v>2057</v>
      </c>
      <c r="I269" s="8" t="s">
        <v>1979</v>
      </c>
      <c r="J269" s="9">
        <v>12.14</v>
      </c>
    </row>
    <row r="270" spans="7:10" hidden="1" x14ac:dyDescent="0.3">
      <c r="G270" s="10" t="s">
        <v>263</v>
      </c>
      <c r="H270" s="11" t="s">
        <v>2034</v>
      </c>
      <c r="I270" s="11" t="s">
        <v>1979</v>
      </c>
      <c r="J270" s="12">
        <v>7.83</v>
      </c>
    </row>
    <row r="271" spans="7:10" hidden="1" x14ac:dyDescent="0.3">
      <c r="G271" s="7" t="s">
        <v>264</v>
      </c>
      <c r="H271" s="8" t="s">
        <v>2062</v>
      </c>
      <c r="I271" s="8" t="s">
        <v>1979</v>
      </c>
      <c r="J271" s="9">
        <v>7.58</v>
      </c>
    </row>
    <row r="272" spans="7:10" hidden="1" x14ac:dyDescent="0.3">
      <c r="G272" s="10" t="s">
        <v>265</v>
      </c>
      <c r="H272" s="11" t="s">
        <v>2034</v>
      </c>
      <c r="I272" s="11" t="s">
        <v>1978</v>
      </c>
      <c r="J272" s="12">
        <v>21.24</v>
      </c>
    </row>
    <row r="273" spans="7:10" hidden="1" x14ac:dyDescent="0.3">
      <c r="G273" s="7" t="s">
        <v>266</v>
      </c>
      <c r="H273" s="8" t="s">
        <v>2036</v>
      </c>
      <c r="I273" s="8" t="s">
        <v>2028</v>
      </c>
      <c r="J273" s="9">
        <v>13.81</v>
      </c>
    </row>
    <row r="274" spans="7:10" hidden="1" x14ac:dyDescent="0.3">
      <c r="G274" s="10" t="s">
        <v>267</v>
      </c>
      <c r="H274" s="11" t="s">
        <v>2038</v>
      </c>
      <c r="I274" s="11" t="s">
        <v>2029</v>
      </c>
      <c r="J274" s="12">
        <v>19.12</v>
      </c>
    </row>
    <row r="275" spans="7:10" hidden="1" x14ac:dyDescent="0.3">
      <c r="G275" s="7" t="s">
        <v>268</v>
      </c>
      <c r="H275" s="8" t="s">
        <v>2034</v>
      </c>
      <c r="I275" s="8" t="s">
        <v>2030</v>
      </c>
      <c r="J275" s="9">
        <v>13.58</v>
      </c>
    </row>
    <row r="276" spans="7:10" hidden="1" x14ac:dyDescent="0.3">
      <c r="G276" s="10" t="s">
        <v>269</v>
      </c>
      <c r="H276" s="11" t="s">
        <v>2034</v>
      </c>
      <c r="I276" s="11" t="s">
        <v>2002</v>
      </c>
      <c r="J276" s="12">
        <v>11</v>
      </c>
    </row>
    <row r="277" spans="7:10" hidden="1" x14ac:dyDescent="0.3">
      <c r="G277" s="7" t="s">
        <v>270</v>
      </c>
      <c r="H277" s="8" t="s">
        <v>2034</v>
      </c>
      <c r="I277" s="8" t="s">
        <v>1992</v>
      </c>
      <c r="J277" s="9">
        <v>17.88</v>
      </c>
    </row>
    <row r="278" spans="7:10" hidden="1" x14ac:dyDescent="0.3">
      <c r="G278" s="10" t="s">
        <v>271</v>
      </c>
      <c r="H278" s="11" t="s">
        <v>2034</v>
      </c>
      <c r="I278" s="11" t="s">
        <v>2015</v>
      </c>
      <c r="J278" s="12">
        <v>24.1</v>
      </c>
    </row>
    <row r="279" spans="7:10" hidden="1" x14ac:dyDescent="0.3">
      <c r="G279" s="7" t="s">
        <v>272</v>
      </c>
      <c r="H279" s="8" t="s">
        <v>2039</v>
      </c>
      <c r="I279" s="8" t="s">
        <v>2001</v>
      </c>
      <c r="J279" s="9">
        <v>15.39</v>
      </c>
    </row>
    <row r="280" spans="7:10" hidden="1" x14ac:dyDescent="0.3">
      <c r="G280" s="10" t="s">
        <v>273</v>
      </c>
      <c r="H280" s="11" t="s">
        <v>2038</v>
      </c>
      <c r="I280" s="11" t="s">
        <v>2005</v>
      </c>
      <c r="J280" s="12">
        <v>18.760000000000002</v>
      </c>
    </row>
    <row r="281" spans="7:10" hidden="1" x14ac:dyDescent="0.3">
      <c r="G281" s="7" t="s">
        <v>274</v>
      </c>
      <c r="H281" s="8" t="s">
        <v>2034</v>
      </c>
      <c r="I281" s="8" t="s">
        <v>2001</v>
      </c>
      <c r="J281" s="9">
        <v>35.83</v>
      </c>
    </row>
    <row r="282" spans="7:10" hidden="1" x14ac:dyDescent="0.3">
      <c r="G282" s="10" t="s">
        <v>275</v>
      </c>
      <c r="H282" s="11" t="s">
        <v>2038</v>
      </c>
      <c r="I282" s="11" t="s">
        <v>2030</v>
      </c>
      <c r="J282" s="12">
        <v>13.15</v>
      </c>
    </row>
    <row r="283" spans="7:10" hidden="1" x14ac:dyDescent="0.3">
      <c r="G283" s="7" t="s">
        <v>276</v>
      </c>
      <c r="H283" s="8" t="s">
        <v>2034</v>
      </c>
      <c r="I283" s="8" t="s">
        <v>1979</v>
      </c>
      <c r="J283" s="9">
        <v>7.5</v>
      </c>
    </row>
    <row r="284" spans="7:10" hidden="1" x14ac:dyDescent="0.3">
      <c r="G284" s="10" t="s">
        <v>277</v>
      </c>
      <c r="H284" s="11" t="s">
        <v>2034</v>
      </c>
      <c r="I284" s="11" t="s">
        <v>2005</v>
      </c>
      <c r="J284" s="12">
        <v>10.5</v>
      </c>
    </row>
    <row r="285" spans="7:10" hidden="1" x14ac:dyDescent="0.3">
      <c r="G285" s="7" t="s">
        <v>278</v>
      </c>
      <c r="H285" s="8" t="s">
        <v>2034</v>
      </c>
      <c r="I285" s="8" t="s">
        <v>2001</v>
      </c>
      <c r="J285" s="9">
        <v>15.04</v>
      </c>
    </row>
    <row r="286" spans="7:10" hidden="1" x14ac:dyDescent="0.3">
      <c r="G286" s="10" t="s">
        <v>279</v>
      </c>
      <c r="H286" s="11" t="s">
        <v>2051</v>
      </c>
      <c r="I286" s="11" t="s">
        <v>2005</v>
      </c>
      <c r="J286" s="12">
        <v>13.09</v>
      </c>
    </row>
    <row r="287" spans="7:10" hidden="1" x14ac:dyDescent="0.3">
      <c r="G287" s="7" t="s">
        <v>280</v>
      </c>
      <c r="H287" s="8" t="s">
        <v>2034</v>
      </c>
      <c r="I287" s="8" t="s">
        <v>2027</v>
      </c>
      <c r="J287" s="9">
        <v>16.190000000000001</v>
      </c>
    </row>
    <row r="288" spans="7:10" hidden="1" x14ac:dyDescent="0.3">
      <c r="G288" s="10" t="s">
        <v>281</v>
      </c>
      <c r="H288" s="11" t="s">
        <v>2034</v>
      </c>
      <c r="I288" s="11" t="s">
        <v>2025</v>
      </c>
      <c r="J288" s="12">
        <v>13.39</v>
      </c>
    </row>
    <row r="289" spans="7:10" hidden="1" x14ac:dyDescent="0.3">
      <c r="G289" s="7" t="s">
        <v>282</v>
      </c>
      <c r="H289" s="8" t="s">
        <v>2063</v>
      </c>
      <c r="I289" s="8" t="s">
        <v>1979</v>
      </c>
      <c r="J289" s="9">
        <v>9.34</v>
      </c>
    </row>
    <row r="290" spans="7:10" hidden="1" x14ac:dyDescent="0.3">
      <c r="G290" s="10" t="s">
        <v>283</v>
      </c>
      <c r="H290" s="11" t="s">
        <v>2043</v>
      </c>
      <c r="I290" s="11" t="s">
        <v>1979</v>
      </c>
      <c r="J290" s="12">
        <v>13.21</v>
      </c>
    </row>
    <row r="291" spans="7:10" hidden="1" x14ac:dyDescent="0.3">
      <c r="G291" s="7" t="s">
        <v>284</v>
      </c>
      <c r="H291" s="8" t="s">
        <v>2034</v>
      </c>
      <c r="I291" s="8" t="s">
        <v>2023</v>
      </c>
      <c r="J291" s="9">
        <v>37.01</v>
      </c>
    </row>
    <row r="292" spans="7:10" hidden="1" x14ac:dyDescent="0.3">
      <c r="G292" s="10" t="s">
        <v>285</v>
      </c>
      <c r="H292" s="11" t="s">
        <v>2034</v>
      </c>
      <c r="I292" s="11" t="s">
        <v>2023</v>
      </c>
      <c r="J292" s="12">
        <v>38.950000000000003</v>
      </c>
    </row>
    <row r="293" spans="7:10" hidden="1" x14ac:dyDescent="0.3">
      <c r="G293" s="7" t="s">
        <v>286</v>
      </c>
      <c r="H293" s="8" t="s">
        <v>2034</v>
      </c>
      <c r="I293" s="8" t="s">
        <v>2031</v>
      </c>
      <c r="J293" s="9">
        <v>10.44</v>
      </c>
    </row>
    <row r="294" spans="7:10" hidden="1" x14ac:dyDescent="0.3">
      <c r="G294" s="10" t="s">
        <v>287</v>
      </c>
      <c r="H294" s="11" t="s">
        <v>2038</v>
      </c>
      <c r="I294" s="11" t="s">
        <v>1997</v>
      </c>
      <c r="J294" s="12">
        <v>22.8</v>
      </c>
    </row>
    <row r="295" spans="7:10" hidden="1" x14ac:dyDescent="0.3">
      <c r="G295" s="7" t="s">
        <v>288</v>
      </c>
      <c r="H295" s="8" t="s">
        <v>2034</v>
      </c>
      <c r="I295" s="8" t="s">
        <v>1979</v>
      </c>
      <c r="J295" s="9">
        <v>7.9</v>
      </c>
    </row>
    <row r="296" spans="7:10" hidden="1" x14ac:dyDescent="0.3">
      <c r="G296" s="10" t="s">
        <v>289</v>
      </c>
      <c r="H296" s="11" t="s">
        <v>2034</v>
      </c>
      <c r="I296" s="11" t="s">
        <v>1979</v>
      </c>
      <c r="J296" s="12">
        <v>6.66</v>
      </c>
    </row>
    <row r="297" spans="7:10" hidden="1" x14ac:dyDescent="0.3">
      <c r="G297" s="7" t="s">
        <v>290</v>
      </c>
      <c r="H297" s="8" t="s">
        <v>2038</v>
      </c>
      <c r="I297" s="8" t="s">
        <v>2022</v>
      </c>
      <c r="J297" s="9">
        <v>35.54</v>
      </c>
    </row>
    <row r="298" spans="7:10" x14ac:dyDescent="0.3">
      <c r="G298" s="7" t="s">
        <v>789</v>
      </c>
      <c r="H298" s="8" t="s">
        <v>2047</v>
      </c>
      <c r="I298" s="8" t="s">
        <v>1986</v>
      </c>
      <c r="J298" s="9">
        <v>14.24</v>
      </c>
    </row>
    <row r="299" spans="7:10" hidden="1" x14ac:dyDescent="0.3">
      <c r="G299" s="7" t="s">
        <v>292</v>
      </c>
      <c r="H299" s="8" t="s">
        <v>2062</v>
      </c>
      <c r="I299" s="8" t="s">
        <v>1979</v>
      </c>
      <c r="J299" s="9">
        <v>7.31</v>
      </c>
    </row>
    <row r="300" spans="7:10" hidden="1" x14ac:dyDescent="0.3">
      <c r="G300" s="10" t="s">
        <v>293</v>
      </c>
      <c r="H300" s="11" t="s">
        <v>2043</v>
      </c>
      <c r="I300" s="11" t="s">
        <v>1979</v>
      </c>
      <c r="J300" s="12">
        <v>8.68</v>
      </c>
    </row>
    <row r="301" spans="7:10" hidden="1" x14ac:dyDescent="0.3">
      <c r="G301" s="7" t="s">
        <v>2006</v>
      </c>
      <c r="H301" s="8" t="s">
        <v>2045</v>
      </c>
      <c r="I301" s="8" t="s">
        <v>2005</v>
      </c>
      <c r="J301" s="9">
        <v>9.41</v>
      </c>
    </row>
    <row r="302" spans="7:10" hidden="1" x14ac:dyDescent="0.3">
      <c r="G302" s="10" t="s">
        <v>294</v>
      </c>
      <c r="H302" s="11" t="s">
        <v>2061</v>
      </c>
      <c r="I302" s="11" t="s">
        <v>2022</v>
      </c>
      <c r="J302" s="12">
        <v>15.08</v>
      </c>
    </row>
    <row r="303" spans="7:10" hidden="1" x14ac:dyDescent="0.3">
      <c r="G303" s="7" t="s">
        <v>295</v>
      </c>
      <c r="H303" s="8" t="s">
        <v>2034</v>
      </c>
      <c r="I303" s="8" t="s">
        <v>2002</v>
      </c>
      <c r="J303" s="9">
        <v>85.88</v>
      </c>
    </row>
    <row r="304" spans="7:10" hidden="1" x14ac:dyDescent="0.3">
      <c r="G304" s="10" t="s">
        <v>296</v>
      </c>
      <c r="H304" s="11" t="s">
        <v>2060</v>
      </c>
      <c r="I304" s="11" t="s">
        <v>2028</v>
      </c>
      <c r="J304" s="12">
        <v>17.170000000000002</v>
      </c>
    </row>
    <row r="305" spans="7:10" hidden="1" x14ac:dyDescent="0.3">
      <c r="G305" s="7" t="s">
        <v>297</v>
      </c>
      <c r="H305" s="8" t="s">
        <v>2035</v>
      </c>
      <c r="I305" s="8" t="s">
        <v>2022</v>
      </c>
      <c r="J305" s="9">
        <v>9.32</v>
      </c>
    </row>
    <row r="306" spans="7:10" hidden="1" x14ac:dyDescent="0.3">
      <c r="G306" s="10" t="s">
        <v>298</v>
      </c>
      <c r="H306" s="11" t="s">
        <v>2034</v>
      </c>
      <c r="I306" s="11" t="s">
        <v>1998</v>
      </c>
      <c r="J306" s="12">
        <v>6.52</v>
      </c>
    </row>
    <row r="307" spans="7:10" hidden="1" x14ac:dyDescent="0.3">
      <c r="G307" s="7" t="s">
        <v>299</v>
      </c>
      <c r="H307" s="8" t="s">
        <v>2034</v>
      </c>
      <c r="I307" s="8" t="s">
        <v>2004</v>
      </c>
      <c r="J307" s="9">
        <v>15.9</v>
      </c>
    </row>
    <row r="308" spans="7:10" hidden="1" x14ac:dyDescent="0.3">
      <c r="G308" s="10" t="s">
        <v>300</v>
      </c>
      <c r="H308" s="11" t="s">
        <v>2043</v>
      </c>
      <c r="I308" s="11" t="s">
        <v>2022</v>
      </c>
      <c r="J308" s="12">
        <v>41.71</v>
      </c>
    </row>
    <row r="309" spans="7:10" hidden="1" x14ac:dyDescent="0.3">
      <c r="G309" s="7" t="s">
        <v>301</v>
      </c>
      <c r="H309" s="8" t="s">
        <v>2044</v>
      </c>
      <c r="I309" s="8" t="s">
        <v>2015</v>
      </c>
      <c r="J309" s="9">
        <v>10.37</v>
      </c>
    </row>
    <row r="310" spans="7:10" hidden="1" x14ac:dyDescent="0.3">
      <c r="G310" s="10" t="s">
        <v>302</v>
      </c>
      <c r="H310" s="11" t="s">
        <v>2034</v>
      </c>
      <c r="I310" s="11" t="s">
        <v>1978</v>
      </c>
      <c r="J310" s="12">
        <v>21.89</v>
      </c>
    </row>
    <row r="311" spans="7:10" hidden="1" x14ac:dyDescent="0.3">
      <c r="G311" s="7" t="s">
        <v>303</v>
      </c>
      <c r="H311" s="8" t="s">
        <v>1977</v>
      </c>
      <c r="I311" s="8" t="s">
        <v>1979</v>
      </c>
      <c r="J311" s="9">
        <v>9.09</v>
      </c>
    </row>
    <row r="312" spans="7:10" hidden="1" x14ac:dyDescent="0.3">
      <c r="G312" s="10" t="s">
        <v>304</v>
      </c>
      <c r="H312" s="11" t="s">
        <v>2057</v>
      </c>
      <c r="I312" s="11" t="s">
        <v>2028</v>
      </c>
      <c r="J312" s="12">
        <v>11.02</v>
      </c>
    </row>
    <row r="313" spans="7:10" x14ac:dyDescent="0.3">
      <c r="G313" s="7" t="s">
        <v>497</v>
      </c>
      <c r="H313" s="8" t="s">
        <v>2047</v>
      </c>
      <c r="I313" s="8" t="s">
        <v>2031</v>
      </c>
      <c r="J313" s="9">
        <v>5.27</v>
      </c>
    </row>
    <row r="314" spans="7:10" hidden="1" x14ac:dyDescent="0.3">
      <c r="G314" s="10" t="s">
        <v>306</v>
      </c>
      <c r="H314" s="11" t="s">
        <v>2061</v>
      </c>
      <c r="I314" s="11" t="s">
        <v>1979</v>
      </c>
      <c r="J314" s="12">
        <v>12.47</v>
      </c>
    </row>
    <row r="315" spans="7:10" hidden="1" x14ac:dyDescent="0.3">
      <c r="G315" s="7" t="s">
        <v>307</v>
      </c>
      <c r="H315" s="8" t="s">
        <v>2061</v>
      </c>
      <c r="I315" s="8" t="s">
        <v>2022</v>
      </c>
      <c r="J315" s="9">
        <v>30.13</v>
      </c>
    </row>
    <row r="316" spans="7:10" hidden="1" x14ac:dyDescent="0.3">
      <c r="G316" s="10" t="s">
        <v>308</v>
      </c>
      <c r="H316" s="11" t="s">
        <v>2038</v>
      </c>
      <c r="I316" s="11" t="s">
        <v>2001</v>
      </c>
      <c r="J316" s="12">
        <v>18.75</v>
      </c>
    </row>
    <row r="317" spans="7:10" hidden="1" x14ac:dyDescent="0.3">
      <c r="G317" s="7" t="s">
        <v>309</v>
      </c>
      <c r="H317" s="8" t="s">
        <v>2038</v>
      </c>
      <c r="I317" s="8" t="s">
        <v>2004</v>
      </c>
      <c r="J317" s="9">
        <v>23.58</v>
      </c>
    </row>
    <row r="318" spans="7:10" hidden="1" x14ac:dyDescent="0.3">
      <c r="G318" s="10" t="s">
        <v>310</v>
      </c>
      <c r="H318" s="11" t="s">
        <v>2043</v>
      </c>
      <c r="I318" s="11" t="s">
        <v>1997</v>
      </c>
      <c r="J318" s="12">
        <v>43.98</v>
      </c>
    </row>
    <row r="319" spans="7:10" hidden="1" x14ac:dyDescent="0.3">
      <c r="G319" s="7" t="s">
        <v>311</v>
      </c>
      <c r="H319" s="8" t="s">
        <v>2038</v>
      </c>
      <c r="I319" s="8" t="s">
        <v>1987</v>
      </c>
      <c r="J319" s="9">
        <v>31.82</v>
      </c>
    </row>
    <row r="320" spans="7:10" hidden="1" x14ac:dyDescent="0.3">
      <c r="G320" s="10" t="s">
        <v>312</v>
      </c>
      <c r="H320" s="11" t="s">
        <v>2039</v>
      </c>
      <c r="I320" s="11" t="s">
        <v>2027</v>
      </c>
      <c r="J320" s="12">
        <v>15.53</v>
      </c>
    </row>
    <row r="321" spans="7:10" hidden="1" x14ac:dyDescent="0.3">
      <c r="G321" s="7" t="s">
        <v>313</v>
      </c>
      <c r="H321" s="8" t="s">
        <v>2050</v>
      </c>
      <c r="I321" s="8" t="s">
        <v>2001</v>
      </c>
      <c r="J321" s="9">
        <v>11.63</v>
      </c>
    </row>
    <row r="322" spans="7:10" hidden="1" x14ac:dyDescent="0.3">
      <c r="G322" s="10" t="s">
        <v>314</v>
      </c>
      <c r="H322" s="11" t="s">
        <v>2034</v>
      </c>
      <c r="I322" s="11" t="s">
        <v>2015</v>
      </c>
      <c r="J322" s="12">
        <v>22.63</v>
      </c>
    </row>
    <row r="323" spans="7:10" hidden="1" x14ac:dyDescent="0.3">
      <c r="G323" s="7" t="s">
        <v>315</v>
      </c>
      <c r="H323" s="8" t="s">
        <v>2064</v>
      </c>
      <c r="I323" s="8" t="s">
        <v>1979</v>
      </c>
      <c r="J323" s="9">
        <v>14.29</v>
      </c>
    </row>
    <row r="324" spans="7:10" hidden="1" x14ac:dyDescent="0.3">
      <c r="G324" s="10" t="s">
        <v>316</v>
      </c>
      <c r="H324" s="11" t="s">
        <v>2065</v>
      </c>
      <c r="I324" s="11" t="s">
        <v>2005</v>
      </c>
      <c r="J324" s="12">
        <v>9.4</v>
      </c>
    </row>
    <row r="325" spans="7:10" hidden="1" x14ac:dyDescent="0.3">
      <c r="G325" s="7" t="s">
        <v>317</v>
      </c>
      <c r="H325" s="8" t="s">
        <v>2037</v>
      </c>
      <c r="I325" s="8" t="s">
        <v>1987</v>
      </c>
      <c r="J325" s="9">
        <v>21.3</v>
      </c>
    </row>
    <row r="326" spans="7:10" hidden="1" x14ac:dyDescent="0.3">
      <c r="G326" s="10" t="s">
        <v>318</v>
      </c>
      <c r="H326" s="11" t="s">
        <v>2038</v>
      </c>
      <c r="I326" s="11" t="s">
        <v>2023</v>
      </c>
      <c r="J326" s="12">
        <v>40.15</v>
      </c>
    </row>
    <row r="327" spans="7:10" hidden="1" x14ac:dyDescent="0.3">
      <c r="G327" s="7" t="s">
        <v>319</v>
      </c>
      <c r="H327" s="8" t="s">
        <v>2034</v>
      </c>
      <c r="I327" s="8" t="s">
        <v>2005</v>
      </c>
      <c r="J327" s="9">
        <v>14.3</v>
      </c>
    </row>
    <row r="328" spans="7:10" hidden="1" x14ac:dyDescent="0.3">
      <c r="G328" s="10" t="s">
        <v>320</v>
      </c>
      <c r="H328" s="11" t="s">
        <v>2034</v>
      </c>
      <c r="I328" s="11" t="s">
        <v>2023</v>
      </c>
      <c r="J328" s="12">
        <v>29.38</v>
      </c>
    </row>
    <row r="329" spans="7:10" hidden="1" x14ac:dyDescent="0.3">
      <c r="G329" s="7" t="s">
        <v>321</v>
      </c>
      <c r="H329" s="8" t="s">
        <v>2057</v>
      </c>
      <c r="I329" s="8" t="s">
        <v>1979</v>
      </c>
      <c r="J329" s="9">
        <v>7.99</v>
      </c>
    </row>
    <row r="330" spans="7:10" hidden="1" x14ac:dyDescent="0.3">
      <c r="G330" s="10" t="s">
        <v>322</v>
      </c>
      <c r="H330" s="11" t="s">
        <v>2038</v>
      </c>
      <c r="I330" s="11" t="s">
        <v>2027</v>
      </c>
      <c r="J330" s="12">
        <v>54.45</v>
      </c>
    </row>
    <row r="331" spans="7:10" hidden="1" x14ac:dyDescent="0.3">
      <c r="G331" s="7" t="s">
        <v>323</v>
      </c>
      <c r="H331" s="8" t="s">
        <v>2034</v>
      </c>
      <c r="I331" s="8" t="s">
        <v>1986</v>
      </c>
      <c r="J331" s="9">
        <v>8.83</v>
      </c>
    </row>
    <row r="332" spans="7:10" hidden="1" x14ac:dyDescent="0.3">
      <c r="G332" s="10" t="s">
        <v>324</v>
      </c>
      <c r="H332" s="11" t="s">
        <v>2038</v>
      </c>
      <c r="I332" s="11" t="s">
        <v>2027</v>
      </c>
      <c r="J332" s="12">
        <v>23.7</v>
      </c>
    </row>
    <row r="333" spans="7:10" hidden="1" x14ac:dyDescent="0.3">
      <c r="G333" s="7" t="s">
        <v>325</v>
      </c>
      <c r="H333" s="8" t="s">
        <v>2034</v>
      </c>
      <c r="I333" s="8" t="s">
        <v>2031</v>
      </c>
      <c r="J333" s="9">
        <v>11.2</v>
      </c>
    </row>
    <row r="334" spans="7:10" hidden="1" x14ac:dyDescent="0.3">
      <c r="G334" s="10" t="s">
        <v>326</v>
      </c>
      <c r="H334" s="11" t="s">
        <v>2034</v>
      </c>
      <c r="I334" s="11" t="s">
        <v>2028</v>
      </c>
      <c r="J334" s="12">
        <v>9.49</v>
      </c>
    </row>
    <row r="335" spans="7:10" hidden="1" x14ac:dyDescent="0.3">
      <c r="G335" s="7" t="s">
        <v>327</v>
      </c>
      <c r="H335" s="8" t="s">
        <v>2039</v>
      </c>
      <c r="I335" s="8" t="s">
        <v>2004</v>
      </c>
      <c r="J335" s="9">
        <v>17.91</v>
      </c>
    </row>
    <row r="336" spans="7:10" hidden="1" x14ac:dyDescent="0.3">
      <c r="G336" s="10" t="s">
        <v>328</v>
      </c>
      <c r="H336" s="11" t="s">
        <v>2039</v>
      </c>
      <c r="I336" s="11" t="s">
        <v>1987</v>
      </c>
      <c r="J336" s="12">
        <v>13.8</v>
      </c>
    </row>
    <row r="337" spans="7:10" hidden="1" x14ac:dyDescent="0.3">
      <c r="G337" s="7" t="s">
        <v>329</v>
      </c>
      <c r="H337" s="8" t="s">
        <v>2046</v>
      </c>
      <c r="I337" s="8" t="s">
        <v>1979</v>
      </c>
      <c r="J337" s="9">
        <v>7.84</v>
      </c>
    </row>
    <row r="338" spans="7:10" hidden="1" x14ac:dyDescent="0.3">
      <c r="G338" s="10" t="s">
        <v>330</v>
      </c>
      <c r="H338" s="11" t="s">
        <v>2038</v>
      </c>
      <c r="I338" s="11" t="s">
        <v>2029</v>
      </c>
      <c r="J338" s="12">
        <v>18.54</v>
      </c>
    </row>
    <row r="339" spans="7:10" hidden="1" x14ac:dyDescent="0.3">
      <c r="G339" s="7" t="s">
        <v>331</v>
      </c>
      <c r="H339" s="8" t="s">
        <v>2034</v>
      </c>
      <c r="I339" s="8" t="s">
        <v>2022</v>
      </c>
      <c r="J339" s="9">
        <v>7.59</v>
      </c>
    </row>
    <row r="340" spans="7:10" hidden="1" x14ac:dyDescent="0.3">
      <c r="G340" s="10" t="s">
        <v>332</v>
      </c>
      <c r="H340" s="11" t="s">
        <v>2041</v>
      </c>
      <c r="I340" s="11" t="s">
        <v>2004</v>
      </c>
      <c r="J340" s="12">
        <v>14.37</v>
      </c>
    </row>
    <row r="341" spans="7:10" hidden="1" x14ac:dyDescent="0.3">
      <c r="G341" s="7" t="s">
        <v>333</v>
      </c>
      <c r="H341" s="8" t="s">
        <v>2038</v>
      </c>
      <c r="I341" s="8" t="s">
        <v>2027</v>
      </c>
      <c r="J341" s="9">
        <v>45.3</v>
      </c>
    </row>
    <row r="342" spans="7:10" hidden="1" x14ac:dyDescent="0.3">
      <c r="G342" s="10" t="s">
        <v>334</v>
      </c>
      <c r="H342" s="11" t="s">
        <v>2043</v>
      </c>
      <c r="I342" s="11" t="s">
        <v>1979</v>
      </c>
      <c r="J342" s="12">
        <v>9.36</v>
      </c>
    </row>
    <row r="343" spans="7:10" hidden="1" x14ac:dyDescent="0.3">
      <c r="G343" s="7" t="s">
        <v>335</v>
      </c>
      <c r="H343" s="8" t="s">
        <v>2065</v>
      </c>
      <c r="I343" s="8" t="s">
        <v>2025</v>
      </c>
      <c r="J343" s="9">
        <v>8.17</v>
      </c>
    </row>
    <row r="344" spans="7:10" hidden="1" x14ac:dyDescent="0.3">
      <c r="G344" s="10" t="s">
        <v>336</v>
      </c>
      <c r="H344" s="11" t="s">
        <v>2039</v>
      </c>
      <c r="I344" s="11" t="s">
        <v>2015</v>
      </c>
      <c r="J344" s="12">
        <v>15.07</v>
      </c>
    </row>
    <row r="345" spans="7:10" hidden="1" x14ac:dyDescent="0.3">
      <c r="G345" s="7" t="s">
        <v>337</v>
      </c>
      <c r="H345" s="8" t="s">
        <v>2034</v>
      </c>
      <c r="I345" s="8" t="s">
        <v>1998</v>
      </c>
      <c r="J345" s="9">
        <v>9.01</v>
      </c>
    </row>
    <row r="346" spans="7:10" hidden="1" x14ac:dyDescent="0.3">
      <c r="G346" s="10" t="s">
        <v>338</v>
      </c>
      <c r="H346" s="11" t="s">
        <v>2049</v>
      </c>
      <c r="I346" s="11" t="s">
        <v>1979</v>
      </c>
      <c r="J346" s="12">
        <v>6.53</v>
      </c>
    </row>
    <row r="347" spans="7:10" hidden="1" x14ac:dyDescent="0.3">
      <c r="G347" s="7" t="s">
        <v>339</v>
      </c>
      <c r="H347" s="8" t="s">
        <v>2034</v>
      </c>
      <c r="I347" s="8" t="s">
        <v>1997</v>
      </c>
      <c r="J347" s="9">
        <v>27.99</v>
      </c>
    </row>
    <row r="348" spans="7:10" hidden="1" x14ac:dyDescent="0.3">
      <c r="G348" s="10" t="s">
        <v>340</v>
      </c>
      <c r="H348" s="11" t="s">
        <v>2034</v>
      </c>
      <c r="I348" s="11" t="s">
        <v>1986</v>
      </c>
      <c r="J348" s="12">
        <v>13.07</v>
      </c>
    </row>
    <row r="349" spans="7:10" hidden="1" x14ac:dyDescent="0.3">
      <c r="G349" s="7" t="s">
        <v>341</v>
      </c>
      <c r="H349" s="8" t="s">
        <v>2034</v>
      </c>
      <c r="I349" s="8" t="s">
        <v>2031</v>
      </c>
      <c r="J349" s="9">
        <v>11.99</v>
      </c>
    </row>
    <row r="350" spans="7:10" hidden="1" x14ac:dyDescent="0.3">
      <c r="G350" s="10" t="s">
        <v>342</v>
      </c>
      <c r="H350" s="11" t="s">
        <v>2038</v>
      </c>
      <c r="I350" s="11" t="s">
        <v>1998</v>
      </c>
      <c r="J350" s="12">
        <v>7.49</v>
      </c>
    </row>
    <row r="351" spans="7:10" hidden="1" x14ac:dyDescent="0.3">
      <c r="G351" s="7" t="s">
        <v>343</v>
      </c>
      <c r="H351" s="8" t="s">
        <v>2034</v>
      </c>
      <c r="I351" s="8" t="s">
        <v>2031</v>
      </c>
      <c r="J351" s="9">
        <v>11.85</v>
      </c>
    </row>
    <row r="352" spans="7:10" hidden="1" x14ac:dyDescent="0.3">
      <c r="G352" s="10" t="s">
        <v>344</v>
      </c>
      <c r="H352" s="11" t="s">
        <v>2034</v>
      </c>
      <c r="I352" s="11" t="s">
        <v>2022</v>
      </c>
      <c r="J352" s="12">
        <v>23.25</v>
      </c>
    </row>
    <row r="353" spans="7:10" hidden="1" x14ac:dyDescent="0.3">
      <c r="G353" s="7" t="s">
        <v>345</v>
      </c>
      <c r="H353" s="8" t="s">
        <v>2042</v>
      </c>
      <c r="I353" s="8" t="s">
        <v>1979</v>
      </c>
      <c r="J353" s="9">
        <v>8.84</v>
      </c>
    </row>
    <row r="354" spans="7:10" hidden="1" x14ac:dyDescent="0.3">
      <c r="G354" s="10" t="s">
        <v>346</v>
      </c>
      <c r="H354" s="11" t="s">
        <v>2034</v>
      </c>
      <c r="I354" s="11" t="s">
        <v>1979</v>
      </c>
      <c r="J354" s="12">
        <v>7.5</v>
      </c>
    </row>
    <row r="355" spans="7:10" hidden="1" x14ac:dyDescent="0.3">
      <c r="G355" s="7" t="s">
        <v>347</v>
      </c>
      <c r="H355" s="8" t="s">
        <v>2035</v>
      </c>
      <c r="I355" s="8" t="s">
        <v>2001</v>
      </c>
      <c r="J355" s="9">
        <v>11.18</v>
      </c>
    </row>
    <row r="356" spans="7:10" hidden="1" x14ac:dyDescent="0.3">
      <c r="G356" s="10" t="s">
        <v>348</v>
      </c>
      <c r="H356" s="11" t="s">
        <v>2034</v>
      </c>
      <c r="I356" s="11" t="s">
        <v>2002</v>
      </c>
      <c r="J356" s="12">
        <v>32.99</v>
      </c>
    </row>
    <row r="357" spans="7:10" hidden="1" x14ac:dyDescent="0.3">
      <c r="G357" s="7" t="s">
        <v>349</v>
      </c>
      <c r="H357" s="8" t="s">
        <v>2034</v>
      </c>
      <c r="I357" s="8" t="s">
        <v>2017</v>
      </c>
      <c r="J357" s="9">
        <v>9.61</v>
      </c>
    </row>
    <row r="358" spans="7:10" hidden="1" x14ac:dyDescent="0.3">
      <c r="G358" s="10" t="s">
        <v>350</v>
      </c>
      <c r="H358" s="11" t="s">
        <v>2039</v>
      </c>
      <c r="I358" s="11" t="s">
        <v>1988</v>
      </c>
      <c r="J358" s="12">
        <v>12.72</v>
      </c>
    </row>
    <row r="359" spans="7:10" hidden="1" x14ac:dyDescent="0.3">
      <c r="G359" s="7" t="s">
        <v>351</v>
      </c>
      <c r="H359" s="8" t="s">
        <v>2066</v>
      </c>
      <c r="I359" s="8" t="s">
        <v>2028</v>
      </c>
      <c r="J359" s="9">
        <v>7.64</v>
      </c>
    </row>
    <row r="360" spans="7:10" hidden="1" x14ac:dyDescent="0.3">
      <c r="G360" s="10" t="s">
        <v>352</v>
      </c>
      <c r="H360" s="11" t="s">
        <v>2038</v>
      </c>
      <c r="I360" s="11" t="s">
        <v>2005</v>
      </c>
      <c r="J360" s="12">
        <v>19.86</v>
      </c>
    </row>
    <row r="361" spans="7:10" hidden="1" x14ac:dyDescent="0.3">
      <c r="G361" s="7" t="s">
        <v>353</v>
      </c>
      <c r="H361" s="8" t="s">
        <v>2034</v>
      </c>
      <c r="I361" s="8" t="s">
        <v>2022</v>
      </c>
      <c r="J361" s="9">
        <v>7.12</v>
      </c>
    </row>
    <row r="362" spans="7:10" hidden="1" x14ac:dyDescent="0.3">
      <c r="G362" s="10" t="s">
        <v>354</v>
      </c>
      <c r="H362" s="11" t="s">
        <v>2034</v>
      </c>
      <c r="I362" s="11" t="s">
        <v>2030</v>
      </c>
      <c r="J362" s="12">
        <v>8.5299999999999994</v>
      </c>
    </row>
    <row r="363" spans="7:10" hidden="1" x14ac:dyDescent="0.3">
      <c r="G363" s="7" t="s">
        <v>355</v>
      </c>
      <c r="H363" s="8" t="s">
        <v>2034</v>
      </c>
      <c r="I363" s="8" t="s">
        <v>1979</v>
      </c>
      <c r="J363" s="9">
        <v>6.7</v>
      </c>
    </row>
    <row r="364" spans="7:10" hidden="1" x14ac:dyDescent="0.3">
      <c r="G364" s="10" t="s">
        <v>356</v>
      </c>
      <c r="H364" s="11" t="s">
        <v>2043</v>
      </c>
      <c r="I364" s="11" t="s">
        <v>2028</v>
      </c>
      <c r="J364" s="12">
        <v>16.489999999999998</v>
      </c>
    </row>
    <row r="365" spans="7:10" hidden="1" x14ac:dyDescent="0.3">
      <c r="G365" s="7" t="s">
        <v>357</v>
      </c>
      <c r="H365" s="8" t="s">
        <v>2063</v>
      </c>
      <c r="I365" s="8" t="s">
        <v>1979</v>
      </c>
      <c r="J365" s="9">
        <v>6.3</v>
      </c>
    </row>
    <row r="366" spans="7:10" hidden="1" x14ac:dyDescent="0.3">
      <c r="G366" s="10" t="s">
        <v>358</v>
      </c>
      <c r="H366" s="11" t="s">
        <v>2034</v>
      </c>
      <c r="I366" s="11" t="s">
        <v>2031</v>
      </c>
      <c r="J366" s="12">
        <v>11.9</v>
      </c>
    </row>
    <row r="367" spans="7:10" hidden="1" x14ac:dyDescent="0.3">
      <c r="G367" s="7" t="s">
        <v>359</v>
      </c>
      <c r="H367" s="8" t="s">
        <v>2062</v>
      </c>
      <c r="I367" s="8" t="s">
        <v>1993</v>
      </c>
      <c r="J367" s="9">
        <v>16.66</v>
      </c>
    </row>
    <row r="368" spans="7:10" hidden="1" x14ac:dyDescent="0.3">
      <c r="G368" s="10" t="s">
        <v>360</v>
      </c>
      <c r="H368" s="11" t="s">
        <v>2034</v>
      </c>
      <c r="I368" s="11" t="s">
        <v>2022</v>
      </c>
      <c r="J368" s="12">
        <v>7.58</v>
      </c>
    </row>
    <row r="369" spans="7:10" hidden="1" x14ac:dyDescent="0.3">
      <c r="G369" s="7" t="s">
        <v>361</v>
      </c>
      <c r="H369" s="8" t="s">
        <v>2034</v>
      </c>
      <c r="I369" s="8" t="s">
        <v>2027</v>
      </c>
      <c r="J369" s="9">
        <v>9.66</v>
      </c>
    </row>
    <row r="370" spans="7:10" hidden="1" x14ac:dyDescent="0.3">
      <c r="G370" s="10" t="s">
        <v>362</v>
      </c>
      <c r="H370" s="11" t="s">
        <v>2034</v>
      </c>
      <c r="I370" s="11" t="s">
        <v>1986</v>
      </c>
      <c r="J370" s="12">
        <v>15.7</v>
      </c>
    </row>
    <row r="371" spans="7:10" hidden="1" x14ac:dyDescent="0.3">
      <c r="G371" s="7" t="s">
        <v>363</v>
      </c>
      <c r="H371" s="8" t="s">
        <v>2034</v>
      </c>
      <c r="I371" s="8" t="s">
        <v>2001</v>
      </c>
      <c r="J371" s="9">
        <v>11.43</v>
      </c>
    </row>
    <row r="372" spans="7:10" hidden="1" x14ac:dyDescent="0.3">
      <c r="G372" s="10" t="s">
        <v>2007</v>
      </c>
      <c r="H372" s="11" t="s">
        <v>2038</v>
      </c>
      <c r="I372" s="11" t="s">
        <v>2005</v>
      </c>
      <c r="J372" s="12">
        <v>17.75</v>
      </c>
    </row>
    <row r="373" spans="7:10" hidden="1" x14ac:dyDescent="0.3">
      <c r="G373" s="7" t="s">
        <v>364</v>
      </c>
      <c r="H373" s="8" t="s">
        <v>2034</v>
      </c>
      <c r="I373" s="8" t="s">
        <v>2031</v>
      </c>
      <c r="J373" s="9">
        <v>11.7</v>
      </c>
    </row>
    <row r="374" spans="7:10" hidden="1" x14ac:dyDescent="0.3">
      <c r="G374" s="10" t="s">
        <v>365</v>
      </c>
      <c r="H374" s="11" t="s">
        <v>2034</v>
      </c>
      <c r="I374" s="11" t="s">
        <v>2031</v>
      </c>
      <c r="J374" s="12">
        <v>12.43</v>
      </c>
    </row>
    <row r="375" spans="7:10" hidden="1" x14ac:dyDescent="0.3">
      <c r="G375" s="7" t="s">
        <v>366</v>
      </c>
      <c r="H375" s="8" t="s">
        <v>2035</v>
      </c>
      <c r="I375" s="8" t="s">
        <v>2001</v>
      </c>
      <c r="J375" s="9">
        <v>10.61</v>
      </c>
    </row>
    <row r="376" spans="7:10" hidden="1" x14ac:dyDescent="0.3">
      <c r="G376" s="10" t="s">
        <v>367</v>
      </c>
      <c r="H376" s="11" t="s">
        <v>2067</v>
      </c>
      <c r="I376" s="11" t="s">
        <v>2022</v>
      </c>
      <c r="J376" s="12">
        <v>16.579999999999998</v>
      </c>
    </row>
    <row r="377" spans="7:10" hidden="1" x14ac:dyDescent="0.3">
      <c r="G377" s="7" t="s">
        <v>368</v>
      </c>
      <c r="H377" s="8" t="s">
        <v>2042</v>
      </c>
      <c r="I377" s="8" t="s">
        <v>1979</v>
      </c>
      <c r="J377" s="9">
        <v>9.7100000000000009</v>
      </c>
    </row>
    <row r="378" spans="7:10" hidden="1" x14ac:dyDescent="0.3">
      <c r="G378" s="10" t="s">
        <v>369</v>
      </c>
      <c r="H378" s="11" t="s">
        <v>2038</v>
      </c>
      <c r="I378" s="11" t="s">
        <v>2015</v>
      </c>
      <c r="J378" s="12">
        <v>11.54</v>
      </c>
    </row>
    <row r="379" spans="7:10" hidden="1" x14ac:dyDescent="0.3">
      <c r="G379" s="7" t="s">
        <v>370</v>
      </c>
      <c r="H379" s="8" t="s">
        <v>2044</v>
      </c>
      <c r="I379" s="8" t="s">
        <v>1979</v>
      </c>
      <c r="J379" s="9">
        <v>10.17</v>
      </c>
    </row>
    <row r="380" spans="7:10" hidden="1" x14ac:dyDescent="0.3">
      <c r="G380" s="10" t="s">
        <v>371</v>
      </c>
      <c r="H380" s="11" t="s">
        <v>2034</v>
      </c>
      <c r="I380" s="11" t="s">
        <v>2031</v>
      </c>
      <c r="J380" s="12">
        <v>10.11</v>
      </c>
    </row>
    <row r="381" spans="7:10" hidden="1" x14ac:dyDescent="0.3">
      <c r="G381" s="7" t="s">
        <v>372</v>
      </c>
      <c r="H381" s="8" t="s">
        <v>2039</v>
      </c>
      <c r="I381" s="8" t="s">
        <v>1979</v>
      </c>
      <c r="J381" s="9">
        <v>16.5</v>
      </c>
    </row>
    <row r="382" spans="7:10" hidden="1" x14ac:dyDescent="0.3">
      <c r="G382" s="10" t="s">
        <v>373</v>
      </c>
      <c r="H382" s="11" t="s">
        <v>2055</v>
      </c>
      <c r="I382" s="11" t="s">
        <v>2028</v>
      </c>
      <c r="J382" s="12">
        <v>8.1300000000000008</v>
      </c>
    </row>
    <row r="383" spans="7:10" hidden="1" x14ac:dyDescent="0.3">
      <c r="G383" s="7" t="s">
        <v>374</v>
      </c>
      <c r="H383" s="8" t="s">
        <v>2034</v>
      </c>
      <c r="I383" s="8" t="s">
        <v>1979</v>
      </c>
      <c r="J383" s="9">
        <v>6.12</v>
      </c>
    </row>
    <row r="384" spans="7:10" hidden="1" x14ac:dyDescent="0.3">
      <c r="G384" s="10" t="s">
        <v>375</v>
      </c>
      <c r="H384" s="11" t="s">
        <v>2038</v>
      </c>
      <c r="I384" s="11" t="s">
        <v>2031</v>
      </c>
      <c r="J384" s="12">
        <v>13.14</v>
      </c>
    </row>
    <row r="385" spans="7:10" hidden="1" x14ac:dyDescent="0.3">
      <c r="G385" s="7" t="s">
        <v>376</v>
      </c>
      <c r="H385" s="8" t="s">
        <v>2041</v>
      </c>
      <c r="I385" s="8" t="s">
        <v>2026</v>
      </c>
      <c r="J385" s="9">
        <v>10.06</v>
      </c>
    </row>
    <row r="386" spans="7:10" hidden="1" x14ac:dyDescent="0.3">
      <c r="G386" s="10" t="s">
        <v>377</v>
      </c>
      <c r="H386" s="11" t="s">
        <v>2037</v>
      </c>
      <c r="I386" s="11" t="s">
        <v>1993</v>
      </c>
      <c r="J386" s="12">
        <v>11.59</v>
      </c>
    </row>
    <row r="387" spans="7:10" x14ac:dyDescent="0.3">
      <c r="G387" s="7" t="s">
        <v>1774</v>
      </c>
      <c r="H387" s="8" t="s">
        <v>2047</v>
      </c>
      <c r="I387" s="8" t="s">
        <v>2031</v>
      </c>
      <c r="J387" s="9">
        <v>2.44</v>
      </c>
    </row>
    <row r="388" spans="7:10" hidden="1" x14ac:dyDescent="0.3">
      <c r="G388" s="10" t="s">
        <v>379</v>
      </c>
      <c r="H388" s="11" t="s">
        <v>2039</v>
      </c>
      <c r="I388" s="11" t="s">
        <v>1979</v>
      </c>
      <c r="J388" s="12">
        <v>13.58</v>
      </c>
    </row>
    <row r="389" spans="7:10" hidden="1" x14ac:dyDescent="0.3">
      <c r="G389" s="7" t="s">
        <v>380</v>
      </c>
      <c r="H389" s="8" t="s">
        <v>1977</v>
      </c>
      <c r="I389" s="8" t="s">
        <v>2022</v>
      </c>
      <c r="J389" s="9">
        <v>13.41</v>
      </c>
    </row>
    <row r="390" spans="7:10" hidden="1" x14ac:dyDescent="0.3">
      <c r="G390" s="10" t="s">
        <v>381</v>
      </c>
      <c r="H390" s="11" t="s">
        <v>2034</v>
      </c>
      <c r="I390" s="11" t="s">
        <v>2031</v>
      </c>
      <c r="J390" s="12">
        <v>11.74</v>
      </c>
    </row>
    <row r="391" spans="7:10" hidden="1" x14ac:dyDescent="0.3">
      <c r="G391" s="7" t="s">
        <v>382</v>
      </c>
      <c r="H391" s="8" t="s">
        <v>2034</v>
      </c>
      <c r="I391" s="8" t="s">
        <v>1987</v>
      </c>
      <c r="J391" s="9">
        <v>12.92</v>
      </c>
    </row>
    <row r="392" spans="7:10" hidden="1" x14ac:dyDescent="0.3">
      <c r="G392" s="10" t="s">
        <v>383</v>
      </c>
      <c r="H392" s="11" t="s">
        <v>2044</v>
      </c>
      <c r="I392" s="11" t="s">
        <v>1979</v>
      </c>
      <c r="J392" s="12">
        <v>9.86</v>
      </c>
    </row>
    <row r="393" spans="7:10" x14ac:dyDescent="0.3">
      <c r="G393" s="7" t="s">
        <v>378</v>
      </c>
      <c r="H393" s="8" t="s">
        <v>2047</v>
      </c>
      <c r="I393" s="8" t="s">
        <v>2017</v>
      </c>
      <c r="J393" s="9">
        <v>9.0399999999999991</v>
      </c>
    </row>
    <row r="394" spans="7:10" hidden="1" x14ac:dyDescent="0.3">
      <c r="G394" s="10" t="s">
        <v>385</v>
      </c>
      <c r="H394" s="11" t="s">
        <v>2041</v>
      </c>
      <c r="I394" s="11" t="s">
        <v>1979</v>
      </c>
      <c r="J394" s="12">
        <v>12.77</v>
      </c>
    </row>
    <row r="395" spans="7:10" hidden="1" x14ac:dyDescent="0.3">
      <c r="G395" s="7" t="s">
        <v>386</v>
      </c>
      <c r="H395" s="8" t="s">
        <v>2063</v>
      </c>
      <c r="I395" s="8" t="s">
        <v>2022</v>
      </c>
      <c r="J395" s="9">
        <v>10.42</v>
      </c>
    </row>
    <row r="396" spans="7:10" hidden="1" x14ac:dyDescent="0.3">
      <c r="G396" s="10" t="s">
        <v>387</v>
      </c>
      <c r="H396" s="11" t="s">
        <v>2034</v>
      </c>
      <c r="I396" s="11" t="s">
        <v>2027</v>
      </c>
      <c r="J396" s="12">
        <v>6.02</v>
      </c>
    </row>
    <row r="397" spans="7:10" hidden="1" x14ac:dyDescent="0.3">
      <c r="G397" s="7" t="s">
        <v>388</v>
      </c>
      <c r="H397" s="8" t="s">
        <v>2036</v>
      </c>
      <c r="I397" s="8" t="s">
        <v>1988</v>
      </c>
      <c r="J397" s="9">
        <v>15.37</v>
      </c>
    </row>
    <row r="398" spans="7:10" x14ac:dyDescent="0.3">
      <c r="G398" s="10" t="s">
        <v>1285</v>
      </c>
      <c r="H398" s="11" t="s">
        <v>2047</v>
      </c>
      <c r="I398" s="11" t="s">
        <v>2017</v>
      </c>
      <c r="J398" s="12">
        <v>8.7799999999999994</v>
      </c>
    </row>
    <row r="399" spans="7:10" hidden="1" x14ac:dyDescent="0.3">
      <c r="G399" s="7" t="s">
        <v>390</v>
      </c>
      <c r="H399" s="8" t="s">
        <v>2038</v>
      </c>
      <c r="I399" s="8" t="s">
        <v>1986</v>
      </c>
      <c r="J399" s="9">
        <v>16.93</v>
      </c>
    </row>
    <row r="400" spans="7:10" hidden="1" x14ac:dyDescent="0.3">
      <c r="G400" s="10" t="s">
        <v>391</v>
      </c>
      <c r="H400" s="11" t="s">
        <v>2038</v>
      </c>
      <c r="I400" s="11" t="s">
        <v>2027</v>
      </c>
      <c r="J400" s="12">
        <v>44.44</v>
      </c>
    </row>
    <row r="401" spans="7:10" x14ac:dyDescent="0.3">
      <c r="G401" s="10" t="s">
        <v>1784</v>
      </c>
      <c r="H401" s="11" t="s">
        <v>2047</v>
      </c>
      <c r="I401" s="11" t="s">
        <v>2017</v>
      </c>
      <c r="J401" s="12">
        <v>1.86</v>
      </c>
    </row>
    <row r="402" spans="7:10" hidden="1" x14ac:dyDescent="0.3">
      <c r="G402" s="10" t="s">
        <v>393</v>
      </c>
      <c r="H402" s="11" t="s">
        <v>2035</v>
      </c>
      <c r="I402" s="11" t="s">
        <v>2028</v>
      </c>
      <c r="J402" s="12">
        <v>64.52</v>
      </c>
    </row>
    <row r="403" spans="7:10" x14ac:dyDescent="0.3">
      <c r="G403" s="7" t="s">
        <v>186</v>
      </c>
      <c r="H403" s="8" t="s">
        <v>2047</v>
      </c>
      <c r="I403" s="8" t="s">
        <v>2022</v>
      </c>
      <c r="J403" s="9">
        <v>14.81</v>
      </c>
    </row>
    <row r="404" spans="7:10" hidden="1" x14ac:dyDescent="0.3">
      <c r="G404" s="10" t="s">
        <v>395</v>
      </c>
      <c r="H404" s="11" t="s">
        <v>2034</v>
      </c>
      <c r="I404" s="11" t="s">
        <v>2002</v>
      </c>
      <c r="J404" s="12">
        <v>35.979999999999997</v>
      </c>
    </row>
    <row r="405" spans="7:10" hidden="1" x14ac:dyDescent="0.3">
      <c r="G405" s="7" t="s">
        <v>396</v>
      </c>
      <c r="H405" s="8" t="s">
        <v>2034</v>
      </c>
      <c r="I405" s="8" t="s">
        <v>2023</v>
      </c>
      <c r="J405" s="9">
        <v>18.78</v>
      </c>
    </row>
    <row r="406" spans="7:10" hidden="1" x14ac:dyDescent="0.3">
      <c r="G406" s="10" t="s">
        <v>397</v>
      </c>
      <c r="H406" s="11" t="s">
        <v>2038</v>
      </c>
      <c r="I406" s="11" t="s">
        <v>2031</v>
      </c>
      <c r="J406" s="12">
        <v>15.03</v>
      </c>
    </row>
    <row r="407" spans="7:10" hidden="1" x14ac:dyDescent="0.3">
      <c r="G407" s="7" t="s">
        <v>398</v>
      </c>
      <c r="H407" s="8" t="s">
        <v>2041</v>
      </c>
      <c r="I407" s="8" t="s">
        <v>1997</v>
      </c>
      <c r="J407" s="9">
        <v>17.09</v>
      </c>
    </row>
    <row r="408" spans="7:10" hidden="1" x14ac:dyDescent="0.3">
      <c r="G408" s="10" t="s">
        <v>399</v>
      </c>
      <c r="H408" s="11" t="s">
        <v>2065</v>
      </c>
      <c r="I408" s="11" t="s">
        <v>2027</v>
      </c>
      <c r="J408" s="12">
        <v>17.04</v>
      </c>
    </row>
    <row r="409" spans="7:10" x14ac:dyDescent="0.3">
      <c r="G409" s="7" t="s">
        <v>305</v>
      </c>
      <c r="H409" s="8" t="s">
        <v>2047</v>
      </c>
      <c r="I409" s="8" t="s">
        <v>2022</v>
      </c>
      <c r="J409" s="9">
        <v>15.12</v>
      </c>
    </row>
    <row r="410" spans="7:10" hidden="1" x14ac:dyDescent="0.3">
      <c r="G410" s="10" t="s">
        <v>401</v>
      </c>
      <c r="H410" s="11" t="s">
        <v>2034</v>
      </c>
      <c r="I410" s="11" t="s">
        <v>1993</v>
      </c>
      <c r="J410" s="12">
        <v>14.45</v>
      </c>
    </row>
    <row r="411" spans="7:10" hidden="1" x14ac:dyDescent="0.3">
      <c r="G411" s="7" t="s">
        <v>402</v>
      </c>
      <c r="H411" s="8" t="s">
        <v>2034</v>
      </c>
      <c r="I411" s="8" t="s">
        <v>2000</v>
      </c>
      <c r="J411" s="9">
        <v>31.4</v>
      </c>
    </row>
    <row r="412" spans="7:10" hidden="1" x14ac:dyDescent="0.3">
      <c r="G412" s="10" t="s">
        <v>403</v>
      </c>
      <c r="H412" s="11" t="s">
        <v>2034</v>
      </c>
      <c r="I412" s="11" t="s">
        <v>2004</v>
      </c>
      <c r="J412" s="12">
        <v>14.37</v>
      </c>
    </row>
    <row r="413" spans="7:10" hidden="1" x14ac:dyDescent="0.3">
      <c r="G413" s="7" t="s">
        <v>404</v>
      </c>
      <c r="H413" s="8" t="s">
        <v>2040</v>
      </c>
      <c r="I413" s="8" t="s">
        <v>1979</v>
      </c>
      <c r="J413" s="9">
        <v>4.59</v>
      </c>
    </row>
    <row r="414" spans="7:10" hidden="1" x14ac:dyDescent="0.3">
      <c r="G414" s="10" t="s">
        <v>405</v>
      </c>
      <c r="H414" s="11" t="s">
        <v>2057</v>
      </c>
      <c r="I414" s="11" t="s">
        <v>1998</v>
      </c>
      <c r="J414" s="12">
        <v>5.87</v>
      </c>
    </row>
    <row r="415" spans="7:10" hidden="1" x14ac:dyDescent="0.3">
      <c r="G415" s="7" t="s">
        <v>406</v>
      </c>
      <c r="H415" s="8" t="s">
        <v>2060</v>
      </c>
      <c r="I415" s="8" t="s">
        <v>2028</v>
      </c>
      <c r="J415" s="9">
        <v>15.36</v>
      </c>
    </row>
    <row r="416" spans="7:10" hidden="1" x14ac:dyDescent="0.3">
      <c r="G416" s="10" t="s">
        <v>407</v>
      </c>
      <c r="H416" s="11" t="s">
        <v>2034</v>
      </c>
      <c r="I416" s="11" t="s">
        <v>2030</v>
      </c>
      <c r="J416" s="12">
        <v>8.6199999999999992</v>
      </c>
    </row>
    <row r="417" spans="7:10" hidden="1" x14ac:dyDescent="0.3">
      <c r="G417" s="7" t="s">
        <v>408</v>
      </c>
      <c r="H417" s="8" t="s">
        <v>2035</v>
      </c>
      <c r="I417" s="8" t="s">
        <v>2031</v>
      </c>
      <c r="J417" s="9">
        <v>14.04</v>
      </c>
    </row>
    <row r="418" spans="7:10" hidden="1" x14ac:dyDescent="0.3">
      <c r="G418" s="10" t="s">
        <v>409</v>
      </c>
      <c r="H418" s="11" t="s">
        <v>2038</v>
      </c>
      <c r="I418" s="11" t="s">
        <v>1979</v>
      </c>
      <c r="J418" s="12">
        <v>32.21</v>
      </c>
    </row>
    <row r="419" spans="7:10" hidden="1" x14ac:dyDescent="0.3">
      <c r="G419" s="7" t="s">
        <v>410</v>
      </c>
      <c r="H419" s="8" t="s">
        <v>2039</v>
      </c>
      <c r="I419" s="8" t="s">
        <v>1997</v>
      </c>
      <c r="J419" s="9">
        <v>18.43</v>
      </c>
    </row>
    <row r="420" spans="7:10" hidden="1" x14ac:dyDescent="0.3">
      <c r="G420" s="10" t="s">
        <v>411</v>
      </c>
      <c r="H420" s="11" t="s">
        <v>2068</v>
      </c>
      <c r="I420" s="11" t="s">
        <v>2017</v>
      </c>
      <c r="J420" s="12">
        <v>9.41</v>
      </c>
    </row>
    <row r="421" spans="7:10" hidden="1" x14ac:dyDescent="0.3">
      <c r="G421" s="7" t="s">
        <v>1982</v>
      </c>
      <c r="H421" s="8" t="s">
        <v>2038</v>
      </c>
      <c r="I421" s="8" t="s">
        <v>1979</v>
      </c>
      <c r="J421" s="9">
        <v>4.37</v>
      </c>
    </row>
    <row r="422" spans="7:10" hidden="1" x14ac:dyDescent="0.3">
      <c r="G422" s="10" t="s">
        <v>412</v>
      </c>
      <c r="H422" s="11" t="s">
        <v>2051</v>
      </c>
      <c r="I422" s="11" t="s">
        <v>2026</v>
      </c>
      <c r="J422" s="12">
        <v>17.57</v>
      </c>
    </row>
    <row r="423" spans="7:10" hidden="1" x14ac:dyDescent="0.3">
      <c r="G423" s="7" t="s">
        <v>413</v>
      </c>
      <c r="H423" s="8" t="s">
        <v>2034</v>
      </c>
      <c r="I423" s="8" t="s">
        <v>2005</v>
      </c>
      <c r="J423" s="9">
        <v>9.84</v>
      </c>
    </row>
    <row r="424" spans="7:10" hidden="1" x14ac:dyDescent="0.3">
      <c r="G424" s="10" t="s">
        <v>414</v>
      </c>
      <c r="H424" s="11" t="s">
        <v>2034</v>
      </c>
      <c r="I424" s="11" t="s">
        <v>2002</v>
      </c>
      <c r="J424" s="12">
        <v>9.85</v>
      </c>
    </row>
    <row r="425" spans="7:10" hidden="1" x14ac:dyDescent="0.3">
      <c r="G425" s="7" t="s">
        <v>415</v>
      </c>
      <c r="H425" s="8" t="s">
        <v>2052</v>
      </c>
      <c r="I425" s="8" t="s">
        <v>2022</v>
      </c>
      <c r="J425" s="9">
        <v>6.69</v>
      </c>
    </row>
    <row r="426" spans="7:10" hidden="1" x14ac:dyDescent="0.3">
      <c r="G426" s="10" t="s">
        <v>416</v>
      </c>
      <c r="H426" s="11" t="s">
        <v>2034</v>
      </c>
      <c r="I426" s="11" t="s">
        <v>2031</v>
      </c>
      <c r="J426" s="12">
        <v>11.69</v>
      </c>
    </row>
    <row r="427" spans="7:10" hidden="1" x14ac:dyDescent="0.3">
      <c r="G427" s="7" t="s">
        <v>417</v>
      </c>
      <c r="H427" s="8" t="s">
        <v>2035</v>
      </c>
      <c r="I427" s="8" t="s">
        <v>2023</v>
      </c>
      <c r="J427" s="9">
        <v>14.72</v>
      </c>
    </row>
    <row r="428" spans="7:10" hidden="1" x14ac:dyDescent="0.3">
      <c r="G428" s="10" t="s">
        <v>418</v>
      </c>
      <c r="H428" s="11" t="s">
        <v>2041</v>
      </c>
      <c r="I428" s="11" t="s">
        <v>2031</v>
      </c>
      <c r="J428" s="12">
        <v>13.36</v>
      </c>
    </row>
    <row r="429" spans="7:10" hidden="1" x14ac:dyDescent="0.3">
      <c r="G429" s="7" t="s">
        <v>419</v>
      </c>
      <c r="H429" s="8" t="s">
        <v>2034</v>
      </c>
      <c r="I429" s="8" t="s">
        <v>2004</v>
      </c>
      <c r="J429" s="9">
        <v>11.4</v>
      </c>
    </row>
    <row r="430" spans="7:10" hidden="1" x14ac:dyDescent="0.3">
      <c r="G430" s="10" t="s">
        <v>420</v>
      </c>
      <c r="H430" s="11" t="s">
        <v>2037</v>
      </c>
      <c r="I430" s="11" t="s">
        <v>2005</v>
      </c>
      <c r="J430" s="12">
        <v>20.11</v>
      </c>
    </row>
    <row r="431" spans="7:10" hidden="1" x14ac:dyDescent="0.3">
      <c r="G431" s="7" t="s">
        <v>421</v>
      </c>
      <c r="H431" s="8" t="s">
        <v>2049</v>
      </c>
      <c r="I431" s="8" t="s">
        <v>2028</v>
      </c>
      <c r="J431" s="9">
        <v>10.01</v>
      </c>
    </row>
    <row r="432" spans="7:10" hidden="1" x14ac:dyDescent="0.3">
      <c r="G432" s="10" t="s">
        <v>422</v>
      </c>
      <c r="H432" s="11" t="s">
        <v>2034</v>
      </c>
      <c r="I432" s="11" t="s">
        <v>2031</v>
      </c>
      <c r="J432" s="12">
        <v>17.13</v>
      </c>
    </row>
    <row r="433" spans="7:10" hidden="1" x14ac:dyDescent="0.3">
      <c r="G433" s="7" t="s">
        <v>423</v>
      </c>
      <c r="H433" s="8" t="s">
        <v>2037</v>
      </c>
      <c r="I433" s="8" t="s">
        <v>2028</v>
      </c>
      <c r="J433" s="9">
        <v>8.82</v>
      </c>
    </row>
    <row r="434" spans="7:10" hidden="1" x14ac:dyDescent="0.3">
      <c r="G434" s="10" t="s">
        <v>424</v>
      </c>
      <c r="H434" s="11" t="s">
        <v>2046</v>
      </c>
      <c r="I434" s="11" t="s">
        <v>2015</v>
      </c>
      <c r="J434" s="12">
        <v>7.29</v>
      </c>
    </row>
    <row r="435" spans="7:10" hidden="1" x14ac:dyDescent="0.3">
      <c r="G435" s="7" t="s">
        <v>425</v>
      </c>
      <c r="H435" s="8" t="s">
        <v>2038</v>
      </c>
      <c r="I435" s="8" t="s">
        <v>1988</v>
      </c>
      <c r="J435" s="9">
        <v>20.34</v>
      </c>
    </row>
    <row r="436" spans="7:10" hidden="1" x14ac:dyDescent="0.3">
      <c r="G436" s="10" t="s">
        <v>426</v>
      </c>
      <c r="H436" s="11" t="s">
        <v>2065</v>
      </c>
      <c r="I436" s="11" t="s">
        <v>2022</v>
      </c>
      <c r="J436" s="12">
        <v>10.93</v>
      </c>
    </row>
    <row r="437" spans="7:10" hidden="1" x14ac:dyDescent="0.3">
      <c r="G437" s="7" t="s">
        <v>427</v>
      </c>
      <c r="H437" s="8" t="s">
        <v>2053</v>
      </c>
      <c r="I437" s="8" t="s">
        <v>2005</v>
      </c>
      <c r="J437" s="9">
        <v>5.86</v>
      </c>
    </row>
    <row r="438" spans="7:10" hidden="1" x14ac:dyDescent="0.3">
      <c r="G438" s="10" t="s">
        <v>428</v>
      </c>
      <c r="H438" s="11" t="s">
        <v>2034</v>
      </c>
      <c r="I438" s="11" t="s">
        <v>1997</v>
      </c>
      <c r="J438" s="12">
        <v>14.06</v>
      </c>
    </row>
    <row r="439" spans="7:10" hidden="1" x14ac:dyDescent="0.3">
      <c r="G439" s="7" t="s">
        <v>429</v>
      </c>
      <c r="H439" s="8" t="s">
        <v>2069</v>
      </c>
      <c r="I439" s="8" t="s">
        <v>2031</v>
      </c>
      <c r="J439" s="9">
        <v>9.8000000000000007</v>
      </c>
    </row>
    <row r="440" spans="7:10" hidden="1" x14ac:dyDescent="0.3">
      <c r="G440" s="10" t="s">
        <v>430</v>
      </c>
      <c r="H440" s="11" t="s">
        <v>2034</v>
      </c>
      <c r="I440" s="11" t="s">
        <v>2017</v>
      </c>
      <c r="J440" s="12">
        <v>10.48</v>
      </c>
    </row>
    <row r="441" spans="7:10" hidden="1" x14ac:dyDescent="0.3">
      <c r="G441" s="7" t="s">
        <v>431</v>
      </c>
      <c r="H441" s="8" t="s">
        <v>2038</v>
      </c>
      <c r="I441" s="8" t="s">
        <v>1988</v>
      </c>
      <c r="J441" s="9">
        <v>9.0299999999999994</v>
      </c>
    </row>
    <row r="442" spans="7:10" hidden="1" x14ac:dyDescent="0.3">
      <c r="G442" s="10" t="s">
        <v>432</v>
      </c>
      <c r="H442" s="11" t="s">
        <v>2034</v>
      </c>
      <c r="I442" s="11" t="s">
        <v>1993</v>
      </c>
      <c r="J442" s="12">
        <v>14.25</v>
      </c>
    </row>
    <row r="443" spans="7:10" hidden="1" x14ac:dyDescent="0.3">
      <c r="G443" s="7" t="s">
        <v>433</v>
      </c>
      <c r="H443" s="8" t="s">
        <v>2034</v>
      </c>
      <c r="I443" s="8" t="s">
        <v>2026</v>
      </c>
      <c r="J443" s="9">
        <v>6.14</v>
      </c>
    </row>
    <row r="444" spans="7:10" hidden="1" x14ac:dyDescent="0.3">
      <c r="G444" s="10" t="s">
        <v>434</v>
      </c>
      <c r="H444" s="11" t="s">
        <v>2034</v>
      </c>
      <c r="I444" s="11" t="s">
        <v>2000</v>
      </c>
      <c r="J444" s="12">
        <v>38.42</v>
      </c>
    </row>
    <row r="445" spans="7:10" hidden="1" x14ac:dyDescent="0.3">
      <c r="G445" s="7" t="s">
        <v>435</v>
      </c>
      <c r="H445" s="8" t="s">
        <v>2035</v>
      </c>
      <c r="I445" s="8" t="s">
        <v>2029</v>
      </c>
      <c r="J445" s="9">
        <v>19.79</v>
      </c>
    </row>
    <row r="446" spans="7:10" hidden="1" x14ac:dyDescent="0.3">
      <c r="G446" s="10" t="s">
        <v>436</v>
      </c>
      <c r="H446" s="11" t="s">
        <v>2034</v>
      </c>
      <c r="I446" s="11" t="s">
        <v>1998</v>
      </c>
      <c r="J446" s="12">
        <v>7.48</v>
      </c>
    </row>
    <row r="447" spans="7:10" hidden="1" x14ac:dyDescent="0.3">
      <c r="G447" s="7" t="s">
        <v>437</v>
      </c>
      <c r="H447" s="8" t="s">
        <v>2035</v>
      </c>
      <c r="I447" s="8" t="s">
        <v>2017</v>
      </c>
      <c r="J447" s="9">
        <v>9.23</v>
      </c>
    </row>
    <row r="448" spans="7:10" hidden="1" x14ac:dyDescent="0.3">
      <c r="G448" s="10" t="s">
        <v>438</v>
      </c>
      <c r="H448" s="11" t="s">
        <v>2034</v>
      </c>
      <c r="I448" s="11" t="s">
        <v>2031</v>
      </c>
      <c r="J448" s="12">
        <v>10.11</v>
      </c>
    </row>
    <row r="449" spans="7:10" hidden="1" x14ac:dyDescent="0.3">
      <c r="G449" s="7" t="s">
        <v>439</v>
      </c>
      <c r="H449" s="8" t="s">
        <v>2040</v>
      </c>
      <c r="I449" s="8" t="s">
        <v>1993</v>
      </c>
      <c r="J449" s="9">
        <v>14.87</v>
      </c>
    </row>
    <row r="450" spans="7:10" hidden="1" x14ac:dyDescent="0.3">
      <c r="G450" s="10" t="s">
        <v>440</v>
      </c>
      <c r="H450" s="11" t="s">
        <v>2042</v>
      </c>
      <c r="I450" s="11" t="s">
        <v>1978</v>
      </c>
      <c r="J450" s="12">
        <v>12.18</v>
      </c>
    </row>
    <row r="451" spans="7:10" hidden="1" x14ac:dyDescent="0.3">
      <c r="G451" s="7" t="s">
        <v>441</v>
      </c>
      <c r="H451" s="8" t="s">
        <v>2034</v>
      </c>
      <c r="I451" s="8" t="s">
        <v>1993</v>
      </c>
      <c r="J451" s="9">
        <v>14.69</v>
      </c>
    </row>
    <row r="452" spans="7:10" hidden="1" x14ac:dyDescent="0.3">
      <c r="G452" s="10" t="s">
        <v>442</v>
      </c>
      <c r="H452" s="11" t="s">
        <v>2036</v>
      </c>
      <c r="I452" s="11" t="s">
        <v>2030</v>
      </c>
      <c r="J452" s="12">
        <v>17.079999999999998</v>
      </c>
    </row>
    <row r="453" spans="7:10" hidden="1" x14ac:dyDescent="0.3">
      <c r="G453" s="7" t="s">
        <v>443</v>
      </c>
      <c r="H453" s="8" t="s">
        <v>2034</v>
      </c>
      <c r="I453" s="8" t="s">
        <v>1998</v>
      </c>
      <c r="J453" s="9">
        <v>5.65</v>
      </c>
    </row>
    <row r="454" spans="7:10" hidden="1" x14ac:dyDescent="0.3">
      <c r="G454" s="10" t="s">
        <v>444</v>
      </c>
      <c r="H454" s="11" t="s">
        <v>2039</v>
      </c>
      <c r="I454" s="11" t="s">
        <v>2017</v>
      </c>
      <c r="J454" s="12">
        <v>15.27</v>
      </c>
    </row>
    <row r="455" spans="7:10" hidden="1" x14ac:dyDescent="0.3">
      <c r="G455" s="7" t="s">
        <v>445</v>
      </c>
      <c r="H455" s="8" t="s">
        <v>2034</v>
      </c>
      <c r="I455" s="8" t="s">
        <v>2031</v>
      </c>
      <c r="J455" s="9">
        <v>10.64</v>
      </c>
    </row>
    <row r="456" spans="7:10" hidden="1" x14ac:dyDescent="0.3">
      <c r="G456" s="10" t="s">
        <v>446</v>
      </c>
      <c r="H456" s="11" t="s">
        <v>2034</v>
      </c>
      <c r="I456" s="11" t="s">
        <v>2023</v>
      </c>
      <c r="J456" s="12">
        <v>16.02</v>
      </c>
    </row>
    <row r="457" spans="7:10" hidden="1" x14ac:dyDescent="0.3">
      <c r="G457" s="7" t="s">
        <v>447</v>
      </c>
      <c r="H457" s="8" t="s">
        <v>2034</v>
      </c>
      <c r="I457" s="8" t="s">
        <v>2017</v>
      </c>
      <c r="J457" s="9">
        <v>7.6</v>
      </c>
    </row>
    <row r="458" spans="7:10" hidden="1" x14ac:dyDescent="0.3">
      <c r="G458" s="10" t="s">
        <v>448</v>
      </c>
      <c r="H458" s="11" t="s">
        <v>2063</v>
      </c>
      <c r="I458" s="11" t="s">
        <v>2005</v>
      </c>
      <c r="J458" s="12">
        <v>16.350000000000001</v>
      </c>
    </row>
    <row r="459" spans="7:10" x14ac:dyDescent="0.3">
      <c r="G459" s="7" t="s">
        <v>384</v>
      </c>
      <c r="H459" s="8" t="s">
        <v>2047</v>
      </c>
      <c r="I459" s="8" t="s">
        <v>2022</v>
      </c>
      <c r="J459" s="9">
        <v>8.81</v>
      </c>
    </row>
    <row r="460" spans="7:10" hidden="1" x14ac:dyDescent="0.3">
      <c r="G460" s="10" t="s">
        <v>450</v>
      </c>
      <c r="H460" s="11" t="s">
        <v>2034</v>
      </c>
      <c r="I460" s="11" t="s">
        <v>2001</v>
      </c>
      <c r="J460" s="12">
        <v>19.13</v>
      </c>
    </row>
    <row r="461" spans="7:10" hidden="1" x14ac:dyDescent="0.3">
      <c r="G461" s="7" t="s">
        <v>451</v>
      </c>
      <c r="H461" s="8" t="s">
        <v>2069</v>
      </c>
      <c r="I461" s="8" t="s">
        <v>1979</v>
      </c>
      <c r="J461" s="9">
        <v>5.36</v>
      </c>
    </row>
    <row r="462" spans="7:10" hidden="1" x14ac:dyDescent="0.3">
      <c r="G462" s="10" t="s">
        <v>452</v>
      </c>
      <c r="H462" s="11" t="s">
        <v>2034</v>
      </c>
      <c r="I462" s="11" t="s">
        <v>1993</v>
      </c>
      <c r="J462" s="12">
        <v>12.64</v>
      </c>
    </row>
    <row r="463" spans="7:10" hidden="1" x14ac:dyDescent="0.3">
      <c r="G463" s="7" t="s">
        <v>453</v>
      </c>
      <c r="H463" s="8" t="s">
        <v>2054</v>
      </c>
      <c r="I463" s="8" t="s">
        <v>2028</v>
      </c>
      <c r="J463" s="9">
        <v>7.95</v>
      </c>
    </row>
    <row r="464" spans="7:10" hidden="1" x14ac:dyDescent="0.3">
      <c r="G464" s="10" t="s">
        <v>454</v>
      </c>
      <c r="H464" s="11" t="s">
        <v>2052</v>
      </c>
      <c r="I464" s="11" t="s">
        <v>2028</v>
      </c>
      <c r="J464" s="12">
        <v>7.86</v>
      </c>
    </row>
    <row r="465" spans="7:10" hidden="1" x14ac:dyDescent="0.3">
      <c r="G465" s="7" t="s">
        <v>455</v>
      </c>
      <c r="H465" s="8" t="s">
        <v>2038</v>
      </c>
      <c r="I465" s="8" t="s">
        <v>1993</v>
      </c>
      <c r="J465" s="9">
        <v>12.93</v>
      </c>
    </row>
    <row r="466" spans="7:10" hidden="1" x14ac:dyDescent="0.3">
      <c r="G466" s="10" t="s">
        <v>456</v>
      </c>
      <c r="H466" s="11" t="s">
        <v>2034</v>
      </c>
      <c r="I466" s="11" t="s">
        <v>2001</v>
      </c>
      <c r="J466" s="12">
        <v>18.71</v>
      </c>
    </row>
    <row r="467" spans="7:10" hidden="1" x14ac:dyDescent="0.3">
      <c r="G467" s="7" t="s">
        <v>457</v>
      </c>
      <c r="H467" s="8" t="s">
        <v>2061</v>
      </c>
      <c r="I467" s="8" t="s">
        <v>2031</v>
      </c>
      <c r="J467" s="9">
        <v>5.38</v>
      </c>
    </row>
    <row r="468" spans="7:10" hidden="1" x14ac:dyDescent="0.3">
      <c r="G468" s="10" t="s">
        <v>458</v>
      </c>
      <c r="H468" s="11" t="s">
        <v>2034</v>
      </c>
      <c r="I468" s="11" t="s">
        <v>1998</v>
      </c>
      <c r="J468" s="12">
        <v>4.46</v>
      </c>
    </row>
    <row r="469" spans="7:10" hidden="1" x14ac:dyDescent="0.3">
      <c r="G469" s="7" t="s">
        <v>459</v>
      </c>
      <c r="H469" s="8" t="s">
        <v>2034</v>
      </c>
      <c r="I469" s="8" t="s">
        <v>2001</v>
      </c>
      <c r="J469" s="9">
        <v>8.26</v>
      </c>
    </row>
    <row r="470" spans="7:10" hidden="1" x14ac:dyDescent="0.3">
      <c r="G470" s="10" t="s">
        <v>460</v>
      </c>
      <c r="H470" s="11" t="s">
        <v>2040</v>
      </c>
      <c r="I470" s="11" t="s">
        <v>1993</v>
      </c>
      <c r="J470" s="12">
        <v>9.86</v>
      </c>
    </row>
    <row r="471" spans="7:10" hidden="1" x14ac:dyDescent="0.3">
      <c r="G471" s="7" t="s">
        <v>461</v>
      </c>
      <c r="H471" s="8" t="s">
        <v>2043</v>
      </c>
      <c r="I471" s="8" t="s">
        <v>1979</v>
      </c>
      <c r="J471" s="9">
        <v>5.14</v>
      </c>
    </row>
    <row r="472" spans="7:10" hidden="1" x14ac:dyDescent="0.3">
      <c r="G472" s="10" t="s">
        <v>462</v>
      </c>
      <c r="H472" s="11" t="s">
        <v>2034</v>
      </c>
      <c r="I472" s="11" t="s">
        <v>2000</v>
      </c>
      <c r="J472" s="12">
        <v>41.21</v>
      </c>
    </row>
    <row r="473" spans="7:10" hidden="1" x14ac:dyDescent="0.3">
      <c r="G473" s="7" t="s">
        <v>463</v>
      </c>
      <c r="H473" s="8" t="s">
        <v>2034</v>
      </c>
      <c r="I473" s="8" t="s">
        <v>2005</v>
      </c>
      <c r="J473" s="9">
        <v>5.45</v>
      </c>
    </row>
    <row r="474" spans="7:10" hidden="1" x14ac:dyDescent="0.3">
      <c r="G474" s="10" t="s">
        <v>464</v>
      </c>
      <c r="H474" s="11" t="s">
        <v>2034</v>
      </c>
      <c r="I474" s="11" t="s">
        <v>2001</v>
      </c>
      <c r="J474" s="12">
        <v>10.18</v>
      </c>
    </row>
    <row r="475" spans="7:10" hidden="1" x14ac:dyDescent="0.3">
      <c r="G475" s="7" t="s">
        <v>465</v>
      </c>
      <c r="H475" s="8" t="s">
        <v>2065</v>
      </c>
      <c r="I475" s="8" t="s">
        <v>2028</v>
      </c>
      <c r="J475" s="9">
        <v>5.74</v>
      </c>
    </row>
    <row r="476" spans="7:10" hidden="1" x14ac:dyDescent="0.3">
      <c r="G476" s="10" t="s">
        <v>466</v>
      </c>
      <c r="H476" s="11" t="s">
        <v>2034</v>
      </c>
      <c r="I476" s="11" t="s">
        <v>2025</v>
      </c>
      <c r="J476" s="12">
        <v>7.07</v>
      </c>
    </row>
    <row r="477" spans="7:10" hidden="1" x14ac:dyDescent="0.3">
      <c r="G477" s="7" t="s">
        <v>467</v>
      </c>
      <c r="H477" s="8" t="s">
        <v>2034</v>
      </c>
      <c r="I477" s="8" t="s">
        <v>2026</v>
      </c>
      <c r="J477" s="9">
        <v>5.26</v>
      </c>
    </row>
    <row r="478" spans="7:10" hidden="1" x14ac:dyDescent="0.3">
      <c r="G478" s="10" t="s">
        <v>468</v>
      </c>
      <c r="H478" s="11" t="s">
        <v>2034</v>
      </c>
      <c r="I478" s="11" t="s">
        <v>2022</v>
      </c>
      <c r="J478" s="12">
        <v>31.17</v>
      </c>
    </row>
    <row r="479" spans="7:10" hidden="1" x14ac:dyDescent="0.3">
      <c r="G479" s="7" t="s">
        <v>469</v>
      </c>
      <c r="H479" s="8" t="s">
        <v>2053</v>
      </c>
      <c r="I479" s="8" t="s">
        <v>2022</v>
      </c>
      <c r="J479" s="9">
        <v>4.58</v>
      </c>
    </row>
    <row r="480" spans="7:10" hidden="1" x14ac:dyDescent="0.3">
      <c r="G480" s="10" t="s">
        <v>470</v>
      </c>
      <c r="H480" s="11" t="s">
        <v>2034</v>
      </c>
      <c r="I480" s="11" t="s">
        <v>1993</v>
      </c>
      <c r="J480" s="12">
        <v>13.87</v>
      </c>
    </row>
    <row r="481" spans="7:10" hidden="1" x14ac:dyDescent="0.3">
      <c r="G481" s="7" t="s">
        <v>471</v>
      </c>
      <c r="H481" s="8" t="s">
        <v>2066</v>
      </c>
      <c r="I481" s="8" t="s">
        <v>1979</v>
      </c>
      <c r="J481" s="9">
        <v>3.79</v>
      </c>
    </row>
    <row r="482" spans="7:10" hidden="1" x14ac:dyDescent="0.3">
      <c r="G482" s="10" t="s">
        <v>472</v>
      </c>
      <c r="H482" s="11" t="s">
        <v>2041</v>
      </c>
      <c r="I482" s="11" t="s">
        <v>1998</v>
      </c>
      <c r="J482" s="12">
        <v>11.58</v>
      </c>
    </row>
    <row r="483" spans="7:10" hidden="1" x14ac:dyDescent="0.3">
      <c r="G483" s="7" t="s">
        <v>473</v>
      </c>
      <c r="H483" s="8" t="s">
        <v>2040</v>
      </c>
      <c r="I483" s="8" t="s">
        <v>2022</v>
      </c>
      <c r="J483" s="9">
        <v>17.05</v>
      </c>
    </row>
    <row r="484" spans="7:10" hidden="1" x14ac:dyDescent="0.3">
      <c r="G484" s="10" t="s">
        <v>474</v>
      </c>
      <c r="H484" s="11" t="s">
        <v>2035</v>
      </c>
      <c r="I484" s="11" t="s">
        <v>1979</v>
      </c>
      <c r="J484" s="12">
        <v>7.24</v>
      </c>
    </row>
    <row r="485" spans="7:10" hidden="1" x14ac:dyDescent="0.3">
      <c r="G485" s="7" t="s">
        <v>475</v>
      </c>
      <c r="H485" s="8" t="s">
        <v>2038</v>
      </c>
      <c r="I485" s="8" t="s">
        <v>1997</v>
      </c>
      <c r="J485" s="9">
        <v>22.07</v>
      </c>
    </row>
    <row r="486" spans="7:10" hidden="1" x14ac:dyDescent="0.3">
      <c r="G486" s="10" t="s">
        <v>476</v>
      </c>
      <c r="H486" s="11" t="s">
        <v>2041</v>
      </c>
      <c r="I486" s="11" t="s">
        <v>2030</v>
      </c>
      <c r="J486" s="12">
        <v>23.02</v>
      </c>
    </row>
    <row r="487" spans="7:10" hidden="1" x14ac:dyDescent="0.3">
      <c r="G487" s="7" t="s">
        <v>477</v>
      </c>
      <c r="H487" s="8" t="s">
        <v>2051</v>
      </c>
      <c r="I487" s="8" t="s">
        <v>1992</v>
      </c>
      <c r="J487" s="9">
        <v>10.55</v>
      </c>
    </row>
    <row r="488" spans="7:10" hidden="1" x14ac:dyDescent="0.3">
      <c r="G488" s="10" t="s">
        <v>478</v>
      </c>
      <c r="H488" s="11" t="s">
        <v>2034</v>
      </c>
      <c r="I488" s="11" t="s">
        <v>2027</v>
      </c>
      <c r="J488" s="12">
        <v>9.15</v>
      </c>
    </row>
    <row r="489" spans="7:10" hidden="1" x14ac:dyDescent="0.3">
      <c r="G489" s="7" t="s">
        <v>479</v>
      </c>
      <c r="H489" s="8" t="s">
        <v>2038</v>
      </c>
      <c r="I489" s="8" t="s">
        <v>1987</v>
      </c>
      <c r="J489" s="9">
        <v>13.39</v>
      </c>
    </row>
    <row r="490" spans="7:10" hidden="1" x14ac:dyDescent="0.3">
      <c r="G490" s="10" t="s">
        <v>480</v>
      </c>
      <c r="H490" s="11" t="s">
        <v>2035</v>
      </c>
      <c r="I490" s="11" t="s">
        <v>2023</v>
      </c>
      <c r="J490" s="12">
        <v>14.42</v>
      </c>
    </row>
    <row r="491" spans="7:10" hidden="1" x14ac:dyDescent="0.3">
      <c r="G491" s="7" t="s">
        <v>481</v>
      </c>
      <c r="H491" s="8" t="s">
        <v>2038</v>
      </c>
      <c r="I491" s="8" t="s">
        <v>1979</v>
      </c>
      <c r="J491" s="9">
        <v>4.28</v>
      </c>
    </row>
    <row r="492" spans="7:10" hidden="1" x14ac:dyDescent="0.3">
      <c r="G492" s="10" t="s">
        <v>482</v>
      </c>
      <c r="H492" s="11" t="s">
        <v>2038</v>
      </c>
      <c r="I492" s="11" t="s">
        <v>2031</v>
      </c>
      <c r="J492" s="12">
        <v>11.11</v>
      </c>
    </row>
    <row r="493" spans="7:10" hidden="1" x14ac:dyDescent="0.3">
      <c r="G493" s="7" t="s">
        <v>483</v>
      </c>
      <c r="H493" s="8" t="s">
        <v>2038</v>
      </c>
      <c r="I493" s="8" t="s">
        <v>2029</v>
      </c>
      <c r="J493" s="9">
        <v>28.4</v>
      </c>
    </row>
    <row r="494" spans="7:10" hidden="1" x14ac:dyDescent="0.3">
      <c r="G494" s="10" t="s">
        <v>484</v>
      </c>
      <c r="H494" s="11" t="s">
        <v>2040</v>
      </c>
      <c r="I494" s="11" t="s">
        <v>2031</v>
      </c>
      <c r="J494" s="12">
        <v>8.5</v>
      </c>
    </row>
    <row r="495" spans="7:10" hidden="1" x14ac:dyDescent="0.3">
      <c r="G495" s="7" t="s">
        <v>485</v>
      </c>
      <c r="H495" s="8" t="s">
        <v>2035</v>
      </c>
      <c r="I495" s="8" t="s">
        <v>2023</v>
      </c>
      <c r="J495" s="9">
        <v>14.58</v>
      </c>
    </row>
    <row r="496" spans="7:10" hidden="1" x14ac:dyDescent="0.3">
      <c r="G496" s="10" t="s">
        <v>486</v>
      </c>
      <c r="H496" s="11" t="s">
        <v>2035</v>
      </c>
      <c r="I496" s="11" t="s">
        <v>1978</v>
      </c>
      <c r="J496" s="12">
        <v>11.35</v>
      </c>
    </row>
    <row r="497" spans="7:10" hidden="1" x14ac:dyDescent="0.3">
      <c r="G497" s="7" t="s">
        <v>487</v>
      </c>
      <c r="H497" s="8" t="s">
        <v>2038</v>
      </c>
      <c r="I497" s="8" t="s">
        <v>1988</v>
      </c>
      <c r="J497" s="9">
        <v>12.09</v>
      </c>
    </row>
    <row r="498" spans="7:10" hidden="1" x14ac:dyDescent="0.3">
      <c r="G498" s="10" t="s">
        <v>488</v>
      </c>
      <c r="H498" s="11" t="s">
        <v>2034</v>
      </c>
      <c r="I498" s="11" t="s">
        <v>2001</v>
      </c>
      <c r="J498" s="12">
        <v>14.35</v>
      </c>
    </row>
    <row r="499" spans="7:10" hidden="1" x14ac:dyDescent="0.3">
      <c r="G499" s="7" t="s">
        <v>489</v>
      </c>
      <c r="H499" s="8" t="s">
        <v>2052</v>
      </c>
      <c r="I499" s="8" t="s">
        <v>1979</v>
      </c>
      <c r="J499" s="9">
        <v>2.76</v>
      </c>
    </row>
    <row r="500" spans="7:10" hidden="1" x14ac:dyDescent="0.3">
      <c r="G500" s="10" t="s">
        <v>490</v>
      </c>
      <c r="H500" s="11" t="s">
        <v>2039</v>
      </c>
      <c r="I500" s="11" t="s">
        <v>2031</v>
      </c>
      <c r="J500" s="12">
        <v>33.479999999999997</v>
      </c>
    </row>
    <row r="501" spans="7:10" hidden="1" x14ac:dyDescent="0.3">
      <c r="G501" s="7" t="s">
        <v>491</v>
      </c>
      <c r="H501" s="8" t="s">
        <v>2038</v>
      </c>
      <c r="I501" s="8" t="s">
        <v>1998</v>
      </c>
      <c r="J501" s="9">
        <v>4.8499999999999996</v>
      </c>
    </row>
    <row r="502" spans="7:10" hidden="1" x14ac:dyDescent="0.3">
      <c r="G502" s="10" t="s">
        <v>492</v>
      </c>
      <c r="H502" s="11" t="s">
        <v>2034</v>
      </c>
      <c r="I502" s="11" t="s">
        <v>2023</v>
      </c>
      <c r="J502" s="12">
        <v>13.4</v>
      </c>
    </row>
    <row r="503" spans="7:10" hidden="1" x14ac:dyDescent="0.3">
      <c r="G503" s="7" t="s">
        <v>493</v>
      </c>
      <c r="H503" s="8" t="s">
        <v>2034</v>
      </c>
      <c r="I503" s="8" t="s">
        <v>2026</v>
      </c>
      <c r="J503" s="9">
        <v>14.61</v>
      </c>
    </row>
    <row r="504" spans="7:10" hidden="1" x14ac:dyDescent="0.3">
      <c r="G504" s="10" t="s">
        <v>494</v>
      </c>
      <c r="H504" s="11" t="s">
        <v>2038</v>
      </c>
      <c r="I504" s="11" t="s">
        <v>1998</v>
      </c>
      <c r="J504" s="12">
        <v>7.23</v>
      </c>
    </row>
    <row r="505" spans="7:10" hidden="1" x14ac:dyDescent="0.3">
      <c r="G505" s="7" t="s">
        <v>495</v>
      </c>
      <c r="H505" s="8" t="s">
        <v>2034</v>
      </c>
      <c r="I505" s="8" t="s">
        <v>2023</v>
      </c>
      <c r="J505" s="9">
        <v>16.079999999999998</v>
      </c>
    </row>
    <row r="506" spans="7:10" hidden="1" x14ac:dyDescent="0.3">
      <c r="G506" s="10" t="s">
        <v>496</v>
      </c>
      <c r="H506" s="11" t="s">
        <v>2040</v>
      </c>
      <c r="I506" s="11" t="s">
        <v>2001</v>
      </c>
      <c r="J506" s="12">
        <v>15.02</v>
      </c>
    </row>
    <row r="507" spans="7:10" x14ac:dyDescent="0.3">
      <c r="G507" s="10" t="s">
        <v>389</v>
      </c>
      <c r="H507" s="11" t="s">
        <v>2047</v>
      </c>
      <c r="I507" s="11" t="s">
        <v>2022</v>
      </c>
      <c r="J507" s="12">
        <v>9.5299999999999994</v>
      </c>
    </row>
    <row r="508" spans="7:10" hidden="1" x14ac:dyDescent="0.3">
      <c r="G508" s="10" t="s">
        <v>498</v>
      </c>
      <c r="H508" s="11" t="s">
        <v>2044</v>
      </c>
      <c r="I508" s="11" t="s">
        <v>2031</v>
      </c>
      <c r="J508" s="12">
        <v>7.5</v>
      </c>
    </row>
    <row r="509" spans="7:10" hidden="1" x14ac:dyDescent="0.3">
      <c r="G509" s="7" t="s">
        <v>499</v>
      </c>
      <c r="H509" s="8" t="s">
        <v>2034</v>
      </c>
      <c r="I509" s="8" t="s">
        <v>2022</v>
      </c>
      <c r="J509" s="9">
        <v>5.92</v>
      </c>
    </row>
    <row r="510" spans="7:10" hidden="1" x14ac:dyDescent="0.3">
      <c r="G510" s="10" t="s">
        <v>500</v>
      </c>
      <c r="H510" s="11" t="s">
        <v>2038</v>
      </c>
      <c r="I510" s="11" t="s">
        <v>2017</v>
      </c>
      <c r="J510" s="12">
        <v>13.29</v>
      </c>
    </row>
    <row r="511" spans="7:10" hidden="1" x14ac:dyDescent="0.3">
      <c r="G511" s="7" t="s">
        <v>501</v>
      </c>
      <c r="H511" s="8" t="s">
        <v>2034</v>
      </c>
      <c r="I511" s="8" t="s">
        <v>2017</v>
      </c>
      <c r="J511" s="9">
        <v>6.61</v>
      </c>
    </row>
    <row r="512" spans="7:10" hidden="1" x14ac:dyDescent="0.3">
      <c r="G512" s="10" t="s">
        <v>502</v>
      </c>
      <c r="H512" s="11" t="s">
        <v>2034</v>
      </c>
      <c r="I512" s="11" t="s">
        <v>2015</v>
      </c>
      <c r="J512" s="12">
        <v>8.2899999999999991</v>
      </c>
    </row>
    <row r="513" spans="7:10" hidden="1" x14ac:dyDescent="0.3">
      <c r="G513" s="7" t="s">
        <v>503</v>
      </c>
      <c r="H513" s="8" t="s">
        <v>2034</v>
      </c>
      <c r="I513" s="8" t="s">
        <v>2005</v>
      </c>
      <c r="J513" s="9">
        <v>11.65</v>
      </c>
    </row>
    <row r="514" spans="7:10" hidden="1" x14ac:dyDescent="0.3">
      <c r="G514" s="10" t="s">
        <v>504</v>
      </c>
      <c r="H514" s="11" t="s">
        <v>2037</v>
      </c>
      <c r="I514" s="11" t="s">
        <v>2015</v>
      </c>
      <c r="J514" s="12">
        <v>6.36</v>
      </c>
    </row>
    <row r="515" spans="7:10" hidden="1" x14ac:dyDescent="0.3">
      <c r="G515" s="7" t="s">
        <v>505</v>
      </c>
      <c r="H515" s="8" t="s">
        <v>2034</v>
      </c>
      <c r="I515" s="8" t="s">
        <v>2031</v>
      </c>
      <c r="J515" s="9">
        <v>12.58</v>
      </c>
    </row>
    <row r="516" spans="7:10" hidden="1" x14ac:dyDescent="0.3">
      <c r="G516" s="10" t="s">
        <v>506</v>
      </c>
      <c r="H516" s="11" t="s">
        <v>2069</v>
      </c>
      <c r="I516" s="11" t="s">
        <v>2028</v>
      </c>
      <c r="J516" s="12">
        <v>8.17</v>
      </c>
    </row>
    <row r="517" spans="7:10" hidden="1" x14ac:dyDescent="0.3">
      <c r="G517" s="7" t="s">
        <v>507</v>
      </c>
      <c r="H517" s="8" t="s">
        <v>2034</v>
      </c>
      <c r="I517" s="8" t="s">
        <v>2017</v>
      </c>
      <c r="J517" s="9">
        <v>13.16</v>
      </c>
    </row>
    <row r="518" spans="7:10" hidden="1" x14ac:dyDescent="0.3">
      <c r="G518" s="10" t="s">
        <v>508</v>
      </c>
      <c r="H518" s="11" t="s">
        <v>2038</v>
      </c>
      <c r="I518" s="11" t="s">
        <v>1986</v>
      </c>
      <c r="J518" s="12">
        <v>11.02</v>
      </c>
    </row>
    <row r="519" spans="7:10" hidden="1" x14ac:dyDescent="0.3">
      <c r="G519" s="7" t="s">
        <v>509</v>
      </c>
      <c r="H519" s="8" t="s">
        <v>2034</v>
      </c>
      <c r="I519" s="8" t="s">
        <v>1998</v>
      </c>
      <c r="J519" s="9">
        <v>4.3</v>
      </c>
    </row>
    <row r="520" spans="7:10" hidden="1" x14ac:dyDescent="0.3">
      <c r="G520" s="10" t="s">
        <v>510</v>
      </c>
      <c r="H520" s="11" t="s">
        <v>2070</v>
      </c>
      <c r="I520" s="11" t="s">
        <v>1979</v>
      </c>
      <c r="J520" s="12">
        <v>4.4800000000000004</v>
      </c>
    </row>
    <row r="521" spans="7:10" hidden="1" x14ac:dyDescent="0.3">
      <c r="G521" s="7" t="s">
        <v>511</v>
      </c>
      <c r="H521" s="8" t="s">
        <v>2041</v>
      </c>
      <c r="I521" s="8" t="s">
        <v>1987</v>
      </c>
      <c r="J521" s="9">
        <v>17.68</v>
      </c>
    </row>
    <row r="522" spans="7:10" hidden="1" x14ac:dyDescent="0.3">
      <c r="G522" s="10" t="s">
        <v>512</v>
      </c>
      <c r="H522" s="11" t="s">
        <v>2038</v>
      </c>
      <c r="I522" s="11" t="s">
        <v>2015</v>
      </c>
      <c r="J522" s="12">
        <v>13.47</v>
      </c>
    </row>
    <row r="523" spans="7:10" hidden="1" x14ac:dyDescent="0.3">
      <c r="G523" s="7" t="s">
        <v>513</v>
      </c>
      <c r="H523" s="8" t="s">
        <v>2035</v>
      </c>
      <c r="I523" s="8" t="s">
        <v>1979</v>
      </c>
      <c r="J523" s="9">
        <v>5.58</v>
      </c>
    </row>
    <row r="524" spans="7:10" hidden="1" x14ac:dyDescent="0.3">
      <c r="G524" s="10" t="s">
        <v>514</v>
      </c>
      <c r="H524" s="11" t="s">
        <v>2038</v>
      </c>
      <c r="I524" s="11" t="s">
        <v>1997</v>
      </c>
      <c r="J524" s="12">
        <v>11.58</v>
      </c>
    </row>
    <row r="525" spans="7:10" hidden="1" x14ac:dyDescent="0.3">
      <c r="G525" s="7" t="s">
        <v>515</v>
      </c>
      <c r="H525" s="8" t="s">
        <v>2039</v>
      </c>
      <c r="I525" s="8" t="s">
        <v>2030</v>
      </c>
      <c r="J525" s="9">
        <v>24.71</v>
      </c>
    </row>
    <row r="526" spans="7:10" hidden="1" x14ac:dyDescent="0.3">
      <c r="G526" s="10" t="s">
        <v>516</v>
      </c>
      <c r="H526" s="11" t="s">
        <v>2038</v>
      </c>
      <c r="I526" s="11" t="s">
        <v>1987</v>
      </c>
      <c r="J526" s="12">
        <v>9.17</v>
      </c>
    </row>
    <row r="527" spans="7:10" hidden="1" x14ac:dyDescent="0.3">
      <c r="G527" s="7" t="s">
        <v>517</v>
      </c>
      <c r="H527" s="8" t="s">
        <v>2064</v>
      </c>
      <c r="I527" s="8" t="s">
        <v>1998</v>
      </c>
      <c r="J527" s="9">
        <v>8.5500000000000007</v>
      </c>
    </row>
    <row r="528" spans="7:10" hidden="1" x14ac:dyDescent="0.3">
      <c r="G528" s="10" t="s">
        <v>518</v>
      </c>
      <c r="H528" s="11" t="s">
        <v>2034</v>
      </c>
      <c r="I528" s="11" t="s">
        <v>2023</v>
      </c>
      <c r="J528" s="12">
        <v>4.55</v>
      </c>
    </row>
    <row r="529" spans="7:10" hidden="1" x14ac:dyDescent="0.3">
      <c r="G529" s="7" t="s">
        <v>519</v>
      </c>
      <c r="H529" s="8" t="s">
        <v>2045</v>
      </c>
      <c r="I529" s="8" t="s">
        <v>2015</v>
      </c>
      <c r="J529" s="9">
        <v>4.74</v>
      </c>
    </row>
    <row r="530" spans="7:10" hidden="1" x14ac:dyDescent="0.3">
      <c r="G530" s="10" t="s">
        <v>520</v>
      </c>
      <c r="H530" s="11" t="s">
        <v>2034</v>
      </c>
      <c r="I530" s="11" t="s">
        <v>1997</v>
      </c>
      <c r="J530" s="12">
        <v>192.6</v>
      </c>
    </row>
    <row r="531" spans="7:10" hidden="1" x14ac:dyDescent="0.3">
      <c r="G531" s="7" t="s">
        <v>521</v>
      </c>
      <c r="H531" s="8" t="s">
        <v>2041</v>
      </c>
      <c r="I531" s="8" t="s">
        <v>1997</v>
      </c>
      <c r="J531" s="9">
        <v>7.97</v>
      </c>
    </row>
    <row r="532" spans="7:10" hidden="1" x14ac:dyDescent="0.3">
      <c r="G532" s="10" t="s">
        <v>522</v>
      </c>
      <c r="H532" s="11" t="s">
        <v>2066</v>
      </c>
      <c r="I532" s="11" t="s">
        <v>1979</v>
      </c>
      <c r="J532" s="12">
        <v>4.3499999999999996</v>
      </c>
    </row>
    <row r="533" spans="7:10" x14ac:dyDescent="0.3">
      <c r="G533" s="7" t="s">
        <v>392</v>
      </c>
      <c r="H533" s="8" t="s">
        <v>2047</v>
      </c>
      <c r="I533" s="8" t="s">
        <v>2022</v>
      </c>
      <c r="J533" s="9">
        <v>7.52</v>
      </c>
    </row>
    <row r="534" spans="7:10" hidden="1" x14ac:dyDescent="0.3">
      <c r="G534" s="10" t="s">
        <v>524</v>
      </c>
      <c r="H534" s="11" t="s">
        <v>2034</v>
      </c>
      <c r="I534" s="11" t="s">
        <v>2015</v>
      </c>
      <c r="J534" s="12">
        <v>12.7</v>
      </c>
    </row>
    <row r="535" spans="7:10" hidden="1" x14ac:dyDescent="0.3">
      <c r="G535" s="7" t="s">
        <v>525</v>
      </c>
      <c r="H535" s="8" t="s">
        <v>2064</v>
      </c>
      <c r="I535" s="8" t="s">
        <v>1979</v>
      </c>
      <c r="J535" s="9">
        <v>4.0999999999999996</v>
      </c>
    </row>
    <row r="536" spans="7:10" hidden="1" x14ac:dyDescent="0.3">
      <c r="G536" s="10" t="s">
        <v>526</v>
      </c>
      <c r="H536" s="11" t="s">
        <v>1975</v>
      </c>
      <c r="I536" s="11" t="s">
        <v>1979</v>
      </c>
      <c r="J536" s="12">
        <v>4.37</v>
      </c>
    </row>
    <row r="537" spans="7:10" x14ac:dyDescent="0.3">
      <c r="G537" s="7" t="s">
        <v>627</v>
      </c>
      <c r="H537" s="8" t="s">
        <v>2047</v>
      </c>
      <c r="I537" s="8" t="s">
        <v>2022</v>
      </c>
      <c r="J537" s="9">
        <v>7.27</v>
      </c>
    </row>
    <row r="538" spans="7:10" hidden="1" x14ac:dyDescent="0.3">
      <c r="G538" s="10" t="s">
        <v>528</v>
      </c>
      <c r="H538" s="11" t="s">
        <v>2034</v>
      </c>
      <c r="I538" s="11" t="s">
        <v>1987</v>
      </c>
      <c r="J538" s="12">
        <v>7.98</v>
      </c>
    </row>
    <row r="539" spans="7:10" x14ac:dyDescent="0.3">
      <c r="G539" s="7" t="s">
        <v>645</v>
      </c>
      <c r="H539" s="8" t="s">
        <v>2047</v>
      </c>
      <c r="I539" s="8" t="s">
        <v>2022</v>
      </c>
      <c r="J539" s="9">
        <v>4.1100000000000003</v>
      </c>
    </row>
    <row r="540" spans="7:10" hidden="1" x14ac:dyDescent="0.3">
      <c r="G540" s="10" t="s">
        <v>530</v>
      </c>
      <c r="H540" s="11" t="s">
        <v>2055</v>
      </c>
      <c r="I540" s="11" t="s">
        <v>2031</v>
      </c>
      <c r="J540" s="12">
        <v>4.72</v>
      </c>
    </row>
    <row r="541" spans="7:10" hidden="1" x14ac:dyDescent="0.3">
      <c r="G541" s="7" t="s">
        <v>2008</v>
      </c>
      <c r="H541" s="8" t="s">
        <v>2045</v>
      </c>
      <c r="I541" s="8" t="s">
        <v>2005</v>
      </c>
      <c r="J541" s="9">
        <v>7.3</v>
      </c>
    </row>
    <row r="542" spans="7:10" x14ac:dyDescent="0.3">
      <c r="G542" s="7" t="s">
        <v>693</v>
      </c>
      <c r="H542" s="8" t="s">
        <v>2047</v>
      </c>
      <c r="I542" s="8" t="s">
        <v>2022</v>
      </c>
      <c r="J542" s="9">
        <v>4.3899999999999997</v>
      </c>
    </row>
    <row r="543" spans="7:10" hidden="1" x14ac:dyDescent="0.3">
      <c r="G543" s="7" t="s">
        <v>532</v>
      </c>
      <c r="H543" s="8" t="s">
        <v>2034</v>
      </c>
      <c r="I543" s="8" t="s">
        <v>2005</v>
      </c>
      <c r="J543" s="9">
        <v>10.44</v>
      </c>
    </row>
    <row r="544" spans="7:10" hidden="1" x14ac:dyDescent="0.3">
      <c r="G544" s="10" t="s">
        <v>533</v>
      </c>
      <c r="H544" s="11" t="s">
        <v>2071</v>
      </c>
      <c r="I544" s="11" t="s">
        <v>2022</v>
      </c>
      <c r="J544" s="12">
        <v>11.45</v>
      </c>
    </row>
    <row r="545" spans="7:10" hidden="1" x14ac:dyDescent="0.3">
      <c r="G545" s="7" t="s">
        <v>534</v>
      </c>
      <c r="H545" s="8" t="s">
        <v>2038</v>
      </c>
      <c r="I545" s="8" t="s">
        <v>1998</v>
      </c>
      <c r="J545" s="9">
        <v>10.37</v>
      </c>
    </row>
    <row r="546" spans="7:10" hidden="1" x14ac:dyDescent="0.3">
      <c r="G546" s="10" t="s">
        <v>535</v>
      </c>
      <c r="H546" s="11" t="s">
        <v>1975</v>
      </c>
      <c r="I546" s="11" t="s">
        <v>2005</v>
      </c>
      <c r="J546" s="12">
        <v>4.4800000000000004</v>
      </c>
    </row>
    <row r="547" spans="7:10" hidden="1" x14ac:dyDescent="0.3">
      <c r="G547" s="7" t="s">
        <v>536</v>
      </c>
      <c r="H547" s="8" t="s">
        <v>2062</v>
      </c>
      <c r="I547" s="8" t="s">
        <v>2005</v>
      </c>
      <c r="J547" s="9">
        <v>8.64</v>
      </c>
    </row>
    <row r="548" spans="7:10" hidden="1" x14ac:dyDescent="0.3">
      <c r="G548" s="10" t="s">
        <v>537</v>
      </c>
      <c r="H548" s="11" t="s">
        <v>2041</v>
      </c>
      <c r="I548" s="11" t="s">
        <v>1988</v>
      </c>
      <c r="J548" s="12">
        <v>15.26</v>
      </c>
    </row>
    <row r="549" spans="7:10" hidden="1" x14ac:dyDescent="0.3">
      <c r="G549" s="7" t="s">
        <v>538</v>
      </c>
      <c r="H549" s="8" t="s">
        <v>2038</v>
      </c>
      <c r="I549" s="8" t="s">
        <v>2030</v>
      </c>
      <c r="J549" s="9">
        <v>11.39</v>
      </c>
    </row>
    <row r="550" spans="7:10" hidden="1" x14ac:dyDescent="0.3">
      <c r="G550" s="10" t="s">
        <v>539</v>
      </c>
      <c r="H550" s="11" t="s">
        <v>2034</v>
      </c>
      <c r="I550" s="11" t="s">
        <v>1979</v>
      </c>
      <c r="J550" s="12">
        <v>3.74</v>
      </c>
    </row>
    <row r="551" spans="7:10" hidden="1" x14ac:dyDescent="0.3">
      <c r="G551" s="7" t="s">
        <v>540</v>
      </c>
      <c r="H551" s="8" t="s">
        <v>2050</v>
      </c>
      <c r="I551" s="8" t="s">
        <v>1988</v>
      </c>
      <c r="J551" s="9">
        <v>10.119999999999999</v>
      </c>
    </row>
    <row r="552" spans="7:10" hidden="1" x14ac:dyDescent="0.3">
      <c r="G552" s="10" t="s">
        <v>541</v>
      </c>
      <c r="H552" s="11" t="s">
        <v>2042</v>
      </c>
      <c r="I552" s="11" t="s">
        <v>1997</v>
      </c>
      <c r="J552" s="12">
        <v>63.08</v>
      </c>
    </row>
    <row r="553" spans="7:10" hidden="1" x14ac:dyDescent="0.3">
      <c r="G553" s="7" t="s">
        <v>542</v>
      </c>
      <c r="H553" s="8" t="s">
        <v>2034</v>
      </c>
      <c r="I553" s="8" t="s">
        <v>1979</v>
      </c>
      <c r="J553" s="9">
        <v>3.48</v>
      </c>
    </row>
    <row r="554" spans="7:10" hidden="1" x14ac:dyDescent="0.3">
      <c r="G554" s="10" t="s">
        <v>543</v>
      </c>
      <c r="H554" s="11" t="s">
        <v>2041</v>
      </c>
      <c r="I554" s="11" t="s">
        <v>1987</v>
      </c>
      <c r="J554" s="12">
        <v>11.23</v>
      </c>
    </row>
    <row r="555" spans="7:10" hidden="1" x14ac:dyDescent="0.3">
      <c r="G555" s="7" t="s">
        <v>544</v>
      </c>
      <c r="H555" s="8" t="s">
        <v>2042</v>
      </c>
      <c r="I555" s="8" t="s">
        <v>2005</v>
      </c>
      <c r="J555" s="9">
        <v>14.13</v>
      </c>
    </row>
    <row r="556" spans="7:10" hidden="1" x14ac:dyDescent="0.3">
      <c r="G556" s="10" t="s">
        <v>545</v>
      </c>
      <c r="H556" s="11" t="s">
        <v>2038</v>
      </c>
      <c r="I556" s="11" t="s">
        <v>2030</v>
      </c>
      <c r="J556" s="12">
        <v>14.98</v>
      </c>
    </row>
    <row r="557" spans="7:10" hidden="1" x14ac:dyDescent="0.3">
      <c r="G557" s="7" t="s">
        <v>546</v>
      </c>
      <c r="H557" s="8" t="s">
        <v>2041</v>
      </c>
      <c r="I557" s="8" t="s">
        <v>2031</v>
      </c>
      <c r="J557" s="9">
        <v>14.53</v>
      </c>
    </row>
    <row r="558" spans="7:10" hidden="1" x14ac:dyDescent="0.3">
      <c r="G558" s="10" t="s">
        <v>547</v>
      </c>
      <c r="H558" s="11" t="s">
        <v>2052</v>
      </c>
      <c r="I558" s="11" t="s">
        <v>1998</v>
      </c>
      <c r="J558" s="12">
        <v>2.95</v>
      </c>
    </row>
    <row r="559" spans="7:10" hidden="1" x14ac:dyDescent="0.3">
      <c r="G559" s="7" t="s">
        <v>548</v>
      </c>
      <c r="H559" s="8" t="s">
        <v>2035</v>
      </c>
      <c r="I559" s="8" t="s">
        <v>2030</v>
      </c>
      <c r="J559" s="9">
        <v>4</v>
      </c>
    </row>
    <row r="560" spans="7:10" hidden="1" x14ac:dyDescent="0.3">
      <c r="G560" s="10" t="s">
        <v>549</v>
      </c>
      <c r="H560" s="11" t="s">
        <v>2035</v>
      </c>
      <c r="I560" s="11" t="s">
        <v>2001</v>
      </c>
      <c r="J560" s="12">
        <v>5.55</v>
      </c>
    </row>
    <row r="561" spans="7:10" hidden="1" x14ac:dyDescent="0.3">
      <c r="G561" s="7" t="s">
        <v>550</v>
      </c>
      <c r="H561" s="8" t="s">
        <v>2052</v>
      </c>
      <c r="I561" s="8" t="s">
        <v>2028</v>
      </c>
      <c r="J561" s="9">
        <v>9.61</v>
      </c>
    </row>
    <row r="562" spans="7:10" hidden="1" x14ac:dyDescent="0.3">
      <c r="G562" s="10" t="s">
        <v>551</v>
      </c>
      <c r="H562" s="11" t="s">
        <v>2035</v>
      </c>
      <c r="I562" s="11" t="s">
        <v>2004</v>
      </c>
      <c r="J562" s="12">
        <v>7.18</v>
      </c>
    </row>
    <row r="563" spans="7:10" hidden="1" x14ac:dyDescent="0.3">
      <c r="G563" s="7" t="s">
        <v>552</v>
      </c>
      <c r="H563" s="8" t="s">
        <v>2043</v>
      </c>
      <c r="I563" s="8" t="s">
        <v>2025</v>
      </c>
      <c r="J563" s="9">
        <v>6.48</v>
      </c>
    </row>
    <row r="564" spans="7:10" hidden="1" x14ac:dyDescent="0.3">
      <c r="G564" s="10" t="s">
        <v>553</v>
      </c>
      <c r="H564" s="11" t="s">
        <v>2040</v>
      </c>
      <c r="I564" s="11" t="s">
        <v>2031</v>
      </c>
      <c r="J564" s="12">
        <v>7.87</v>
      </c>
    </row>
    <row r="565" spans="7:10" hidden="1" x14ac:dyDescent="0.3">
      <c r="G565" s="7" t="s">
        <v>554</v>
      </c>
      <c r="H565" s="8" t="s">
        <v>2034</v>
      </c>
      <c r="I565" s="8" t="s">
        <v>2031</v>
      </c>
      <c r="J565" s="9">
        <v>6.22</v>
      </c>
    </row>
    <row r="566" spans="7:10" hidden="1" x14ac:dyDescent="0.3">
      <c r="G566" s="10" t="s">
        <v>555</v>
      </c>
      <c r="H566" s="11" t="s">
        <v>2034</v>
      </c>
      <c r="I566" s="11" t="s">
        <v>1988</v>
      </c>
      <c r="J566" s="12">
        <v>7.66</v>
      </c>
    </row>
    <row r="567" spans="7:10" hidden="1" x14ac:dyDescent="0.3">
      <c r="G567" s="7" t="s">
        <v>556</v>
      </c>
      <c r="H567" s="8" t="s">
        <v>2038</v>
      </c>
      <c r="I567" s="8" t="s">
        <v>1987</v>
      </c>
      <c r="J567" s="9">
        <v>16.239999999999998</v>
      </c>
    </row>
    <row r="568" spans="7:10" hidden="1" x14ac:dyDescent="0.3">
      <c r="G568" s="10" t="s">
        <v>557</v>
      </c>
      <c r="H568" s="11" t="s">
        <v>2035</v>
      </c>
      <c r="I568" s="11" t="s">
        <v>2000</v>
      </c>
      <c r="J568" s="12">
        <v>22.82</v>
      </c>
    </row>
    <row r="569" spans="7:10" hidden="1" x14ac:dyDescent="0.3">
      <c r="G569" s="7" t="s">
        <v>558</v>
      </c>
      <c r="H569" s="8" t="s">
        <v>2038</v>
      </c>
      <c r="I569" s="8" t="s">
        <v>2001</v>
      </c>
      <c r="J569" s="9">
        <v>10.23</v>
      </c>
    </row>
    <row r="570" spans="7:10" hidden="1" x14ac:dyDescent="0.3">
      <c r="G570" s="10" t="s">
        <v>559</v>
      </c>
      <c r="H570" s="11" t="s">
        <v>1975</v>
      </c>
      <c r="I570" s="11" t="s">
        <v>2000</v>
      </c>
      <c r="J570" s="12">
        <v>23.86</v>
      </c>
    </row>
    <row r="571" spans="7:10" hidden="1" x14ac:dyDescent="0.3">
      <c r="G571" s="7" t="s">
        <v>560</v>
      </c>
      <c r="H571" s="8" t="s">
        <v>2038</v>
      </c>
      <c r="I571" s="8" t="s">
        <v>1997</v>
      </c>
      <c r="J571" s="9">
        <v>17.07</v>
      </c>
    </row>
    <row r="572" spans="7:10" hidden="1" x14ac:dyDescent="0.3">
      <c r="G572" s="10" t="s">
        <v>561</v>
      </c>
      <c r="H572" s="11" t="s">
        <v>2062</v>
      </c>
      <c r="I572" s="11" t="s">
        <v>1998</v>
      </c>
      <c r="J572" s="12">
        <v>5.24</v>
      </c>
    </row>
    <row r="573" spans="7:10" hidden="1" x14ac:dyDescent="0.3">
      <c r="G573" s="7" t="s">
        <v>562</v>
      </c>
      <c r="H573" s="8" t="s">
        <v>2038</v>
      </c>
      <c r="I573" s="8" t="s">
        <v>1997</v>
      </c>
      <c r="J573" s="9">
        <v>25.15</v>
      </c>
    </row>
    <row r="574" spans="7:10" hidden="1" x14ac:dyDescent="0.3">
      <c r="G574" s="10" t="s">
        <v>2009</v>
      </c>
      <c r="H574" s="11" t="s">
        <v>1975</v>
      </c>
      <c r="I574" s="11" t="s">
        <v>2005</v>
      </c>
      <c r="J574" s="12">
        <v>5.79</v>
      </c>
    </row>
    <row r="575" spans="7:10" hidden="1" x14ac:dyDescent="0.3">
      <c r="G575" s="7" t="s">
        <v>563</v>
      </c>
      <c r="H575" s="8" t="s">
        <v>2038</v>
      </c>
      <c r="I575" s="8" t="s">
        <v>2030</v>
      </c>
      <c r="J575" s="9">
        <v>10.95</v>
      </c>
    </row>
    <row r="576" spans="7:10" hidden="1" x14ac:dyDescent="0.3">
      <c r="G576" s="10" t="s">
        <v>564</v>
      </c>
      <c r="H576" s="11" t="s">
        <v>2035</v>
      </c>
      <c r="I576" s="11" t="s">
        <v>2015</v>
      </c>
      <c r="J576" s="12">
        <v>17.91</v>
      </c>
    </row>
    <row r="577" spans="7:10" hidden="1" x14ac:dyDescent="0.3">
      <c r="G577" s="7" t="s">
        <v>565</v>
      </c>
      <c r="H577" s="8" t="s">
        <v>2034</v>
      </c>
      <c r="I577" s="8" t="s">
        <v>2003</v>
      </c>
      <c r="J577" s="9">
        <v>11.55</v>
      </c>
    </row>
    <row r="578" spans="7:10" hidden="1" x14ac:dyDescent="0.3">
      <c r="G578" s="10" t="s">
        <v>566</v>
      </c>
      <c r="H578" s="11" t="s">
        <v>2035</v>
      </c>
      <c r="I578" s="11" t="s">
        <v>2005</v>
      </c>
      <c r="J578" s="12">
        <v>9.2100000000000009</v>
      </c>
    </row>
    <row r="579" spans="7:10" hidden="1" x14ac:dyDescent="0.3">
      <c r="G579" s="7" t="s">
        <v>567</v>
      </c>
      <c r="H579" s="8" t="s">
        <v>2034</v>
      </c>
      <c r="I579" s="8" t="s">
        <v>1988</v>
      </c>
      <c r="J579" s="9">
        <v>8.25</v>
      </c>
    </row>
    <row r="580" spans="7:10" hidden="1" x14ac:dyDescent="0.3">
      <c r="G580" s="10" t="s">
        <v>568</v>
      </c>
      <c r="H580" s="11" t="s">
        <v>2034</v>
      </c>
      <c r="I580" s="11" t="s">
        <v>2001</v>
      </c>
      <c r="J580" s="12">
        <v>8.69</v>
      </c>
    </row>
    <row r="581" spans="7:10" x14ac:dyDescent="0.3">
      <c r="G581" s="7" t="s">
        <v>1372</v>
      </c>
      <c r="H581" s="8" t="s">
        <v>2047</v>
      </c>
      <c r="I581" s="8" t="s">
        <v>2022</v>
      </c>
      <c r="J581" s="9">
        <v>1.0900000000000001</v>
      </c>
    </row>
    <row r="582" spans="7:10" hidden="1" x14ac:dyDescent="0.3">
      <c r="G582" s="10" t="s">
        <v>570</v>
      </c>
      <c r="H582" s="11" t="s">
        <v>2066</v>
      </c>
      <c r="I582" s="11" t="s">
        <v>2030</v>
      </c>
      <c r="J582" s="12">
        <v>7.28</v>
      </c>
    </row>
    <row r="583" spans="7:10" hidden="1" x14ac:dyDescent="0.3">
      <c r="G583" s="7" t="s">
        <v>571</v>
      </c>
      <c r="H583" s="8" t="s">
        <v>2041</v>
      </c>
      <c r="I583" s="8" t="s">
        <v>2003</v>
      </c>
      <c r="J583" s="9">
        <v>24.49</v>
      </c>
    </row>
    <row r="584" spans="7:10" hidden="1" x14ac:dyDescent="0.3">
      <c r="G584" s="10" t="s">
        <v>572</v>
      </c>
      <c r="H584" s="11" t="s">
        <v>2052</v>
      </c>
      <c r="I584" s="11" t="s">
        <v>2000</v>
      </c>
      <c r="J584" s="12">
        <v>8.99</v>
      </c>
    </row>
    <row r="585" spans="7:10" hidden="1" x14ac:dyDescent="0.3">
      <c r="G585" s="7" t="s">
        <v>573</v>
      </c>
      <c r="H585" s="8" t="s">
        <v>2034</v>
      </c>
      <c r="I585" s="8" t="s">
        <v>2022</v>
      </c>
      <c r="J585" s="9">
        <v>7.19</v>
      </c>
    </row>
    <row r="586" spans="7:10" hidden="1" x14ac:dyDescent="0.3">
      <c r="G586" s="10" t="s">
        <v>574</v>
      </c>
      <c r="H586" s="11" t="s">
        <v>2034</v>
      </c>
      <c r="I586" s="11" t="s">
        <v>1987</v>
      </c>
      <c r="J586" s="12">
        <v>11.12</v>
      </c>
    </row>
    <row r="587" spans="7:10" hidden="1" x14ac:dyDescent="0.3">
      <c r="G587" s="7" t="s">
        <v>575</v>
      </c>
      <c r="H587" s="8" t="s">
        <v>2035</v>
      </c>
      <c r="I587" s="8" t="s">
        <v>2003</v>
      </c>
      <c r="J587" s="9">
        <v>19.77</v>
      </c>
    </row>
    <row r="588" spans="7:10" hidden="1" x14ac:dyDescent="0.3">
      <c r="G588" s="10" t="s">
        <v>576</v>
      </c>
      <c r="H588" s="11" t="s">
        <v>2037</v>
      </c>
      <c r="I588" s="11" t="s">
        <v>2004</v>
      </c>
      <c r="J588" s="12">
        <v>4.78</v>
      </c>
    </row>
    <row r="589" spans="7:10" hidden="1" x14ac:dyDescent="0.3">
      <c r="G589" s="7" t="s">
        <v>577</v>
      </c>
      <c r="H589" s="8" t="s">
        <v>2034</v>
      </c>
      <c r="I589" s="8" t="s">
        <v>2031</v>
      </c>
      <c r="J589" s="9">
        <v>6.78</v>
      </c>
    </row>
    <row r="590" spans="7:10" hidden="1" x14ac:dyDescent="0.3">
      <c r="G590" s="10" t="s">
        <v>578</v>
      </c>
      <c r="H590" s="11" t="s">
        <v>2034</v>
      </c>
      <c r="I590" s="11" t="s">
        <v>2017</v>
      </c>
      <c r="J590" s="12">
        <v>8.18</v>
      </c>
    </row>
    <row r="591" spans="7:10" hidden="1" x14ac:dyDescent="0.3">
      <c r="G591" s="7" t="s">
        <v>579</v>
      </c>
      <c r="H591" s="8" t="s">
        <v>2035</v>
      </c>
      <c r="I591" s="8" t="s">
        <v>2030</v>
      </c>
      <c r="J591" s="9">
        <v>14.77</v>
      </c>
    </row>
    <row r="592" spans="7:10" hidden="1" x14ac:dyDescent="0.3">
      <c r="G592" s="10" t="s">
        <v>580</v>
      </c>
      <c r="H592" s="11" t="s">
        <v>2034</v>
      </c>
      <c r="I592" s="11" t="s">
        <v>2031</v>
      </c>
      <c r="J592" s="12">
        <v>9.02</v>
      </c>
    </row>
    <row r="593" spans="7:10" hidden="1" x14ac:dyDescent="0.3">
      <c r="G593" s="7" t="s">
        <v>581</v>
      </c>
      <c r="H593" s="8" t="s">
        <v>2063</v>
      </c>
      <c r="I593" s="8" t="s">
        <v>2028</v>
      </c>
      <c r="J593" s="9">
        <v>6.9</v>
      </c>
    </row>
    <row r="594" spans="7:10" hidden="1" x14ac:dyDescent="0.3">
      <c r="G594" s="10" t="s">
        <v>582</v>
      </c>
      <c r="H594" s="11" t="s">
        <v>2034</v>
      </c>
      <c r="I594" s="11" t="s">
        <v>2030</v>
      </c>
      <c r="J594" s="12">
        <v>7.58</v>
      </c>
    </row>
    <row r="595" spans="7:10" hidden="1" x14ac:dyDescent="0.3">
      <c r="G595" s="7" t="s">
        <v>583</v>
      </c>
      <c r="H595" s="8" t="s">
        <v>2034</v>
      </c>
      <c r="I595" s="8" t="s">
        <v>2027</v>
      </c>
      <c r="J595" s="9">
        <v>5.26</v>
      </c>
    </row>
    <row r="596" spans="7:10" hidden="1" x14ac:dyDescent="0.3">
      <c r="G596" s="10" t="s">
        <v>584</v>
      </c>
      <c r="H596" s="11" t="s">
        <v>2065</v>
      </c>
      <c r="I596" s="11" t="s">
        <v>1988</v>
      </c>
      <c r="J596" s="12">
        <v>6.89</v>
      </c>
    </row>
    <row r="597" spans="7:10" hidden="1" x14ac:dyDescent="0.3">
      <c r="G597" s="7" t="s">
        <v>585</v>
      </c>
      <c r="H597" s="8" t="s">
        <v>2034</v>
      </c>
      <c r="I597" s="8" t="s">
        <v>1999</v>
      </c>
      <c r="J597" s="9">
        <v>9.51</v>
      </c>
    </row>
    <row r="598" spans="7:10" hidden="1" x14ac:dyDescent="0.3">
      <c r="G598" s="10" t="s">
        <v>586</v>
      </c>
      <c r="H598" s="11" t="s">
        <v>2034</v>
      </c>
      <c r="I598" s="11" t="s">
        <v>2002</v>
      </c>
      <c r="J598" s="12">
        <v>55.59</v>
      </c>
    </row>
    <row r="599" spans="7:10" hidden="1" x14ac:dyDescent="0.3">
      <c r="G599" s="7" t="s">
        <v>587</v>
      </c>
      <c r="H599" s="8" t="s">
        <v>2042</v>
      </c>
      <c r="I599" s="8" t="s">
        <v>2005</v>
      </c>
      <c r="J599" s="9">
        <v>13.63</v>
      </c>
    </row>
    <row r="600" spans="7:10" hidden="1" x14ac:dyDescent="0.3">
      <c r="G600" s="10" t="s">
        <v>588</v>
      </c>
      <c r="H600" s="11" t="s">
        <v>1975</v>
      </c>
      <c r="I600" s="11" t="s">
        <v>1998</v>
      </c>
      <c r="J600" s="12">
        <v>4.26</v>
      </c>
    </row>
    <row r="601" spans="7:10" hidden="1" x14ac:dyDescent="0.3">
      <c r="G601" s="7" t="s">
        <v>589</v>
      </c>
      <c r="H601" s="8" t="s">
        <v>2034</v>
      </c>
      <c r="I601" s="8" t="s">
        <v>1979</v>
      </c>
      <c r="J601" s="9">
        <v>3.67</v>
      </c>
    </row>
    <row r="602" spans="7:10" hidden="1" x14ac:dyDescent="0.3">
      <c r="G602" s="10" t="s">
        <v>590</v>
      </c>
      <c r="H602" s="11" t="s">
        <v>2041</v>
      </c>
      <c r="I602" s="11" t="s">
        <v>1999</v>
      </c>
      <c r="J602" s="12">
        <v>6.94</v>
      </c>
    </row>
    <row r="603" spans="7:10" hidden="1" x14ac:dyDescent="0.3">
      <c r="G603" s="7" t="s">
        <v>591</v>
      </c>
      <c r="H603" s="8" t="s">
        <v>2052</v>
      </c>
      <c r="I603" s="8" t="s">
        <v>1998</v>
      </c>
      <c r="J603" s="9">
        <v>1.56</v>
      </c>
    </row>
    <row r="604" spans="7:10" hidden="1" x14ac:dyDescent="0.3">
      <c r="G604" s="10" t="s">
        <v>592</v>
      </c>
      <c r="H604" s="11" t="s">
        <v>2034</v>
      </c>
      <c r="I604" s="11" t="s">
        <v>2031</v>
      </c>
      <c r="J604" s="12">
        <v>9.6300000000000008</v>
      </c>
    </row>
    <row r="605" spans="7:10" hidden="1" x14ac:dyDescent="0.3">
      <c r="G605" s="7" t="s">
        <v>593</v>
      </c>
      <c r="H605" s="8" t="s">
        <v>2038</v>
      </c>
      <c r="I605" s="8" t="s">
        <v>2022</v>
      </c>
      <c r="J605" s="9">
        <v>23.35</v>
      </c>
    </row>
    <row r="606" spans="7:10" hidden="1" x14ac:dyDescent="0.3">
      <c r="G606" s="10" t="s">
        <v>594</v>
      </c>
      <c r="H606" s="11" t="s">
        <v>2035</v>
      </c>
      <c r="I606" s="11" t="s">
        <v>2001</v>
      </c>
      <c r="J606" s="12">
        <v>9.92</v>
      </c>
    </row>
    <row r="607" spans="7:10" hidden="1" x14ac:dyDescent="0.3">
      <c r="G607" s="7" t="s">
        <v>595</v>
      </c>
      <c r="H607" s="8" t="s">
        <v>2038</v>
      </c>
      <c r="I607" s="8" t="s">
        <v>2031</v>
      </c>
      <c r="J607" s="9">
        <v>9.44</v>
      </c>
    </row>
    <row r="608" spans="7:10" hidden="1" x14ac:dyDescent="0.3">
      <c r="G608" s="10" t="s">
        <v>596</v>
      </c>
      <c r="H608" s="11" t="s">
        <v>1975</v>
      </c>
      <c r="I608" s="11" t="s">
        <v>1998</v>
      </c>
      <c r="J608" s="12">
        <v>4.96</v>
      </c>
    </row>
    <row r="609" spans="7:10" hidden="1" x14ac:dyDescent="0.3">
      <c r="G609" s="7" t="s">
        <v>597</v>
      </c>
      <c r="H609" s="8" t="s">
        <v>2037</v>
      </c>
      <c r="I609" s="8" t="s">
        <v>1988</v>
      </c>
      <c r="J609" s="9">
        <v>7.69</v>
      </c>
    </row>
    <row r="610" spans="7:10" hidden="1" x14ac:dyDescent="0.3">
      <c r="G610" s="10" t="s">
        <v>598</v>
      </c>
      <c r="H610" s="11" t="s">
        <v>2034</v>
      </c>
      <c r="I610" s="11" t="s">
        <v>1998</v>
      </c>
      <c r="J610" s="12">
        <v>4.51</v>
      </c>
    </row>
    <row r="611" spans="7:10" hidden="1" x14ac:dyDescent="0.3">
      <c r="G611" s="7" t="s">
        <v>599</v>
      </c>
      <c r="H611" s="8" t="s">
        <v>2034</v>
      </c>
      <c r="I611" s="8" t="s">
        <v>1979</v>
      </c>
      <c r="J611" s="9">
        <v>3.62</v>
      </c>
    </row>
    <row r="612" spans="7:10" hidden="1" x14ac:dyDescent="0.3">
      <c r="G612" s="10" t="s">
        <v>600</v>
      </c>
      <c r="H612" s="11" t="s">
        <v>2038</v>
      </c>
      <c r="I612" s="11" t="s">
        <v>1987</v>
      </c>
      <c r="J612" s="12">
        <v>24.17</v>
      </c>
    </row>
    <row r="613" spans="7:10" hidden="1" x14ac:dyDescent="0.3">
      <c r="G613" s="7" t="s">
        <v>601</v>
      </c>
      <c r="H613" s="8" t="s">
        <v>2038</v>
      </c>
      <c r="I613" s="8" t="s">
        <v>1988</v>
      </c>
      <c r="J613" s="9">
        <v>12.85</v>
      </c>
    </row>
    <row r="614" spans="7:10" hidden="1" x14ac:dyDescent="0.3">
      <c r="G614" s="10" t="s">
        <v>602</v>
      </c>
      <c r="H614" s="11" t="s">
        <v>2043</v>
      </c>
      <c r="I614" s="11" t="s">
        <v>1979</v>
      </c>
      <c r="J614" s="12">
        <v>4.63</v>
      </c>
    </row>
    <row r="615" spans="7:10" hidden="1" x14ac:dyDescent="0.3">
      <c r="G615" s="7" t="s">
        <v>603</v>
      </c>
      <c r="H615" s="8" t="s">
        <v>2034</v>
      </c>
      <c r="I615" s="8" t="s">
        <v>2017</v>
      </c>
      <c r="J615" s="9">
        <v>14.54</v>
      </c>
    </row>
    <row r="616" spans="7:10" hidden="1" x14ac:dyDescent="0.3">
      <c r="G616" s="10" t="s">
        <v>604</v>
      </c>
      <c r="H616" s="11" t="s">
        <v>2038</v>
      </c>
      <c r="I616" s="11" t="s">
        <v>1998</v>
      </c>
      <c r="J616" s="12">
        <v>4.83</v>
      </c>
    </row>
    <row r="617" spans="7:10" hidden="1" x14ac:dyDescent="0.3">
      <c r="G617" s="7" t="s">
        <v>605</v>
      </c>
      <c r="H617" s="8" t="s">
        <v>2042</v>
      </c>
      <c r="I617" s="8" t="s">
        <v>1979</v>
      </c>
      <c r="J617" s="9">
        <v>4.2300000000000004</v>
      </c>
    </row>
    <row r="618" spans="7:10" hidden="1" x14ac:dyDescent="0.3">
      <c r="G618" s="10" t="s">
        <v>606</v>
      </c>
      <c r="H618" s="11" t="s">
        <v>2034</v>
      </c>
      <c r="I618" s="11" t="s">
        <v>2022</v>
      </c>
      <c r="J618" s="12">
        <v>4.67</v>
      </c>
    </row>
    <row r="619" spans="7:10" hidden="1" x14ac:dyDescent="0.3">
      <c r="G619" s="7" t="s">
        <v>607</v>
      </c>
      <c r="H619" s="8" t="s">
        <v>2045</v>
      </c>
      <c r="I619" s="8" t="s">
        <v>1979</v>
      </c>
      <c r="J619" s="9">
        <v>4.9800000000000004</v>
      </c>
    </row>
    <row r="620" spans="7:10" hidden="1" x14ac:dyDescent="0.3">
      <c r="G620" s="10" t="s">
        <v>608</v>
      </c>
      <c r="H620" s="11" t="s">
        <v>2053</v>
      </c>
      <c r="I620" s="11" t="s">
        <v>2015</v>
      </c>
      <c r="J620" s="12">
        <v>11.05</v>
      </c>
    </row>
    <row r="621" spans="7:10" hidden="1" x14ac:dyDescent="0.3">
      <c r="G621" s="7" t="s">
        <v>609</v>
      </c>
      <c r="H621" s="8" t="s">
        <v>2034</v>
      </c>
      <c r="I621" s="8" t="s">
        <v>2027</v>
      </c>
      <c r="J621" s="9">
        <v>4.58</v>
      </c>
    </row>
    <row r="622" spans="7:10" hidden="1" x14ac:dyDescent="0.3">
      <c r="G622" s="10" t="s">
        <v>610</v>
      </c>
      <c r="H622" s="11" t="s">
        <v>2049</v>
      </c>
      <c r="I622" s="11" t="s">
        <v>2001</v>
      </c>
      <c r="J622" s="12">
        <v>8.19</v>
      </c>
    </row>
    <row r="623" spans="7:10" hidden="1" x14ac:dyDescent="0.3">
      <c r="G623" s="7" t="s">
        <v>611</v>
      </c>
      <c r="H623" s="8" t="s">
        <v>2037</v>
      </c>
      <c r="I623" s="8" t="s">
        <v>1986</v>
      </c>
      <c r="J623" s="9">
        <v>23.35</v>
      </c>
    </row>
    <row r="624" spans="7:10" hidden="1" x14ac:dyDescent="0.3">
      <c r="G624" s="10" t="s">
        <v>612</v>
      </c>
      <c r="H624" s="11" t="s">
        <v>2038</v>
      </c>
      <c r="I624" s="11" t="s">
        <v>1997</v>
      </c>
      <c r="J624" s="12">
        <v>4.8099999999999996</v>
      </c>
    </row>
    <row r="625" spans="7:10" hidden="1" x14ac:dyDescent="0.3">
      <c r="G625" s="7" t="s">
        <v>613</v>
      </c>
      <c r="H625" s="8" t="s">
        <v>2051</v>
      </c>
      <c r="I625" s="8" t="s">
        <v>2001</v>
      </c>
      <c r="J625" s="9">
        <v>24.28</v>
      </c>
    </row>
    <row r="626" spans="7:10" hidden="1" x14ac:dyDescent="0.3">
      <c r="G626" s="10" t="s">
        <v>614</v>
      </c>
      <c r="H626" s="11" t="s">
        <v>2034</v>
      </c>
      <c r="I626" s="11" t="s">
        <v>1992</v>
      </c>
      <c r="J626" s="12">
        <v>6.73</v>
      </c>
    </row>
    <row r="627" spans="7:10" hidden="1" x14ac:dyDescent="0.3">
      <c r="G627" s="7" t="s">
        <v>615</v>
      </c>
      <c r="H627" s="8" t="s">
        <v>2034</v>
      </c>
      <c r="I627" s="8" t="s">
        <v>2003</v>
      </c>
      <c r="J627" s="9">
        <v>6.48</v>
      </c>
    </row>
    <row r="628" spans="7:10" hidden="1" x14ac:dyDescent="0.3">
      <c r="G628" s="10" t="s">
        <v>616</v>
      </c>
      <c r="H628" s="11" t="s">
        <v>2036</v>
      </c>
      <c r="I628" s="11" t="s">
        <v>2000</v>
      </c>
      <c r="J628" s="12">
        <v>70.56</v>
      </c>
    </row>
    <row r="629" spans="7:10" hidden="1" x14ac:dyDescent="0.3">
      <c r="G629" s="7" t="s">
        <v>617</v>
      </c>
      <c r="H629" s="8" t="s">
        <v>2036</v>
      </c>
      <c r="I629" s="8" t="s">
        <v>2001</v>
      </c>
      <c r="J629" s="9">
        <v>12.76</v>
      </c>
    </row>
    <row r="630" spans="7:10" hidden="1" x14ac:dyDescent="0.3">
      <c r="G630" s="10" t="s">
        <v>618</v>
      </c>
      <c r="H630" s="11" t="s">
        <v>2034</v>
      </c>
      <c r="I630" s="11" t="s">
        <v>2015</v>
      </c>
      <c r="J630" s="12">
        <v>14.04</v>
      </c>
    </row>
    <row r="631" spans="7:10" hidden="1" x14ac:dyDescent="0.3">
      <c r="G631" s="7" t="s">
        <v>619</v>
      </c>
      <c r="H631" s="8" t="s">
        <v>2034</v>
      </c>
      <c r="I631" s="8" t="s">
        <v>2005</v>
      </c>
      <c r="J631" s="9">
        <v>4.34</v>
      </c>
    </row>
    <row r="632" spans="7:10" hidden="1" x14ac:dyDescent="0.3">
      <c r="G632" s="10" t="s">
        <v>620</v>
      </c>
      <c r="H632" s="11" t="s">
        <v>2034</v>
      </c>
      <c r="I632" s="11" t="s">
        <v>1979</v>
      </c>
      <c r="J632" s="12">
        <v>3.4</v>
      </c>
    </row>
    <row r="633" spans="7:10" hidden="1" x14ac:dyDescent="0.3">
      <c r="G633" s="7" t="s">
        <v>621</v>
      </c>
      <c r="H633" s="8" t="s">
        <v>2039</v>
      </c>
      <c r="I633" s="8" t="s">
        <v>2003</v>
      </c>
      <c r="J633" s="9">
        <v>9.6</v>
      </c>
    </row>
    <row r="634" spans="7:10" hidden="1" x14ac:dyDescent="0.3">
      <c r="G634" s="10" t="s">
        <v>622</v>
      </c>
      <c r="H634" s="11" t="s">
        <v>2034</v>
      </c>
      <c r="I634" s="11" t="s">
        <v>2002</v>
      </c>
      <c r="J634" s="12">
        <v>6.28</v>
      </c>
    </row>
    <row r="635" spans="7:10" hidden="1" x14ac:dyDescent="0.3">
      <c r="G635" s="7" t="s">
        <v>623</v>
      </c>
      <c r="H635" s="8" t="s">
        <v>2034</v>
      </c>
      <c r="I635" s="8" t="s">
        <v>1988</v>
      </c>
      <c r="J635" s="9">
        <v>18.61</v>
      </c>
    </row>
    <row r="636" spans="7:10" hidden="1" x14ac:dyDescent="0.3">
      <c r="G636" s="10" t="s">
        <v>624</v>
      </c>
      <c r="H636" s="11" t="s">
        <v>2042</v>
      </c>
      <c r="I636" s="11" t="s">
        <v>1979</v>
      </c>
      <c r="J636" s="12">
        <v>4.8499999999999996</v>
      </c>
    </row>
    <row r="637" spans="7:10" hidden="1" x14ac:dyDescent="0.3">
      <c r="G637" s="7" t="s">
        <v>625</v>
      </c>
      <c r="H637" s="8" t="s">
        <v>2041</v>
      </c>
      <c r="I637" s="8" t="s">
        <v>2005</v>
      </c>
      <c r="J637" s="9">
        <v>11.91</v>
      </c>
    </row>
    <row r="638" spans="7:10" hidden="1" x14ac:dyDescent="0.3">
      <c r="G638" s="10" t="s">
        <v>626</v>
      </c>
      <c r="H638" s="11" t="s">
        <v>2034</v>
      </c>
      <c r="I638" s="11" t="s">
        <v>2005</v>
      </c>
      <c r="J638" s="12">
        <v>9.67</v>
      </c>
    </row>
    <row r="639" spans="7:10" x14ac:dyDescent="0.3">
      <c r="G639" s="7" t="s">
        <v>1743</v>
      </c>
      <c r="H639" s="8" t="s">
        <v>2047</v>
      </c>
      <c r="I639" s="8" t="s">
        <v>2022</v>
      </c>
      <c r="J639" s="9">
        <v>1.02</v>
      </c>
    </row>
    <row r="640" spans="7:10" hidden="1" x14ac:dyDescent="0.3">
      <c r="G640" s="10" t="s">
        <v>628</v>
      </c>
      <c r="H640" s="11" t="s">
        <v>2055</v>
      </c>
      <c r="I640" s="11" t="s">
        <v>1979</v>
      </c>
      <c r="J640" s="12">
        <v>1.38</v>
      </c>
    </row>
    <row r="641" spans="7:10" hidden="1" x14ac:dyDescent="0.3">
      <c r="G641" s="7" t="s">
        <v>629</v>
      </c>
      <c r="H641" s="8" t="s">
        <v>2034</v>
      </c>
      <c r="I641" s="8" t="s">
        <v>2000</v>
      </c>
      <c r="J641" s="9">
        <v>59.53</v>
      </c>
    </row>
    <row r="642" spans="7:10" hidden="1" x14ac:dyDescent="0.3">
      <c r="G642" s="10" t="s">
        <v>630</v>
      </c>
      <c r="H642" s="11" t="s">
        <v>2038</v>
      </c>
      <c r="I642" s="11" t="s">
        <v>1998</v>
      </c>
      <c r="J642" s="12">
        <v>3.2</v>
      </c>
    </row>
    <row r="643" spans="7:10" hidden="1" x14ac:dyDescent="0.3">
      <c r="G643" s="7" t="s">
        <v>631</v>
      </c>
      <c r="H643" s="8" t="s">
        <v>2072</v>
      </c>
      <c r="I643" s="8" t="s">
        <v>2031</v>
      </c>
      <c r="J643" s="9">
        <v>4.4800000000000004</v>
      </c>
    </row>
    <row r="644" spans="7:10" x14ac:dyDescent="0.3">
      <c r="G644" s="7" t="s">
        <v>394</v>
      </c>
      <c r="H644" s="8" t="s">
        <v>2047</v>
      </c>
      <c r="I644" s="8" t="s">
        <v>2030</v>
      </c>
      <c r="J644" s="9">
        <v>6.23</v>
      </c>
    </row>
    <row r="645" spans="7:10" hidden="1" x14ac:dyDescent="0.3">
      <c r="G645" s="7" t="s">
        <v>633</v>
      </c>
      <c r="H645" s="8" t="s">
        <v>2034</v>
      </c>
      <c r="I645" s="8" t="s">
        <v>1978</v>
      </c>
      <c r="J645" s="9">
        <v>9.44</v>
      </c>
    </row>
    <row r="646" spans="7:10" hidden="1" x14ac:dyDescent="0.3">
      <c r="G646" s="10" t="s">
        <v>634</v>
      </c>
      <c r="H646" s="11" t="s">
        <v>2070</v>
      </c>
      <c r="I646" s="11" t="s">
        <v>1979</v>
      </c>
      <c r="J646" s="12">
        <v>3.56</v>
      </c>
    </row>
    <row r="647" spans="7:10" hidden="1" x14ac:dyDescent="0.3">
      <c r="G647" s="7" t="s">
        <v>635</v>
      </c>
      <c r="H647" s="8" t="s">
        <v>2034</v>
      </c>
      <c r="I647" s="8" t="s">
        <v>1988</v>
      </c>
      <c r="J647" s="9">
        <v>7.99</v>
      </c>
    </row>
    <row r="648" spans="7:10" hidden="1" x14ac:dyDescent="0.3">
      <c r="G648" s="10" t="s">
        <v>636</v>
      </c>
      <c r="H648" s="11" t="s">
        <v>2034</v>
      </c>
      <c r="I648" s="11" t="s">
        <v>1988</v>
      </c>
      <c r="J648" s="12">
        <v>10.199999999999999</v>
      </c>
    </row>
    <row r="649" spans="7:10" hidden="1" x14ac:dyDescent="0.3">
      <c r="G649" s="7" t="s">
        <v>637</v>
      </c>
      <c r="H649" s="8" t="s">
        <v>2034</v>
      </c>
      <c r="I649" s="8" t="s">
        <v>1979</v>
      </c>
      <c r="J649" s="9">
        <v>3.57</v>
      </c>
    </row>
    <row r="650" spans="7:10" hidden="1" x14ac:dyDescent="0.3">
      <c r="G650" s="10" t="s">
        <v>638</v>
      </c>
      <c r="H650" s="11" t="s">
        <v>2041</v>
      </c>
      <c r="I650" s="11" t="s">
        <v>2002</v>
      </c>
      <c r="J650" s="12">
        <v>25.99</v>
      </c>
    </row>
    <row r="651" spans="7:10" hidden="1" x14ac:dyDescent="0.3">
      <c r="G651" s="7" t="s">
        <v>639</v>
      </c>
      <c r="H651" s="8" t="s">
        <v>2038</v>
      </c>
      <c r="I651" s="8" t="s">
        <v>2017</v>
      </c>
      <c r="J651" s="9">
        <v>13.19</v>
      </c>
    </row>
    <row r="652" spans="7:10" hidden="1" x14ac:dyDescent="0.3">
      <c r="G652" s="10" t="s">
        <v>640</v>
      </c>
      <c r="H652" s="11" t="s">
        <v>2065</v>
      </c>
      <c r="I652" s="11" t="s">
        <v>2015</v>
      </c>
      <c r="J652" s="12">
        <v>6.04</v>
      </c>
    </row>
    <row r="653" spans="7:10" hidden="1" x14ac:dyDescent="0.3">
      <c r="G653" s="7" t="s">
        <v>641</v>
      </c>
      <c r="H653" s="8" t="s">
        <v>2038</v>
      </c>
      <c r="I653" s="8" t="s">
        <v>2004</v>
      </c>
      <c r="J653" s="9">
        <v>12.12</v>
      </c>
    </row>
    <row r="654" spans="7:10" hidden="1" x14ac:dyDescent="0.3">
      <c r="G654" s="10" t="s">
        <v>642</v>
      </c>
      <c r="H654" s="11" t="s">
        <v>2057</v>
      </c>
      <c r="I654" s="11" t="s">
        <v>1987</v>
      </c>
      <c r="J654" s="12">
        <v>7.96</v>
      </c>
    </row>
    <row r="655" spans="7:10" hidden="1" x14ac:dyDescent="0.3">
      <c r="G655" s="7" t="s">
        <v>643</v>
      </c>
      <c r="H655" s="8" t="s">
        <v>2042</v>
      </c>
      <c r="I655" s="8" t="s">
        <v>2030</v>
      </c>
      <c r="J655" s="9">
        <v>3.89</v>
      </c>
    </row>
    <row r="656" spans="7:10" hidden="1" x14ac:dyDescent="0.3">
      <c r="G656" s="10" t="s">
        <v>644</v>
      </c>
      <c r="H656" s="11" t="s">
        <v>2034</v>
      </c>
      <c r="I656" s="11" t="s">
        <v>1988</v>
      </c>
      <c r="J656" s="12">
        <v>6.63</v>
      </c>
    </row>
    <row r="657" spans="7:10" x14ac:dyDescent="0.3">
      <c r="G657" s="7" t="s">
        <v>916</v>
      </c>
      <c r="H657" s="8" t="s">
        <v>2047</v>
      </c>
      <c r="I657" s="8" t="s">
        <v>2030</v>
      </c>
      <c r="J657" s="9">
        <v>3.67</v>
      </c>
    </row>
    <row r="658" spans="7:10" hidden="1" x14ac:dyDescent="0.3">
      <c r="G658" s="10" t="s">
        <v>646</v>
      </c>
      <c r="H658" s="11" t="s">
        <v>2064</v>
      </c>
      <c r="I658" s="11" t="s">
        <v>1992</v>
      </c>
      <c r="J658" s="12">
        <v>16.48</v>
      </c>
    </row>
    <row r="659" spans="7:10" hidden="1" x14ac:dyDescent="0.3">
      <c r="G659" s="7" t="s">
        <v>647</v>
      </c>
      <c r="H659" s="8" t="s">
        <v>2034</v>
      </c>
      <c r="I659" s="8" t="s">
        <v>2023</v>
      </c>
      <c r="J659" s="9">
        <v>16.059999999999999</v>
      </c>
    </row>
    <row r="660" spans="7:10" hidden="1" x14ac:dyDescent="0.3">
      <c r="G660" s="10" t="s">
        <v>648</v>
      </c>
      <c r="H660" s="11" t="s">
        <v>2061</v>
      </c>
      <c r="I660" s="11" t="s">
        <v>1979</v>
      </c>
      <c r="J660" s="12">
        <v>3.9</v>
      </c>
    </row>
    <row r="661" spans="7:10" hidden="1" x14ac:dyDescent="0.3">
      <c r="G661" s="7" t="s">
        <v>649</v>
      </c>
      <c r="H661" s="8" t="s">
        <v>2040</v>
      </c>
      <c r="I661" s="8" t="s">
        <v>2004</v>
      </c>
      <c r="J661" s="9">
        <v>7.39</v>
      </c>
    </row>
    <row r="662" spans="7:10" hidden="1" x14ac:dyDescent="0.3">
      <c r="G662" s="10" t="s">
        <v>650</v>
      </c>
      <c r="H662" s="11" t="s">
        <v>2034</v>
      </c>
      <c r="I662" s="11" t="s">
        <v>2005</v>
      </c>
      <c r="J662" s="12">
        <v>4.22</v>
      </c>
    </row>
    <row r="663" spans="7:10" hidden="1" x14ac:dyDescent="0.3">
      <c r="G663" s="7" t="s">
        <v>651</v>
      </c>
      <c r="H663" s="8" t="s">
        <v>2034</v>
      </c>
      <c r="I663" s="8" t="s">
        <v>2023</v>
      </c>
      <c r="J663" s="9">
        <v>5.75</v>
      </c>
    </row>
    <row r="664" spans="7:10" hidden="1" x14ac:dyDescent="0.3">
      <c r="G664" s="10" t="s">
        <v>652</v>
      </c>
      <c r="H664" s="11" t="s">
        <v>2034</v>
      </c>
      <c r="I664" s="11" t="s">
        <v>1998</v>
      </c>
      <c r="J664" s="12">
        <v>3.17</v>
      </c>
    </row>
    <row r="665" spans="7:10" hidden="1" x14ac:dyDescent="0.3">
      <c r="G665" s="7" t="s">
        <v>653</v>
      </c>
      <c r="H665" s="8" t="s">
        <v>2034</v>
      </c>
      <c r="I665" s="8" t="s">
        <v>2001</v>
      </c>
      <c r="J665" s="9">
        <v>7.63</v>
      </c>
    </row>
    <row r="666" spans="7:10" hidden="1" x14ac:dyDescent="0.3">
      <c r="G666" s="10" t="s">
        <v>654</v>
      </c>
      <c r="H666" s="11" t="s">
        <v>2034</v>
      </c>
      <c r="I666" s="11" t="s">
        <v>2005</v>
      </c>
      <c r="J666" s="12">
        <v>7.5</v>
      </c>
    </row>
    <row r="667" spans="7:10" hidden="1" x14ac:dyDescent="0.3">
      <c r="G667" s="7" t="s">
        <v>655</v>
      </c>
      <c r="H667" s="8" t="s">
        <v>2034</v>
      </c>
      <c r="I667" s="8" t="s">
        <v>2017</v>
      </c>
      <c r="J667" s="9">
        <v>6</v>
      </c>
    </row>
    <row r="668" spans="7:10" hidden="1" x14ac:dyDescent="0.3">
      <c r="G668" s="10" t="s">
        <v>656</v>
      </c>
      <c r="H668" s="11" t="s">
        <v>2035</v>
      </c>
      <c r="I668" s="11" t="s">
        <v>2017</v>
      </c>
      <c r="J668" s="12">
        <v>7.04</v>
      </c>
    </row>
    <row r="669" spans="7:10" hidden="1" x14ac:dyDescent="0.3">
      <c r="G669" s="7" t="s">
        <v>657</v>
      </c>
      <c r="H669" s="8" t="s">
        <v>2057</v>
      </c>
      <c r="I669" s="8" t="s">
        <v>1987</v>
      </c>
      <c r="J669" s="9">
        <v>6.63</v>
      </c>
    </row>
    <row r="670" spans="7:10" hidden="1" x14ac:dyDescent="0.3">
      <c r="G670" s="10" t="s">
        <v>658</v>
      </c>
      <c r="H670" s="11" t="s">
        <v>2034</v>
      </c>
      <c r="I670" s="11" t="s">
        <v>1979</v>
      </c>
      <c r="J670" s="12">
        <v>3.01</v>
      </c>
    </row>
    <row r="671" spans="7:10" hidden="1" x14ac:dyDescent="0.3">
      <c r="G671" s="7" t="s">
        <v>659</v>
      </c>
      <c r="H671" s="8" t="s">
        <v>2038</v>
      </c>
      <c r="I671" s="8" t="s">
        <v>2004</v>
      </c>
      <c r="J671" s="9">
        <v>8.74</v>
      </c>
    </row>
    <row r="672" spans="7:10" hidden="1" x14ac:dyDescent="0.3">
      <c r="G672" s="10" t="s">
        <v>660</v>
      </c>
      <c r="H672" s="11" t="s">
        <v>2042</v>
      </c>
      <c r="I672" s="11" t="s">
        <v>1998</v>
      </c>
      <c r="J672" s="12">
        <v>70.39</v>
      </c>
    </row>
    <row r="673" spans="7:10" hidden="1" x14ac:dyDescent="0.3">
      <c r="G673" s="7" t="s">
        <v>661</v>
      </c>
      <c r="H673" s="8" t="s">
        <v>2038</v>
      </c>
      <c r="I673" s="8" t="s">
        <v>1998</v>
      </c>
      <c r="J673" s="9">
        <v>4.05</v>
      </c>
    </row>
    <row r="674" spans="7:10" hidden="1" x14ac:dyDescent="0.3">
      <c r="G674" s="10" t="s">
        <v>662</v>
      </c>
      <c r="H674" s="11" t="s">
        <v>2060</v>
      </c>
      <c r="I674" s="11" t="s">
        <v>2001</v>
      </c>
      <c r="J674" s="12">
        <v>8.4</v>
      </c>
    </row>
    <row r="675" spans="7:10" hidden="1" x14ac:dyDescent="0.3">
      <c r="G675" s="7" t="s">
        <v>663</v>
      </c>
      <c r="H675" s="8" t="s">
        <v>1975</v>
      </c>
      <c r="I675" s="8" t="s">
        <v>2000</v>
      </c>
      <c r="J675" s="9">
        <v>27.39</v>
      </c>
    </row>
    <row r="676" spans="7:10" hidden="1" x14ac:dyDescent="0.3">
      <c r="G676" s="10" t="s">
        <v>664</v>
      </c>
      <c r="H676" s="11" t="s">
        <v>2035</v>
      </c>
      <c r="I676" s="11" t="s">
        <v>1988</v>
      </c>
      <c r="J676" s="12">
        <v>6.62</v>
      </c>
    </row>
    <row r="677" spans="7:10" hidden="1" x14ac:dyDescent="0.3">
      <c r="G677" s="7" t="s">
        <v>665</v>
      </c>
      <c r="H677" s="8" t="s">
        <v>2050</v>
      </c>
      <c r="I677" s="8" t="s">
        <v>2028</v>
      </c>
      <c r="J677" s="9">
        <v>7.35</v>
      </c>
    </row>
    <row r="678" spans="7:10" hidden="1" x14ac:dyDescent="0.3">
      <c r="G678" s="10" t="s">
        <v>666</v>
      </c>
      <c r="H678" s="11" t="s">
        <v>2035</v>
      </c>
      <c r="I678" s="11" t="s">
        <v>2031</v>
      </c>
      <c r="J678" s="12">
        <v>12.95</v>
      </c>
    </row>
    <row r="679" spans="7:10" hidden="1" x14ac:dyDescent="0.3">
      <c r="G679" s="7" t="s">
        <v>667</v>
      </c>
      <c r="H679" s="8" t="s">
        <v>2045</v>
      </c>
      <c r="I679" s="8" t="s">
        <v>2015</v>
      </c>
      <c r="J679" s="9">
        <v>7.05</v>
      </c>
    </row>
    <row r="680" spans="7:10" hidden="1" x14ac:dyDescent="0.3">
      <c r="G680" s="10" t="s">
        <v>668</v>
      </c>
      <c r="H680" s="11" t="s">
        <v>2054</v>
      </c>
      <c r="I680" s="11" t="s">
        <v>1999</v>
      </c>
      <c r="J680" s="12">
        <v>5.35</v>
      </c>
    </row>
    <row r="681" spans="7:10" hidden="1" x14ac:dyDescent="0.3">
      <c r="G681" s="7" t="s">
        <v>2032</v>
      </c>
      <c r="H681" s="8" t="s">
        <v>2035</v>
      </c>
      <c r="I681" s="8" t="s">
        <v>2031</v>
      </c>
      <c r="J681" s="9">
        <v>4.26</v>
      </c>
    </row>
    <row r="682" spans="7:10" hidden="1" x14ac:dyDescent="0.3">
      <c r="G682" s="10" t="s">
        <v>669</v>
      </c>
      <c r="H682" s="11" t="s">
        <v>2038</v>
      </c>
      <c r="I682" s="11" t="s">
        <v>1993</v>
      </c>
      <c r="J682" s="12">
        <v>12.74</v>
      </c>
    </row>
    <row r="683" spans="7:10" hidden="1" x14ac:dyDescent="0.3">
      <c r="G683" s="7" t="s">
        <v>670</v>
      </c>
      <c r="H683" s="8" t="s">
        <v>2042</v>
      </c>
      <c r="I683" s="8" t="s">
        <v>1979</v>
      </c>
      <c r="J683" s="9">
        <v>4.0999999999999996</v>
      </c>
    </row>
    <row r="684" spans="7:10" hidden="1" x14ac:dyDescent="0.3">
      <c r="G684" s="10" t="s">
        <v>671</v>
      </c>
      <c r="H684" s="11" t="s">
        <v>2073</v>
      </c>
      <c r="I684" s="11" t="s">
        <v>2027</v>
      </c>
      <c r="J684" s="12">
        <v>8.5399999999999991</v>
      </c>
    </row>
    <row r="685" spans="7:10" hidden="1" x14ac:dyDescent="0.3">
      <c r="G685" s="7" t="s">
        <v>672</v>
      </c>
      <c r="H685" s="8" t="s">
        <v>2057</v>
      </c>
      <c r="I685" s="8" t="s">
        <v>2023</v>
      </c>
      <c r="J685" s="9">
        <v>7.57</v>
      </c>
    </row>
    <row r="686" spans="7:10" hidden="1" x14ac:dyDescent="0.3">
      <c r="G686" s="10" t="s">
        <v>673</v>
      </c>
      <c r="H686" s="11" t="s">
        <v>2038</v>
      </c>
      <c r="I686" s="11" t="s">
        <v>2029</v>
      </c>
      <c r="J686" s="12">
        <v>31.17</v>
      </c>
    </row>
    <row r="687" spans="7:10" hidden="1" x14ac:dyDescent="0.3">
      <c r="G687" s="7" t="s">
        <v>674</v>
      </c>
      <c r="H687" s="8" t="s">
        <v>1975</v>
      </c>
      <c r="I687" s="8" t="s">
        <v>2030</v>
      </c>
      <c r="J687" s="9">
        <v>9.6300000000000008</v>
      </c>
    </row>
    <row r="688" spans="7:10" hidden="1" x14ac:dyDescent="0.3">
      <c r="G688" s="10" t="s">
        <v>675</v>
      </c>
      <c r="H688" s="11" t="s">
        <v>2038</v>
      </c>
      <c r="I688" s="11" t="s">
        <v>2030</v>
      </c>
      <c r="J688" s="12">
        <v>9.85</v>
      </c>
    </row>
    <row r="689" spans="7:10" hidden="1" x14ac:dyDescent="0.3">
      <c r="G689" s="7" t="s">
        <v>676</v>
      </c>
      <c r="H689" s="8" t="s">
        <v>2034</v>
      </c>
      <c r="I689" s="8" t="s">
        <v>2003</v>
      </c>
      <c r="J689" s="9">
        <v>9.35</v>
      </c>
    </row>
    <row r="690" spans="7:10" hidden="1" x14ac:dyDescent="0.3">
      <c r="G690" s="10" t="s">
        <v>677</v>
      </c>
      <c r="H690" s="11" t="s">
        <v>2038</v>
      </c>
      <c r="I690" s="11" t="s">
        <v>2015</v>
      </c>
      <c r="J690" s="12">
        <v>11.06</v>
      </c>
    </row>
    <row r="691" spans="7:10" hidden="1" x14ac:dyDescent="0.3">
      <c r="G691" s="7" t="s">
        <v>1983</v>
      </c>
      <c r="H691" s="8" t="s">
        <v>2066</v>
      </c>
      <c r="I691" s="8" t="s">
        <v>1979</v>
      </c>
      <c r="J691" s="9">
        <v>2.2599999999999998</v>
      </c>
    </row>
    <row r="692" spans="7:10" hidden="1" x14ac:dyDescent="0.3">
      <c r="G692" s="10" t="s">
        <v>678</v>
      </c>
      <c r="H692" s="11" t="s">
        <v>2042</v>
      </c>
      <c r="I692" s="11" t="s">
        <v>1998</v>
      </c>
      <c r="J692" s="12">
        <v>2.4</v>
      </c>
    </row>
    <row r="693" spans="7:10" hidden="1" x14ac:dyDescent="0.3">
      <c r="G693" s="7" t="s">
        <v>679</v>
      </c>
      <c r="H693" s="8" t="s">
        <v>2034</v>
      </c>
      <c r="I693" s="8" t="s">
        <v>2022</v>
      </c>
      <c r="J693" s="9">
        <v>11.88</v>
      </c>
    </row>
    <row r="694" spans="7:10" hidden="1" x14ac:dyDescent="0.3">
      <c r="G694" s="10" t="s">
        <v>680</v>
      </c>
      <c r="H694" s="11" t="s">
        <v>2052</v>
      </c>
      <c r="I694" s="11" t="s">
        <v>2031</v>
      </c>
      <c r="J694" s="12">
        <v>3.96</v>
      </c>
    </row>
    <row r="695" spans="7:10" hidden="1" x14ac:dyDescent="0.3">
      <c r="G695" s="7" t="s">
        <v>2018</v>
      </c>
      <c r="H695" s="8" t="s">
        <v>2034</v>
      </c>
      <c r="I695" s="8" t="s">
        <v>2017</v>
      </c>
      <c r="J695" s="9">
        <v>8.01</v>
      </c>
    </row>
    <row r="696" spans="7:10" hidden="1" x14ac:dyDescent="0.3">
      <c r="G696" s="10" t="s">
        <v>681</v>
      </c>
      <c r="H696" s="11" t="s">
        <v>2034</v>
      </c>
      <c r="I696" s="11" t="s">
        <v>2003</v>
      </c>
      <c r="J696" s="12">
        <v>5.98</v>
      </c>
    </row>
    <row r="697" spans="7:10" hidden="1" x14ac:dyDescent="0.3">
      <c r="G697" s="7" t="s">
        <v>682</v>
      </c>
      <c r="H697" s="8" t="s">
        <v>2062</v>
      </c>
      <c r="I697" s="8" t="s">
        <v>1979</v>
      </c>
      <c r="J697" s="9">
        <v>2.83</v>
      </c>
    </row>
    <row r="698" spans="7:10" hidden="1" x14ac:dyDescent="0.3">
      <c r="G698" s="10" t="s">
        <v>683</v>
      </c>
      <c r="H698" s="11" t="s">
        <v>2043</v>
      </c>
      <c r="I698" s="11" t="s">
        <v>1979</v>
      </c>
      <c r="J698" s="12">
        <v>5.13</v>
      </c>
    </row>
    <row r="699" spans="7:10" hidden="1" x14ac:dyDescent="0.3">
      <c r="G699" s="7" t="s">
        <v>684</v>
      </c>
      <c r="H699" s="8" t="s">
        <v>2034</v>
      </c>
      <c r="I699" s="8" t="s">
        <v>2001</v>
      </c>
      <c r="J699" s="9">
        <v>11.89</v>
      </c>
    </row>
    <row r="700" spans="7:10" hidden="1" x14ac:dyDescent="0.3">
      <c r="G700" s="10" t="s">
        <v>1984</v>
      </c>
      <c r="H700" s="11" t="s">
        <v>2074</v>
      </c>
      <c r="I700" s="11" t="s">
        <v>1979</v>
      </c>
      <c r="J700" s="12">
        <v>2.71</v>
      </c>
    </row>
    <row r="701" spans="7:10" hidden="1" x14ac:dyDescent="0.3">
      <c r="G701" s="7" t="s">
        <v>685</v>
      </c>
      <c r="H701" s="8" t="s">
        <v>2034</v>
      </c>
      <c r="I701" s="8" t="s">
        <v>2005</v>
      </c>
      <c r="J701" s="9">
        <v>6.35</v>
      </c>
    </row>
    <row r="702" spans="7:10" hidden="1" x14ac:dyDescent="0.3">
      <c r="G702" s="10" t="s">
        <v>686</v>
      </c>
      <c r="H702" s="11" t="s">
        <v>2065</v>
      </c>
      <c r="I702" s="11" t="s">
        <v>2025</v>
      </c>
      <c r="J702" s="12">
        <v>4.0599999999999996</v>
      </c>
    </row>
    <row r="703" spans="7:10" hidden="1" x14ac:dyDescent="0.3">
      <c r="G703" s="7" t="s">
        <v>687</v>
      </c>
      <c r="H703" s="8" t="s">
        <v>2034</v>
      </c>
      <c r="I703" s="8" t="s">
        <v>2017</v>
      </c>
      <c r="J703" s="9">
        <v>5.6</v>
      </c>
    </row>
    <row r="704" spans="7:10" hidden="1" x14ac:dyDescent="0.3">
      <c r="G704" s="10" t="s">
        <v>688</v>
      </c>
      <c r="H704" s="11" t="s">
        <v>2035</v>
      </c>
      <c r="I704" s="11" t="s">
        <v>1993</v>
      </c>
      <c r="J704" s="12">
        <v>6.38</v>
      </c>
    </row>
    <row r="705" spans="7:10" hidden="1" x14ac:dyDescent="0.3">
      <c r="G705" s="7" t="s">
        <v>689</v>
      </c>
      <c r="H705" s="8" t="s">
        <v>2038</v>
      </c>
      <c r="I705" s="8" t="s">
        <v>2030</v>
      </c>
      <c r="J705" s="9">
        <v>19.87</v>
      </c>
    </row>
    <row r="706" spans="7:10" hidden="1" x14ac:dyDescent="0.3">
      <c r="G706" s="10" t="s">
        <v>690</v>
      </c>
      <c r="H706" s="11" t="s">
        <v>2057</v>
      </c>
      <c r="I706" s="11" t="s">
        <v>1987</v>
      </c>
      <c r="J706" s="12">
        <v>8.4</v>
      </c>
    </row>
    <row r="707" spans="7:10" hidden="1" x14ac:dyDescent="0.3">
      <c r="G707" s="7" t="s">
        <v>691</v>
      </c>
      <c r="H707" s="8" t="s">
        <v>2034</v>
      </c>
      <c r="I707" s="8" t="s">
        <v>2003</v>
      </c>
      <c r="J707" s="9">
        <v>7.11</v>
      </c>
    </row>
    <row r="708" spans="7:10" hidden="1" x14ac:dyDescent="0.3">
      <c r="G708" s="10" t="s">
        <v>692</v>
      </c>
      <c r="H708" s="11" t="s">
        <v>2038</v>
      </c>
      <c r="I708" s="11" t="s">
        <v>2031</v>
      </c>
      <c r="J708" s="12">
        <v>9.1</v>
      </c>
    </row>
    <row r="709" spans="7:10" x14ac:dyDescent="0.3">
      <c r="G709" s="7" t="s">
        <v>1150</v>
      </c>
      <c r="H709" s="8" t="s">
        <v>2047</v>
      </c>
      <c r="I709" s="8" t="s">
        <v>2030</v>
      </c>
      <c r="J709" s="9">
        <v>8.23</v>
      </c>
    </row>
    <row r="710" spans="7:10" hidden="1" x14ac:dyDescent="0.3">
      <c r="G710" s="10" t="s">
        <v>694</v>
      </c>
      <c r="H710" s="11" t="s">
        <v>2041</v>
      </c>
      <c r="I710" s="11" t="s">
        <v>1999</v>
      </c>
      <c r="J710" s="12">
        <v>6.27</v>
      </c>
    </row>
    <row r="711" spans="7:10" hidden="1" x14ac:dyDescent="0.3">
      <c r="G711" s="7" t="s">
        <v>695</v>
      </c>
      <c r="H711" s="8" t="s">
        <v>2034</v>
      </c>
      <c r="I711" s="8" t="s">
        <v>2022</v>
      </c>
      <c r="J711" s="9">
        <v>3.52</v>
      </c>
    </row>
    <row r="712" spans="7:10" x14ac:dyDescent="0.3">
      <c r="G712" s="7" t="s">
        <v>527</v>
      </c>
      <c r="H712" s="8" t="s">
        <v>2047</v>
      </c>
      <c r="I712" s="8" t="s">
        <v>1997</v>
      </c>
      <c r="J712" s="9">
        <v>22.25</v>
      </c>
    </row>
    <row r="713" spans="7:10" hidden="1" x14ac:dyDescent="0.3">
      <c r="G713" s="7" t="s">
        <v>697</v>
      </c>
      <c r="H713" s="8" t="s">
        <v>2071</v>
      </c>
      <c r="I713" s="8" t="s">
        <v>1979</v>
      </c>
      <c r="J713" s="9">
        <v>3.17</v>
      </c>
    </row>
    <row r="714" spans="7:10" hidden="1" x14ac:dyDescent="0.3">
      <c r="G714" s="10" t="s">
        <v>698</v>
      </c>
      <c r="H714" s="11" t="s">
        <v>2034</v>
      </c>
      <c r="I714" s="11" t="s">
        <v>2031</v>
      </c>
      <c r="J714" s="12">
        <v>5.41</v>
      </c>
    </row>
    <row r="715" spans="7:10" hidden="1" x14ac:dyDescent="0.3">
      <c r="G715" s="7" t="s">
        <v>699</v>
      </c>
      <c r="H715" s="8" t="s">
        <v>2050</v>
      </c>
      <c r="I715" s="8" t="s">
        <v>2000</v>
      </c>
      <c r="J715" s="9">
        <v>24.38</v>
      </c>
    </row>
    <row r="716" spans="7:10" hidden="1" x14ac:dyDescent="0.3">
      <c r="G716" s="10" t="s">
        <v>700</v>
      </c>
      <c r="H716" s="11" t="s">
        <v>2034</v>
      </c>
      <c r="I716" s="11" t="s">
        <v>1987</v>
      </c>
      <c r="J716" s="12">
        <v>8.6199999999999992</v>
      </c>
    </row>
    <row r="717" spans="7:10" hidden="1" x14ac:dyDescent="0.3">
      <c r="G717" s="7" t="s">
        <v>701</v>
      </c>
      <c r="H717" s="8" t="s">
        <v>2040</v>
      </c>
      <c r="I717" s="8" t="s">
        <v>1993</v>
      </c>
      <c r="J717" s="9">
        <v>8.3800000000000008</v>
      </c>
    </row>
    <row r="718" spans="7:10" hidden="1" x14ac:dyDescent="0.3">
      <c r="G718" s="10" t="s">
        <v>702</v>
      </c>
      <c r="H718" s="11" t="s">
        <v>2037</v>
      </c>
      <c r="I718" s="11" t="s">
        <v>2025</v>
      </c>
      <c r="J718" s="12">
        <v>8.4700000000000006</v>
      </c>
    </row>
    <row r="719" spans="7:10" hidden="1" x14ac:dyDescent="0.3">
      <c r="G719" s="7" t="s">
        <v>703</v>
      </c>
      <c r="H719" s="8" t="s">
        <v>2034</v>
      </c>
      <c r="I719" s="8" t="s">
        <v>2026</v>
      </c>
      <c r="J719" s="9">
        <v>19.760000000000002</v>
      </c>
    </row>
    <row r="720" spans="7:10" hidden="1" x14ac:dyDescent="0.3">
      <c r="G720" s="10" t="s">
        <v>704</v>
      </c>
      <c r="H720" s="11" t="s">
        <v>2039</v>
      </c>
      <c r="I720" s="11" t="s">
        <v>1978</v>
      </c>
      <c r="J720" s="12">
        <v>13.96</v>
      </c>
    </row>
    <row r="721" spans="7:10" hidden="1" x14ac:dyDescent="0.3">
      <c r="G721" s="7" t="s">
        <v>705</v>
      </c>
      <c r="H721" s="8" t="s">
        <v>2057</v>
      </c>
      <c r="I721" s="8" t="s">
        <v>1993</v>
      </c>
      <c r="J721" s="9">
        <v>18.25</v>
      </c>
    </row>
    <row r="722" spans="7:10" hidden="1" x14ac:dyDescent="0.3">
      <c r="G722" s="10" t="s">
        <v>706</v>
      </c>
      <c r="H722" s="11" t="s">
        <v>2035</v>
      </c>
      <c r="I722" s="11" t="s">
        <v>1988</v>
      </c>
      <c r="J722" s="12">
        <v>9.99</v>
      </c>
    </row>
    <row r="723" spans="7:10" hidden="1" x14ac:dyDescent="0.3">
      <c r="G723" s="7" t="s">
        <v>707</v>
      </c>
      <c r="H723" s="8" t="s">
        <v>2065</v>
      </c>
      <c r="I723" s="8" t="s">
        <v>1998</v>
      </c>
      <c r="J723" s="9">
        <v>2.67</v>
      </c>
    </row>
    <row r="724" spans="7:10" hidden="1" x14ac:dyDescent="0.3">
      <c r="G724" s="10" t="s">
        <v>708</v>
      </c>
      <c r="H724" s="11" t="s">
        <v>2034</v>
      </c>
      <c r="I724" s="11" t="s">
        <v>2015</v>
      </c>
      <c r="J724" s="12">
        <v>4.41</v>
      </c>
    </row>
    <row r="725" spans="7:10" hidden="1" x14ac:dyDescent="0.3">
      <c r="G725" s="7" t="s">
        <v>709</v>
      </c>
      <c r="H725" s="8" t="s">
        <v>2075</v>
      </c>
      <c r="I725" s="8" t="s">
        <v>2022</v>
      </c>
      <c r="J725" s="9">
        <v>10.15</v>
      </c>
    </row>
    <row r="726" spans="7:10" hidden="1" x14ac:dyDescent="0.3">
      <c r="G726" s="10" t="s">
        <v>710</v>
      </c>
      <c r="H726" s="11" t="s">
        <v>2076</v>
      </c>
      <c r="I726" s="11" t="s">
        <v>1999</v>
      </c>
      <c r="J726" s="12">
        <v>4.9800000000000004</v>
      </c>
    </row>
    <row r="727" spans="7:10" hidden="1" x14ac:dyDescent="0.3">
      <c r="G727" s="7" t="s">
        <v>711</v>
      </c>
      <c r="H727" s="8" t="s">
        <v>2036</v>
      </c>
      <c r="I727" s="8" t="s">
        <v>1988</v>
      </c>
      <c r="J727" s="9">
        <v>10.52</v>
      </c>
    </row>
    <row r="728" spans="7:10" hidden="1" x14ac:dyDescent="0.3">
      <c r="G728" s="10" t="s">
        <v>712</v>
      </c>
      <c r="H728" s="11" t="s">
        <v>2034</v>
      </c>
      <c r="I728" s="11" t="s">
        <v>2022</v>
      </c>
      <c r="J728" s="12">
        <v>3.62</v>
      </c>
    </row>
    <row r="729" spans="7:10" hidden="1" x14ac:dyDescent="0.3">
      <c r="G729" s="7" t="s">
        <v>713</v>
      </c>
      <c r="H729" s="8" t="s">
        <v>2076</v>
      </c>
      <c r="I729" s="8" t="s">
        <v>1979</v>
      </c>
      <c r="J729" s="9">
        <v>4.17</v>
      </c>
    </row>
    <row r="730" spans="7:10" hidden="1" x14ac:dyDescent="0.3">
      <c r="G730" s="10" t="s">
        <v>714</v>
      </c>
      <c r="H730" s="11" t="s">
        <v>2070</v>
      </c>
      <c r="I730" s="11" t="s">
        <v>1979</v>
      </c>
      <c r="J730" s="12">
        <v>2.73</v>
      </c>
    </row>
    <row r="731" spans="7:10" hidden="1" x14ac:dyDescent="0.3">
      <c r="G731" s="7" t="s">
        <v>715</v>
      </c>
      <c r="H731" s="8" t="s">
        <v>2040</v>
      </c>
      <c r="I731" s="8" t="s">
        <v>1979</v>
      </c>
      <c r="J731" s="9">
        <v>2.93</v>
      </c>
    </row>
    <row r="732" spans="7:10" hidden="1" x14ac:dyDescent="0.3">
      <c r="G732" s="10" t="s">
        <v>716</v>
      </c>
      <c r="H732" s="11" t="s">
        <v>2038</v>
      </c>
      <c r="I732" s="11" t="s">
        <v>2022</v>
      </c>
      <c r="J732" s="12">
        <v>4.47</v>
      </c>
    </row>
    <row r="733" spans="7:10" hidden="1" x14ac:dyDescent="0.3">
      <c r="G733" s="7" t="s">
        <v>717</v>
      </c>
      <c r="H733" s="8" t="s">
        <v>2034</v>
      </c>
      <c r="I733" s="8" t="s">
        <v>2002</v>
      </c>
      <c r="J733" s="9">
        <v>5.54</v>
      </c>
    </row>
    <row r="734" spans="7:10" hidden="1" x14ac:dyDescent="0.3">
      <c r="G734" s="10" t="s">
        <v>718</v>
      </c>
      <c r="H734" s="11" t="s">
        <v>2035</v>
      </c>
      <c r="I734" s="11" t="s">
        <v>2000</v>
      </c>
      <c r="J734" s="12">
        <v>29.13</v>
      </c>
    </row>
    <row r="735" spans="7:10" hidden="1" x14ac:dyDescent="0.3">
      <c r="G735" s="7" t="s">
        <v>719</v>
      </c>
      <c r="H735" s="8" t="s">
        <v>2034</v>
      </c>
      <c r="I735" s="8" t="s">
        <v>2002</v>
      </c>
      <c r="J735" s="9">
        <v>16.27</v>
      </c>
    </row>
    <row r="736" spans="7:10" hidden="1" x14ac:dyDescent="0.3">
      <c r="G736" s="10" t="s">
        <v>720</v>
      </c>
      <c r="H736" s="11" t="s">
        <v>2034</v>
      </c>
      <c r="I736" s="11" t="s">
        <v>1992</v>
      </c>
      <c r="J736" s="12">
        <v>10.039999999999999</v>
      </c>
    </row>
    <row r="737" spans="7:10" hidden="1" x14ac:dyDescent="0.3">
      <c r="G737" s="7" t="s">
        <v>721</v>
      </c>
      <c r="H737" s="8" t="s">
        <v>2051</v>
      </c>
      <c r="I737" s="8" t="s">
        <v>2005</v>
      </c>
      <c r="J737" s="9">
        <v>11.29</v>
      </c>
    </row>
    <row r="738" spans="7:10" hidden="1" x14ac:dyDescent="0.3">
      <c r="G738" s="10" t="s">
        <v>722</v>
      </c>
      <c r="H738" s="11" t="s">
        <v>2038</v>
      </c>
      <c r="I738" s="11" t="s">
        <v>1987</v>
      </c>
      <c r="J738" s="12">
        <v>13.81</v>
      </c>
    </row>
    <row r="739" spans="7:10" hidden="1" x14ac:dyDescent="0.3">
      <c r="G739" s="7" t="s">
        <v>723</v>
      </c>
      <c r="H739" s="8" t="s">
        <v>2038</v>
      </c>
      <c r="I739" s="8" t="s">
        <v>1979</v>
      </c>
      <c r="J739" s="9">
        <v>2.25</v>
      </c>
    </row>
    <row r="740" spans="7:10" hidden="1" x14ac:dyDescent="0.3">
      <c r="G740" s="10" t="s">
        <v>724</v>
      </c>
      <c r="H740" s="11" t="s">
        <v>2039</v>
      </c>
      <c r="I740" s="11" t="s">
        <v>1987</v>
      </c>
      <c r="J740" s="12">
        <v>17.7</v>
      </c>
    </row>
    <row r="741" spans="7:10" hidden="1" x14ac:dyDescent="0.3">
      <c r="G741" s="7" t="s">
        <v>725</v>
      </c>
      <c r="H741" s="8" t="s">
        <v>2034</v>
      </c>
      <c r="I741" s="8" t="s">
        <v>2023</v>
      </c>
      <c r="J741" s="9">
        <v>19.25</v>
      </c>
    </row>
    <row r="742" spans="7:10" hidden="1" x14ac:dyDescent="0.3">
      <c r="G742" s="10" t="s">
        <v>726</v>
      </c>
      <c r="H742" s="11" t="s">
        <v>2039</v>
      </c>
      <c r="I742" s="11" t="s">
        <v>2030</v>
      </c>
      <c r="J742" s="12">
        <v>3.24</v>
      </c>
    </row>
    <row r="743" spans="7:10" hidden="1" x14ac:dyDescent="0.3">
      <c r="G743" s="7" t="s">
        <v>727</v>
      </c>
      <c r="H743" s="8" t="s">
        <v>2046</v>
      </c>
      <c r="I743" s="8" t="s">
        <v>2015</v>
      </c>
      <c r="J743" s="9">
        <v>6.89</v>
      </c>
    </row>
    <row r="744" spans="7:10" hidden="1" x14ac:dyDescent="0.3">
      <c r="G744" s="10" t="s">
        <v>728</v>
      </c>
      <c r="H744" s="11" t="s">
        <v>2043</v>
      </c>
      <c r="I744" s="11" t="s">
        <v>2022</v>
      </c>
      <c r="J744" s="12">
        <v>10.47</v>
      </c>
    </row>
    <row r="745" spans="7:10" hidden="1" x14ac:dyDescent="0.3">
      <c r="G745" s="7" t="s">
        <v>729</v>
      </c>
      <c r="H745" s="8" t="s">
        <v>2040</v>
      </c>
      <c r="I745" s="8" t="s">
        <v>1993</v>
      </c>
      <c r="J745" s="9">
        <v>5.2</v>
      </c>
    </row>
    <row r="746" spans="7:10" hidden="1" x14ac:dyDescent="0.3">
      <c r="G746" s="10" t="s">
        <v>730</v>
      </c>
      <c r="H746" s="11" t="s">
        <v>2034</v>
      </c>
      <c r="I746" s="11" t="s">
        <v>2004</v>
      </c>
      <c r="J746" s="12">
        <v>8.15</v>
      </c>
    </row>
    <row r="747" spans="7:10" hidden="1" x14ac:dyDescent="0.3">
      <c r="G747" s="7" t="s">
        <v>731</v>
      </c>
      <c r="H747" s="8" t="s">
        <v>2034</v>
      </c>
      <c r="I747" s="8" t="s">
        <v>2023</v>
      </c>
      <c r="J747" s="9">
        <v>9.6999999999999993</v>
      </c>
    </row>
    <row r="748" spans="7:10" hidden="1" x14ac:dyDescent="0.3">
      <c r="G748" s="10" t="s">
        <v>732</v>
      </c>
      <c r="H748" s="11" t="s">
        <v>2077</v>
      </c>
      <c r="I748" s="11" t="s">
        <v>2003</v>
      </c>
      <c r="J748" s="12">
        <v>4.9000000000000004</v>
      </c>
    </row>
    <row r="749" spans="7:10" hidden="1" x14ac:dyDescent="0.3">
      <c r="G749" s="7" t="s">
        <v>733</v>
      </c>
      <c r="H749" s="8" t="s">
        <v>2038</v>
      </c>
      <c r="I749" s="8" t="s">
        <v>1999</v>
      </c>
      <c r="J749" s="9">
        <v>5.48</v>
      </c>
    </row>
    <row r="750" spans="7:10" hidden="1" x14ac:dyDescent="0.3">
      <c r="G750" s="10" t="s">
        <v>734</v>
      </c>
      <c r="H750" s="11" t="s">
        <v>2038</v>
      </c>
      <c r="I750" s="11" t="s">
        <v>1997</v>
      </c>
      <c r="J750" s="12">
        <v>11.65</v>
      </c>
    </row>
    <row r="751" spans="7:10" hidden="1" x14ac:dyDescent="0.3">
      <c r="G751" s="7" t="s">
        <v>735</v>
      </c>
      <c r="H751" s="8" t="s">
        <v>2034</v>
      </c>
      <c r="I751" s="8" t="s">
        <v>1987</v>
      </c>
      <c r="J751" s="9">
        <v>10.26</v>
      </c>
    </row>
    <row r="752" spans="7:10" hidden="1" x14ac:dyDescent="0.3">
      <c r="G752" s="10" t="s">
        <v>736</v>
      </c>
      <c r="H752" s="11" t="s">
        <v>2039</v>
      </c>
      <c r="I752" s="11" t="s">
        <v>2001</v>
      </c>
      <c r="J752" s="12">
        <v>4.45</v>
      </c>
    </row>
    <row r="753" spans="7:10" hidden="1" x14ac:dyDescent="0.3">
      <c r="G753" s="7" t="s">
        <v>737</v>
      </c>
      <c r="H753" s="8" t="s">
        <v>2065</v>
      </c>
      <c r="I753" s="8" t="s">
        <v>2027</v>
      </c>
      <c r="J753" s="9">
        <v>6.62</v>
      </c>
    </row>
    <row r="754" spans="7:10" hidden="1" x14ac:dyDescent="0.3">
      <c r="G754" s="10" t="s">
        <v>738</v>
      </c>
      <c r="H754" s="11" t="s">
        <v>2034</v>
      </c>
      <c r="I754" s="11" t="s">
        <v>1997</v>
      </c>
      <c r="J754" s="12">
        <v>5.67</v>
      </c>
    </row>
    <row r="755" spans="7:10" hidden="1" x14ac:dyDescent="0.3">
      <c r="G755" s="7" t="s">
        <v>739</v>
      </c>
      <c r="H755" s="8" t="s">
        <v>2034</v>
      </c>
      <c r="I755" s="8" t="s">
        <v>2031</v>
      </c>
      <c r="J755" s="9">
        <v>7.66</v>
      </c>
    </row>
    <row r="756" spans="7:10" hidden="1" x14ac:dyDescent="0.3">
      <c r="G756" s="10" t="s">
        <v>740</v>
      </c>
      <c r="H756" s="11" t="s">
        <v>2034</v>
      </c>
      <c r="I756" s="11" t="s">
        <v>1979</v>
      </c>
      <c r="J756" s="12">
        <v>3.42</v>
      </c>
    </row>
    <row r="757" spans="7:10" hidden="1" x14ac:dyDescent="0.3">
      <c r="G757" s="7" t="s">
        <v>741</v>
      </c>
      <c r="H757" s="8" t="s">
        <v>2055</v>
      </c>
      <c r="I757" s="8" t="s">
        <v>1979</v>
      </c>
      <c r="J757" s="9">
        <v>1.1000000000000001</v>
      </c>
    </row>
    <row r="758" spans="7:10" hidden="1" x14ac:dyDescent="0.3">
      <c r="G758" s="10" t="s">
        <v>742</v>
      </c>
      <c r="H758" s="11" t="s">
        <v>2053</v>
      </c>
      <c r="I758" s="11" t="s">
        <v>2015</v>
      </c>
      <c r="J758" s="12">
        <v>15.59</v>
      </c>
    </row>
    <row r="759" spans="7:10" hidden="1" x14ac:dyDescent="0.3">
      <c r="G759" s="7" t="s">
        <v>743</v>
      </c>
      <c r="H759" s="8" t="s">
        <v>2038</v>
      </c>
      <c r="I759" s="8" t="s">
        <v>1979</v>
      </c>
      <c r="J759" s="9">
        <v>2.06</v>
      </c>
    </row>
    <row r="760" spans="7:10" x14ac:dyDescent="0.3">
      <c r="G760" s="7" t="s">
        <v>449</v>
      </c>
      <c r="H760" s="8" t="s">
        <v>2047</v>
      </c>
      <c r="I760" s="8" t="s">
        <v>2000</v>
      </c>
      <c r="J760" s="9">
        <v>26.97</v>
      </c>
    </row>
    <row r="761" spans="7:10" hidden="1" x14ac:dyDescent="0.3">
      <c r="G761" s="7" t="s">
        <v>745</v>
      </c>
      <c r="H761" s="8" t="s">
        <v>2034</v>
      </c>
      <c r="I761" s="8" t="s">
        <v>2001</v>
      </c>
      <c r="J761" s="9">
        <v>26.01</v>
      </c>
    </row>
    <row r="762" spans="7:10" hidden="1" x14ac:dyDescent="0.3">
      <c r="G762" s="10" t="s">
        <v>746</v>
      </c>
      <c r="H762" s="11" t="s">
        <v>2034</v>
      </c>
      <c r="I762" s="11" t="s">
        <v>2022</v>
      </c>
      <c r="J762" s="12">
        <v>9.9499999999999993</v>
      </c>
    </row>
    <row r="763" spans="7:10" hidden="1" x14ac:dyDescent="0.3">
      <c r="G763" s="7" t="s">
        <v>747</v>
      </c>
      <c r="H763" s="8" t="s">
        <v>2034</v>
      </c>
      <c r="I763" s="8" t="s">
        <v>1986</v>
      </c>
      <c r="J763" s="9">
        <v>5.49</v>
      </c>
    </row>
    <row r="764" spans="7:10" hidden="1" x14ac:dyDescent="0.3">
      <c r="G764" s="10" t="s">
        <v>748</v>
      </c>
      <c r="H764" s="11" t="s">
        <v>2034</v>
      </c>
      <c r="I764" s="11" t="s">
        <v>1993</v>
      </c>
      <c r="J764" s="12">
        <v>9.44</v>
      </c>
    </row>
    <row r="765" spans="7:10" hidden="1" x14ac:dyDescent="0.3">
      <c r="G765" s="7" t="s">
        <v>749</v>
      </c>
      <c r="H765" s="8" t="s">
        <v>2034</v>
      </c>
      <c r="I765" s="8" t="s">
        <v>2028</v>
      </c>
      <c r="J765" s="9">
        <v>13.9</v>
      </c>
    </row>
    <row r="766" spans="7:10" hidden="1" x14ac:dyDescent="0.3">
      <c r="G766" s="10" t="s">
        <v>750</v>
      </c>
      <c r="H766" s="11" t="s">
        <v>2073</v>
      </c>
      <c r="I766" s="11" t="s">
        <v>2022</v>
      </c>
      <c r="J766" s="12">
        <v>2.89</v>
      </c>
    </row>
    <row r="767" spans="7:10" hidden="1" x14ac:dyDescent="0.3">
      <c r="G767" s="7" t="s">
        <v>751</v>
      </c>
      <c r="H767" s="8" t="s">
        <v>2038</v>
      </c>
      <c r="I767" s="8" t="s">
        <v>1993</v>
      </c>
      <c r="J767" s="9">
        <v>13.24</v>
      </c>
    </row>
    <row r="768" spans="7:10" hidden="1" x14ac:dyDescent="0.3">
      <c r="G768" s="10" t="s">
        <v>752</v>
      </c>
      <c r="H768" s="11" t="s">
        <v>2061</v>
      </c>
      <c r="I768" s="11" t="s">
        <v>2015</v>
      </c>
      <c r="J768" s="12">
        <v>6.83</v>
      </c>
    </row>
    <row r="769" spans="7:10" hidden="1" x14ac:dyDescent="0.3">
      <c r="G769" s="7" t="s">
        <v>753</v>
      </c>
      <c r="H769" s="8" t="s">
        <v>2038</v>
      </c>
      <c r="I769" s="8" t="s">
        <v>1998</v>
      </c>
      <c r="J769" s="9">
        <v>3.36</v>
      </c>
    </row>
    <row r="770" spans="7:10" hidden="1" x14ac:dyDescent="0.3">
      <c r="G770" s="10" t="s">
        <v>754</v>
      </c>
      <c r="H770" s="11" t="s">
        <v>2038</v>
      </c>
      <c r="I770" s="11" t="s">
        <v>2030</v>
      </c>
      <c r="J770" s="12">
        <v>16.36</v>
      </c>
    </row>
    <row r="771" spans="7:10" hidden="1" x14ac:dyDescent="0.3">
      <c r="G771" s="7" t="s">
        <v>755</v>
      </c>
      <c r="H771" s="8" t="s">
        <v>2034</v>
      </c>
      <c r="I771" s="8" t="s">
        <v>2005</v>
      </c>
      <c r="J771" s="9">
        <v>5</v>
      </c>
    </row>
    <row r="772" spans="7:10" hidden="1" x14ac:dyDescent="0.3">
      <c r="G772" s="10" t="s">
        <v>756</v>
      </c>
      <c r="H772" s="11" t="s">
        <v>2038</v>
      </c>
      <c r="I772" s="11" t="s">
        <v>2022</v>
      </c>
      <c r="J772" s="12">
        <v>19.21</v>
      </c>
    </row>
    <row r="773" spans="7:10" hidden="1" x14ac:dyDescent="0.3">
      <c r="G773" s="7" t="s">
        <v>757</v>
      </c>
      <c r="H773" s="8" t="s">
        <v>2035</v>
      </c>
      <c r="I773" s="8" t="s">
        <v>2005</v>
      </c>
      <c r="J773" s="9">
        <v>17.170000000000002</v>
      </c>
    </row>
    <row r="774" spans="7:10" hidden="1" x14ac:dyDescent="0.3">
      <c r="G774" s="10" t="s">
        <v>758</v>
      </c>
      <c r="H774" s="11" t="s">
        <v>2046</v>
      </c>
      <c r="I774" s="11" t="s">
        <v>2015</v>
      </c>
      <c r="J774" s="12">
        <v>4.7</v>
      </c>
    </row>
    <row r="775" spans="7:10" hidden="1" x14ac:dyDescent="0.3">
      <c r="G775" s="7" t="s">
        <v>759</v>
      </c>
      <c r="H775" s="8" t="s">
        <v>2065</v>
      </c>
      <c r="I775" s="8" t="s">
        <v>1998</v>
      </c>
      <c r="J775" s="9">
        <v>3.33</v>
      </c>
    </row>
    <row r="776" spans="7:10" hidden="1" x14ac:dyDescent="0.3">
      <c r="G776" s="10" t="s">
        <v>760</v>
      </c>
      <c r="H776" s="11" t="s">
        <v>2074</v>
      </c>
      <c r="I776" s="11" t="s">
        <v>2031</v>
      </c>
      <c r="J776" s="12">
        <v>5.03</v>
      </c>
    </row>
    <row r="777" spans="7:10" hidden="1" x14ac:dyDescent="0.3">
      <c r="G777" s="7" t="s">
        <v>761</v>
      </c>
      <c r="H777" s="8" t="s">
        <v>2040</v>
      </c>
      <c r="I777" s="8" t="s">
        <v>2005</v>
      </c>
      <c r="J777" s="9">
        <v>8.2899999999999991</v>
      </c>
    </row>
    <row r="778" spans="7:10" hidden="1" x14ac:dyDescent="0.3">
      <c r="G778" s="10" t="s">
        <v>762</v>
      </c>
      <c r="H778" s="11" t="s">
        <v>2056</v>
      </c>
      <c r="I778" s="11" t="s">
        <v>2022</v>
      </c>
      <c r="J778" s="12">
        <v>4.49</v>
      </c>
    </row>
    <row r="779" spans="7:10" hidden="1" x14ac:dyDescent="0.3">
      <c r="G779" s="7" t="s">
        <v>763</v>
      </c>
      <c r="H779" s="8" t="s">
        <v>2034</v>
      </c>
      <c r="I779" s="8" t="s">
        <v>1997</v>
      </c>
      <c r="J779" s="9">
        <v>14.32</v>
      </c>
    </row>
    <row r="780" spans="7:10" hidden="1" x14ac:dyDescent="0.3">
      <c r="G780" s="10" t="s">
        <v>764</v>
      </c>
      <c r="H780" s="11" t="s">
        <v>2038</v>
      </c>
      <c r="I780" s="11" t="s">
        <v>2026</v>
      </c>
      <c r="J780" s="12">
        <v>7.81</v>
      </c>
    </row>
    <row r="781" spans="7:10" hidden="1" x14ac:dyDescent="0.3">
      <c r="G781" s="7" t="s">
        <v>765</v>
      </c>
      <c r="H781" s="8" t="s">
        <v>2060</v>
      </c>
      <c r="I781" s="8" t="s">
        <v>1992</v>
      </c>
      <c r="J781" s="9">
        <v>7.36</v>
      </c>
    </row>
    <row r="782" spans="7:10" hidden="1" x14ac:dyDescent="0.3">
      <c r="G782" s="10" t="s">
        <v>766</v>
      </c>
      <c r="H782" s="11" t="s">
        <v>2038</v>
      </c>
      <c r="I782" s="11" t="s">
        <v>1998</v>
      </c>
      <c r="J782" s="12">
        <v>3.45</v>
      </c>
    </row>
    <row r="783" spans="7:10" hidden="1" x14ac:dyDescent="0.3">
      <c r="G783" s="7" t="s">
        <v>2010</v>
      </c>
      <c r="H783" s="8" t="s">
        <v>1975</v>
      </c>
      <c r="I783" s="8" t="s">
        <v>2005</v>
      </c>
      <c r="J783" s="9">
        <v>5.35</v>
      </c>
    </row>
    <row r="784" spans="7:10" hidden="1" x14ac:dyDescent="0.3">
      <c r="G784" s="10" t="s">
        <v>767</v>
      </c>
      <c r="H784" s="11" t="s">
        <v>2046</v>
      </c>
      <c r="I784" s="11" t="s">
        <v>2022</v>
      </c>
      <c r="J784" s="12">
        <v>4.7300000000000004</v>
      </c>
    </row>
    <row r="785" spans="7:10" hidden="1" x14ac:dyDescent="0.3">
      <c r="G785" s="7" t="s">
        <v>768</v>
      </c>
      <c r="H785" s="8" t="s">
        <v>2034</v>
      </c>
      <c r="I785" s="8" t="s">
        <v>2005</v>
      </c>
      <c r="J785" s="9">
        <v>3.77</v>
      </c>
    </row>
    <row r="786" spans="7:10" hidden="1" x14ac:dyDescent="0.3">
      <c r="G786" s="10" t="s">
        <v>769</v>
      </c>
      <c r="H786" s="11" t="s">
        <v>2038</v>
      </c>
      <c r="I786" s="11" t="s">
        <v>1997</v>
      </c>
      <c r="J786" s="12">
        <v>19.8</v>
      </c>
    </row>
    <row r="787" spans="7:10" hidden="1" x14ac:dyDescent="0.3">
      <c r="G787" s="7" t="s">
        <v>770</v>
      </c>
      <c r="H787" s="8" t="s">
        <v>2038</v>
      </c>
      <c r="I787" s="8" t="s">
        <v>1986</v>
      </c>
      <c r="J787" s="9">
        <v>5.1100000000000003</v>
      </c>
    </row>
    <row r="788" spans="7:10" hidden="1" x14ac:dyDescent="0.3">
      <c r="G788" s="10" t="s">
        <v>771</v>
      </c>
      <c r="H788" s="11" t="s">
        <v>2034</v>
      </c>
      <c r="I788" s="11" t="s">
        <v>1979</v>
      </c>
      <c r="J788" s="12">
        <v>3.45</v>
      </c>
    </row>
    <row r="789" spans="7:10" hidden="1" x14ac:dyDescent="0.3">
      <c r="G789" s="7" t="s">
        <v>772</v>
      </c>
      <c r="H789" s="8" t="s">
        <v>2042</v>
      </c>
      <c r="I789" s="8" t="s">
        <v>2031</v>
      </c>
      <c r="J789" s="9">
        <v>7.57</v>
      </c>
    </row>
    <row r="790" spans="7:10" hidden="1" x14ac:dyDescent="0.3">
      <c r="G790" s="10" t="s">
        <v>773</v>
      </c>
      <c r="H790" s="11" t="s">
        <v>2038</v>
      </c>
      <c r="I790" s="11" t="s">
        <v>2030</v>
      </c>
      <c r="J790" s="12">
        <v>12.06</v>
      </c>
    </row>
    <row r="791" spans="7:10" hidden="1" x14ac:dyDescent="0.3">
      <c r="G791" s="7" t="s">
        <v>774</v>
      </c>
      <c r="H791" s="8" t="s">
        <v>2035</v>
      </c>
      <c r="I791" s="8" t="s">
        <v>2017</v>
      </c>
      <c r="J791" s="9">
        <v>7.25</v>
      </c>
    </row>
    <row r="792" spans="7:10" hidden="1" x14ac:dyDescent="0.3">
      <c r="G792" s="10" t="s">
        <v>775</v>
      </c>
      <c r="H792" s="11" t="s">
        <v>1977</v>
      </c>
      <c r="I792" s="11" t="s">
        <v>1979</v>
      </c>
      <c r="J792" s="12">
        <v>3.24</v>
      </c>
    </row>
    <row r="793" spans="7:10" hidden="1" x14ac:dyDescent="0.3">
      <c r="G793" s="7" t="s">
        <v>776</v>
      </c>
      <c r="H793" s="8" t="s">
        <v>2042</v>
      </c>
      <c r="I793" s="8" t="s">
        <v>1979</v>
      </c>
      <c r="J793" s="9">
        <v>5.98</v>
      </c>
    </row>
    <row r="794" spans="7:10" hidden="1" x14ac:dyDescent="0.3">
      <c r="G794" s="10" t="s">
        <v>777</v>
      </c>
      <c r="H794" s="11" t="s">
        <v>2038</v>
      </c>
      <c r="I794" s="11" t="s">
        <v>1997</v>
      </c>
      <c r="J794" s="12">
        <v>13.93</v>
      </c>
    </row>
    <row r="795" spans="7:10" hidden="1" x14ac:dyDescent="0.3">
      <c r="G795" s="7" t="s">
        <v>778</v>
      </c>
      <c r="H795" s="8" t="s">
        <v>2065</v>
      </c>
      <c r="I795" s="8" t="s">
        <v>1988</v>
      </c>
      <c r="J795" s="9">
        <v>4.5999999999999996</v>
      </c>
    </row>
    <row r="796" spans="7:10" hidden="1" x14ac:dyDescent="0.3">
      <c r="G796" s="10" t="s">
        <v>779</v>
      </c>
      <c r="H796" s="11" t="s">
        <v>2038</v>
      </c>
      <c r="I796" s="11" t="s">
        <v>2001</v>
      </c>
      <c r="J796" s="12">
        <v>10.01</v>
      </c>
    </row>
    <row r="797" spans="7:10" hidden="1" x14ac:dyDescent="0.3">
      <c r="G797" s="7" t="s">
        <v>780</v>
      </c>
      <c r="H797" s="8" t="s">
        <v>2076</v>
      </c>
      <c r="I797" s="8" t="s">
        <v>1979</v>
      </c>
      <c r="J797" s="9">
        <v>3.85</v>
      </c>
    </row>
    <row r="798" spans="7:10" hidden="1" x14ac:dyDescent="0.3">
      <c r="G798" s="10" t="s">
        <v>2019</v>
      </c>
      <c r="H798" s="11" t="s">
        <v>2042</v>
      </c>
      <c r="I798" s="11" t="s">
        <v>2017</v>
      </c>
      <c r="J798" s="12">
        <v>4.5999999999999996</v>
      </c>
    </row>
    <row r="799" spans="7:10" hidden="1" x14ac:dyDescent="0.3">
      <c r="G799" s="7" t="s">
        <v>781</v>
      </c>
      <c r="H799" s="8" t="s">
        <v>2045</v>
      </c>
      <c r="I799" s="8" t="s">
        <v>1979</v>
      </c>
      <c r="J799" s="9">
        <v>2.74</v>
      </c>
    </row>
    <row r="800" spans="7:10" hidden="1" x14ac:dyDescent="0.3">
      <c r="G800" s="10" t="s">
        <v>782</v>
      </c>
      <c r="H800" s="11" t="s">
        <v>2034</v>
      </c>
      <c r="I800" s="11" t="s">
        <v>2031</v>
      </c>
      <c r="J800" s="12">
        <v>7.89</v>
      </c>
    </row>
    <row r="801" spans="7:10" hidden="1" x14ac:dyDescent="0.3">
      <c r="G801" s="7" t="s">
        <v>783</v>
      </c>
      <c r="H801" s="8" t="s">
        <v>2038</v>
      </c>
      <c r="I801" s="8" t="s">
        <v>1993</v>
      </c>
      <c r="J801" s="9">
        <v>13.11</v>
      </c>
    </row>
    <row r="802" spans="7:10" hidden="1" x14ac:dyDescent="0.3">
      <c r="G802" s="10" t="s">
        <v>784</v>
      </c>
      <c r="H802" s="11" t="s">
        <v>2057</v>
      </c>
      <c r="I802" s="11" t="s">
        <v>1997</v>
      </c>
      <c r="J802" s="12">
        <v>16.27</v>
      </c>
    </row>
    <row r="803" spans="7:10" hidden="1" x14ac:dyDescent="0.3">
      <c r="G803" s="7" t="s">
        <v>785</v>
      </c>
      <c r="H803" s="8" t="s">
        <v>2053</v>
      </c>
      <c r="I803" s="8" t="s">
        <v>2022</v>
      </c>
      <c r="J803" s="9">
        <v>11.79</v>
      </c>
    </row>
    <row r="804" spans="7:10" hidden="1" x14ac:dyDescent="0.3">
      <c r="G804" s="10" t="s">
        <v>786</v>
      </c>
      <c r="H804" s="11" t="s">
        <v>2075</v>
      </c>
      <c r="I804" s="11" t="s">
        <v>1979</v>
      </c>
      <c r="J804" s="12">
        <v>2.61</v>
      </c>
    </row>
    <row r="805" spans="7:10" hidden="1" x14ac:dyDescent="0.3">
      <c r="G805" s="7" t="s">
        <v>787</v>
      </c>
      <c r="H805" s="8" t="s">
        <v>2052</v>
      </c>
      <c r="I805" s="8" t="s">
        <v>1998</v>
      </c>
      <c r="J805" s="9">
        <v>2.36</v>
      </c>
    </row>
    <row r="806" spans="7:10" hidden="1" x14ac:dyDescent="0.3">
      <c r="G806" s="10" t="s">
        <v>788</v>
      </c>
      <c r="H806" s="11" t="s">
        <v>2051</v>
      </c>
      <c r="I806" s="11" t="s">
        <v>2022</v>
      </c>
      <c r="J806" s="12">
        <v>4.33</v>
      </c>
    </row>
    <row r="807" spans="7:10" x14ac:dyDescent="0.3">
      <c r="G807" s="7" t="s">
        <v>1402</v>
      </c>
      <c r="H807" s="8" t="s">
        <v>2047</v>
      </c>
      <c r="I807" s="8" t="s">
        <v>2000</v>
      </c>
      <c r="J807" s="9">
        <v>8.1199999999999992</v>
      </c>
    </row>
    <row r="808" spans="7:10" hidden="1" x14ac:dyDescent="0.3">
      <c r="G808" s="10" t="s">
        <v>790</v>
      </c>
      <c r="H808" s="11" t="s">
        <v>2070</v>
      </c>
      <c r="I808" s="11" t="s">
        <v>2028</v>
      </c>
      <c r="J808" s="12">
        <v>7.03</v>
      </c>
    </row>
    <row r="809" spans="7:10" hidden="1" x14ac:dyDescent="0.3">
      <c r="G809" s="7" t="s">
        <v>791</v>
      </c>
      <c r="H809" s="8" t="s">
        <v>2034</v>
      </c>
      <c r="I809" s="8" t="s">
        <v>1998</v>
      </c>
      <c r="J809" s="9">
        <v>2.54</v>
      </c>
    </row>
    <row r="810" spans="7:10" hidden="1" x14ac:dyDescent="0.3">
      <c r="G810" s="10" t="s">
        <v>792</v>
      </c>
      <c r="H810" s="11" t="s">
        <v>2060</v>
      </c>
      <c r="I810" s="11" t="s">
        <v>2015</v>
      </c>
      <c r="J810" s="12">
        <v>5.48</v>
      </c>
    </row>
    <row r="811" spans="7:10" hidden="1" x14ac:dyDescent="0.3">
      <c r="G811" s="7" t="s">
        <v>793</v>
      </c>
      <c r="H811" s="8" t="s">
        <v>2035</v>
      </c>
      <c r="I811" s="8" t="s">
        <v>2001</v>
      </c>
      <c r="J811" s="9">
        <v>5.6</v>
      </c>
    </row>
    <row r="812" spans="7:10" hidden="1" x14ac:dyDescent="0.3">
      <c r="G812" s="10" t="s">
        <v>794</v>
      </c>
      <c r="H812" s="11" t="s">
        <v>2034</v>
      </c>
      <c r="I812" s="11" t="s">
        <v>2027</v>
      </c>
      <c r="J812" s="12">
        <v>11.66</v>
      </c>
    </row>
    <row r="813" spans="7:10" hidden="1" x14ac:dyDescent="0.3">
      <c r="G813" s="7" t="s">
        <v>795</v>
      </c>
      <c r="H813" s="8" t="s">
        <v>2038</v>
      </c>
      <c r="I813" s="8" t="s">
        <v>2025</v>
      </c>
      <c r="J813" s="9">
        <v>5.93</v>
      </c>
    </row>
    <row r="814" spans="7:10" hidden="1" x14ac:dyDescent="0.3">
      <c r="G814" s="10" t="s">
        <v>796</v>
      </c>
      <c r="H814" s="11" t="s">
        <v>2034</v>
      </c>
      <c r="I814" s="11" t="s">
        <v>2003</v>
      </c>
      <c r="J814" s="12">
        <v>6.71</v>
      </c>
    </row>
    <row r="815" spans="7:10" hidden="1" x14ac:dyDescent="0.3">
      <c r="G815" s="7" t="s">
        <v>797</v>
      </c>
      <c r="H815" s="8" t="s">
        <v>2034</v>
      </c>
      <c r="I815" s="8" t="s">
        <v>2002</v>
      </c>
      <c r="J815" s="9">
        <v>4.87</v>
      </c>
    </row>
    <row r="816" spans="7:10" hidden="1" x14ac:dyDescent="0.3">
      <c r="G816" s="10" t="s">
        <v>798</v>
      </c>
      <c r="H816" s="11" t="s">
        <v>2035</v>
      </c>
      <c r="I816" s="11" t="s">
        <v>2023</v>
      </c>
      <c r="J816" s="12">
        <v>10.34</v>
      </c>
    </row>
    <row r="817" spans="7:10" hidden="1" x14ac:dyDescent="0.3">
      <c r="G817" s="7" t="s">
        <v>799</v>
      </c>
      <c r="H817" s="8" t="s">
        <v>2034</v>
      </c>
      <c r="I817" s="8" t="s">
        <v>2002</v>
      </c>
      <c r="J817" s="9">
        <v>14.42</v>
      </c>
    </row>
    <row r="818" spans="7:10" hidden="1" x14ac:dyDescent="0.3">
      <c r="G818" s="10" t="s">
        <v>800</v>
      </c>
      <c r="H818" s="11" t="s">
        <v>2035</v>
      </c>
      <c r="I818" s="11" t="s">
        <v>2023</v>
      </c>
      <c r="J818" s="12">
        <v>13.33</v>
      </c>
    </row>
    <row r="819" spans="7:10" hidden="1" x14ac:dyDescent="0.3">
      <c r="G819" s="7" t="s">
        <v>801</v>
      </c>
      <c r="H819" s="8" t="s">
        <v>2065</v>
      </c>
      <c r="I819" s="8" t="s">
        <v>1988</v>
      </c>
      <c r="J819" s="9">
        <v>4.34</v>
      </c>
    </row>
    <row r="820" spans="7:10" hidden="1" x14ac:dyDescent="0.3">
      <c r="G820" s="10" t="s">
        <v>802</v>
      </c>
      <c r="H820" s="11" t="s">
        <v>2063</v>
      </c>
      <c r="I820" s="11" t="s">
        <v>2028</v>
      </c>
      <c r="J820" s="12">
        <v>4.6399999999999997</v>
      </c>
    </row>
    <row r="821" spans="7:10" hidden="1" x14ac:dyDescent="0.3">
      <c r="G821" s="7" t="s">
        <v>803</v>
      </c>
      <c r="H821" s="8" t="s">
        <v>2034</v>
      </c>
      <c r="I821" s="8" t="s">
        <v>2005</v>
      </c>
      <c r="J821" s="9">
        <v>2.2999999999999998</v>
      </c>
    </row>
    <row r="822" spans="7:10" hidden="1" x14ac:dyDescent="0.3">
      <c r="G822" s="10" t="s">
        <v>804</v>
      </c>
      <c r="H822" s="11" t="s">
        <v>2046</v>
      </c>
      <c r="I822" s="11" t="s">
        <v>2028</v>
      </c>
      <c r="J822" s="12">
        <v>5.92</v>
      </c>
    </row>
    <row r="823" spans="7:10" hidden="1" x14ac:dyDescent="0.3">
      <c r="G823" s="7" t="s">
        <v>805</v>
      </c>
      <c r="H823" s="8" t="s">
        <v>2034</v>
      </c>
      <c r="I823" s="8" t="s">
        <v>1998</v>
      </c>
      <c r="J823" s="9">
        <v>1.95</v>
      </c>
    </row>
    <row r="824" spans="7:10" hidden="1" x14ac:dyDescent="0.3">
      <c r="G824" s="10" t="s">
        <v>806</v>
      </c>
      <c r="H824" s="11" t="s">
        <v>2035</v>
      </c>
      <c r="I824" s="11" t="s">
        <v>2001</v>
      </c>
      <c r="J824" s="12">
        <v>4.8899999999999997</v>
      </c>
    </row>
    <row r="825" spans="7:10" hidden="1" x14ac:dyDescent="0.3">
      <c r="G825" s="7" t="s">
        <v>807</v>
      </c>
      <c r="H825" s="8" t="s">
        <v>2041</v>
      </c>
      <c r="I825" s="8" t="s">
        <v>1979</v>
      </c>
      <c r="J825" s="9">
        <v>8.7799999999999994</v>
      </c>
    </row>
    <row r="826" spans="7:10" hidden="1" x14ac:dyDescent="0.3">
      <c r="G826" s="10" t="s">
        <v>808</v>
      </c>
      <c r="H826" s="11" t="s">
        <v>2038</v>
      </c>
      <c r="I826" s="11" t="s">
        <v>2030</v>
      </c>
      <c r="J826" s="12">
        <v>10.32</v>
      </c>
    </row>
    <row r="827" spans="7:10" hidden="1" x14ac:dyDescent="0.3">
      <c r="G827" s="7" t="s">
        <v>809</v>
      </c>
      <c r="H827" s="8" t="s">
        <v>2034</v>
      </c>
      <c r="I827" s="8" t="s">
        <v>2023</v>
      </c>
      <c r="J827" s="9">
        <v>14.28</v>
      </c>
    </row>
    <row r="828" spans="7:10" hidden="1" x14ac:dyDescent="0.3">
      <c r="G828" s="10" t="s">
        <v>810</v>
      </c>
      <c r="H828" s="11" t="s">
        <v>2052</v>
      </c>
      <c r="I828" s="11" t="s">
        <v>1998</v>
      </c>
      <c r="J828" s="12">
        <v>0.75</v>
      </c>
    </row>
    <row r="829" spans="7:10" hidden="1" x14ac:dyDescent="0.3">
      <c r="G829" s="7" t="s">
        <v>811</v>
      </c>
      <c r="H829" s="8" t="s">
        <v>2035</v>
      </c>
      <c r="I829" s="8" t="s">
        <v>1998</v>
      </c>
      <c r="J829" s="9">
        <v>3.86</v>
      </c>
    </row>
    <row r="830" spans="7:10" hidden="1" x14ac:dyDescent="0.3">
      <c r="G830" s="10" t="s">
        <v>812</v>
      </c>
      <c r="H830" s="11" t="s">
        <v>2038</v>
      </c>
      <c r="I830" s="11" t="s">
        <v>1987</v>
      </c>
      <c r="J830" s="12">
        <v>3.08</v>
      </c>
    </row>
    <row r="831" spans="7:10" hidden="1" x14ac:dyDescent="0.3">
      <c r="G831" s="7" t="s">
        <v>813</v>
      </c>
      <c r="H831" s="8" t="s">
        <v>2034</v>
      </c>
      <c r="I831" s="8" t="s">
        <v>1992</v>
      </c>
      <c r="J831" s="9">
        <v>6.1</v>
      </c>
    </row>
    <row r="832" spans="7:10" hidden="1" x14ac:dyDescent="0.3">
      <c r="G832" s="10" t="s">
        <v>814</v>
      </c>
      <c r="H832" s="11" t="s">
        <v>1976</v>
      </c>
      <c r="I832" s="11" t="s">
        <v>1986</v>
      </c>
      <c r="J832" s="12">
        <v>6.03</v>
      </c>
    </row>
    <row r="833" spans="7:10" hidden="1" x14ac:dyDescent="0.3">
      <c r="G833" s="7" t="s">
        <v>815</v>
      </c>
      <c r="H833" s="8" t="s">
        <v>2034</v>
      </c>
      <c r="I833" s="8" t="s">
        <v>1998</v>
      </c>
      <c r="J833" s="9">
        <v>2.2799999999999998</v>
      </c>
    </row>
    <row r="834" spans="7:10" hidden="1" x14ac:dyDescent="0.3">
      <c r="G834" s="10" t="s">
        <v>816</v>
      </c>
      <c r="H834" s="11" t="s">
        <v>2042</v>
      </c>
      <c r="I834" s="11" t="s">
        <v>1997</v>
      </c>
      <c r="J834" s="12">
        <v>9.65</v>
      </c>
    </row>
    <row r="835" spans="7:10" hidden="1" x14ac:dyDescent="0.3">
      <c r="G835" s="7" t="s">
        <v>817</v>
      </c>
      <c r="H835" s="8" t="s">
        <v>2035</v>
      </c>
      <c r="I835" s="8" t="s">
        <v>2003</v>
      </c>
      <c r="J835" s="9">
        <v>22.41</v>
      </c>
    </row>
    <row r="836" spans="7:10" hidden="1" x14ac:dyDescent="0.3">
      <c r="G836" s="10" t="s">
        <v>818</v>
      </c>
      <c r="H836" s="11" t="s">
        <v>2057</v>
      </c>
      <c r="I836" s="11" t="s">
        <v>2015</v>
      </c>
      <c r="J836" s="12">
        <v>12.11</v>
      </c>
    </row>
    <row r="837" spans="7:10" hidden="1" x14ac:dyDescent="0.3">
      <c r="G837" s="7" t="s">
        <v>819</v>
      </c>
      <c r="H837" s="8" t="s">
        <v>2067</v>
      </c>
      <c r="I837" s="8" t="s">
        <v>1993</v>
      </c>
      <c r="J837" s="9">
        <v>4.95</v>
      </c>
    </row>
    <row r="838" spans="7:10" hidden="1" x14ac:dyDescent="0.3">
      <c r="G838" s="10" t="s">
        <v>820</v>
      </c>
      <c r="H838" s="11" t="s">
        <v>2040</v>
      </c>
      <c r="I838" s="11" t="s">
        <v>1993</v>
      </c>
      <c r="J838" s="12">
        <v>5.49</v>
      </c>
    </row>
    <row r="839" spans="7:10" hidden="1" x14ac:dyDescent="0.3">
      <c r="G839" s="7" t="s">
        <v>821</v>
      </c>
      <c r="H839" s="8" t="s">
        <v>2034</v>
      </c>
      <c r="I839" s="8" t="s">
        <v>1992</v>
      </c>
      <c r="J839" s="9">
        <v>7.43</v>
      </c>
    </row>
    <row r="840" spans="7:10" hidden="1" x14ac:dyDescent="0.3">
      <c r="G840" s="10" t="s">
        <v>822</v>
      </c>
      <c r="H840" s="11" t="s">
        <v>2038</v>
      </c>
      <c r="I840" s="11" t="s">
        <v>1999</v>
      </c>
      <c r="J840" s="12">
        <v>4.17</v>
      </c>
    </row>
    <row r="841" spans="7:10" hidden="1" x14ac:dyDescent="0.3">
      <c r="G841" s="7" t="s">
        <v>823</v>
      </c>
      <c r="H841" s="8" t="s">
        <v>2040</v>
      </c>
      <c r="I841" s="8" t="s">
        <v>2030</v>
      </c>
      <c r="J841" s="9">
        <v>2.02</v>
      </c>
    </row>
    <row r="842" spans="7:10" hidden="1" x14ac:dyDescent="0.3">
      <c r="G842" s="10" t="s">
        <v>824</v>
      </c>
      <c r="H842" s="11" t="s">
        <v>2038</v>
      </c>
      <c r="I842" s="11" t="s">
        <v>2001</v>
      </c>
      <c r="J842" s="12">
        <v>8.0399999999999991</v>
      </c>
    </row>
    <row r="843" spans="7:10" hidden="1" x14ac:dyDescent="0.3">
      <c r="G843" s="7" t="s">
        <v>2011</v>
      </c>
      <c r="H843" s="8" t="s">
        <v>2038</v>
      </c>
      <c r="I843" s="8" t="s">
        <v>2005</v>
      </c>
      <c r="J843" s="9">
        <v>9.7200000000000006</v>
      </c>
    </row>
    <row r="844" spans="7:10" hidden="1" x14ac:dyDescent="0.3">
      <c r="G844" s="10" t="s">
        <v>825</v>
      </c>
      <c r="H844" s="11" t="s">
        <v>2034</v>
      </c>
      <c r="I844" s="11" t="s">
        <v>1979</v>
      </c>
      <c r="J844" s="12">
        <v>2.35</v>
      </c>
    </row>
    <row r="845" spans="7:10" hidden="1" x14ac:dyDescent="0.3">
      <c r="G845" s="7" t="s">
        <v>2012</v>
      </c>
      <c r="H845" s="8" t="s">
        <v>2038</v>
      </c>
      <c r="I845" s="8" t="s">
        <v>2005</v>
      </c>
      <c r="J845" s="9">
        <v>9.6300000000000008</v>
      </c>
    </row>
    <row r="846" spans="7:10" hidden="1" x14ac:dyDescent="0.3">
      <c r="G846" s="10" t="s">
        <v>826</v>
      </c>
      <c r="H846" s="11" t="s">
        <v>2041</v>
      </c>
      <c r="I846" s="11" t="s">
        <v>2002</v>
      </c>
      <c r="J846" s="12">
        <v>9.8699999999999992</v>
      </c>
    </row>
    <row r="847" spans="7:10" hidden="1" x14ac:dyDescent="0.3">
      <c r="G847" s="7" t="s">
        <v>827</v>
      </c>
      <c r="H847" s="8" t="s">
        <v>2034</v>
      </c>
      <c r="I847" s="8" t="s">
        <v>2023</v>
      </c>
      <c r="J847" s="9">
        <v>7.72</v>
      </c>
    </row>
    <row r="848" spans="7:10" hidden="1" x14ac:dyDescent="0.3">
      <c r="G848" s="10" t="s">
        <v>828</v>
      </c>
      <c r="H848" s="11" t="s">
        <v>2044</v>
      </c>
      <c r="I848" s="11" t="s">
        <v>2015</v>
      </c>
      <c r="J848" s="12">
        <v>4.5999999999999996</v>
      </c>
    </row>
    <row r="849" spans="7:10" hidden="1" x14ac:dyDescent="0.3">
      <c r="G849" s="7" t="s">
        <v>829</v>
      </c>
      <c r="H849" s="8" t="s">
        <v>1977</v>
      </c>
      <c r="I849" s="8" t="s">
        <v>2028</v>
      </c>
      <c r="J849" s="9">
        <v>5.5</v>
      </c>
    </row>
    <row r="850" spans="7:10" hidden="1" x14ac:dyDescent="0.3">
      <c r="G850" s="10" t="s">
        <v>830</v>
      </c>
      <c r="H850" s="11" t="s">
        <v>2038</v>
      </c>
      <c r="I850" s="11" t="s">
        <v>1999</v>
      </c>
      <c r="J850" s="12">
        <v>4.97</v>
      </c>
    </row>
    <row r="851" spans="7:10" hidden="1" x14ac:dyDescent="0.3">
      <c r="G851" s="7" t="s">
        <v>831</v>
      </c>
      <c r="H851" s="8" t="s">
        <v>2038</v>
      </c>
      <c r="I851" s="8" t="s">
        <v>2031</v>
      </c>
      <c r="J851" s="9">
        <v>5.55</v>
      </c>
    </row>
    <row r="852" spans="7:10" hidden="1" x14ac:dyDescent="0.3">
      <c r="G852" s="10" t="s">
        <v>832</v>
      </c>
      <c r="H852" s="11" t="s">
        <v>2041</v>
      </c>
      <c r="I852" s="11" t="s">
        <v>2004</v>
      </c>
      <c r="J852" s="12">
        <v>8.7899999999999991</v>
      </c>
    </row>
    <row r="853" spans="7:10" hidden="1" x14ac:dyDescent="0.3">
      <c r="G853" s="7" t="s">
        <v>1989</v>
      </c>
      <c r="H853" s="8" t="s">
        <v>2038</v>
      </c>
      <c r="I853" s="8" t="s">
        <v>1988</v>
      </c>
      <c r="J853" s="9">
        <v>11.45</v>
      </c>
    </row>
    <row r="854" spans="7:10" hidden="1" x14ac:dyDescent="0.3">
      <c r="G854" s="10" t="s">
        <v>833</v>
      </c>
      <c r="H854" s="11" t="s">
        <v>2074</v>
      </c>
      <c r="I854" s="11" t="s">
        <v>2028</v>
      </c>
      <c r="J854" s="12">
        <v>3.49</v>
      </c>
    </row>
    <row r="855" spans="7:10" hidden="1" x14ac:dyDescent="0.3">
      <c r="G855" s="7" t="s">
        <v>834</v>
      </c>
      <c r="H855" s="8" t="s">
        <v>2052</v>
      </c>
      <c r="I855" s="8" t="s">
        <v>2030</v>
      </c>
      <c r="J855" s="9">
        <v>5.03</v>
      </c>
    </row>
    <row r="856" spans="7:10" x14ac:dyDescent="0.3">
      <c r="G856" s="10" t="s">
        <v>1683</v>
      </c>
      <c r="H856" s="11" t="s">
        <v>2047</v>
      </c>
      <c r="I856" s="11" t="s">
        <v>2000</v>
      </c>
      <c r="J856" s="12">
        <v>9.8800000000000008</v>
      </c>
    </row>
    <row r="857" spans="7:10" hidden="1" x14ac:dyDescent="0.3">
      <c r="G857" s="7" t="s">
        <v>836</v>
      </c>
      <c r="H857" s="8" t="s">
        <v>2038</v>
      </c>
      <c r="I857" s="8" t="s">
        <v>1993</v>
      </c>
      <c r="J857" s="9">
        <v>13.85</v>
      </c>
    </row>
    <row r="858" spans="7:10" hidden="1" x14ac:dyDescent="0.3">
      <c r="G858" s="10" t="s">
        <v>837</v>
      </c>
      <c r="H858" s="11" t="s">
        <v>2070</v>
      </c>
      <c r="I858" s="11" t="s">
        <v>2031</v>
      </c>
      <c r="J858" s="12">
        <v>5.56</v>
      </c>
    </row>
    <row r="859" spans="7:10" hidden="1" x14ac:dyDescent="0.3">
      <c r="G859" s="7" t="s">
        <v>838</v>
      </c>
      <c r="H859" s="8" t="s">
        <v>2043</v>
      </c>
      <c r="I859" s="8" t="s">
        <v>2029</v>
      </c>
      <c r="J859" s="9">
        <v>17.05</v>
      </c>
    </row>
    <row r="860" spans="7:10" hidden="1" x14ac:dyDescent="0.3">
      <c r="G860" s="10" t="s">
        <v>839</v>
      </c>
      <c r="H860" s="11" t="s">
        <v>2052</v>
      </c>
      <c r="I860" s="11" t="s">
        <v>1998</v>
      </c>
      <c r="J860" s="12">
        <v>0.37</v>
      </c>
    </row>
    <row r="861" spans="7:10" hidden="1" x14ac:dyDescent="0.3">
      <c r="G861" s="7" t="s">
        <v>840</v>
      </c>
      <c r="H861" s="8" t="s">
        <v>2044</v>
      </c>
      <c r="I861" s="8" t="s">
        <v>2015</v>
      </c>
      <c r="J861" s="9">
        <v>3.69</v>
      </c>
    </row>
    <row r="862" spans="7:10" hidden="1" x14ac:dyDescent="0.3">
      <c r="G862" s="10" t="s">
        <v>841</v>
      </c>
      <c r="H862" s="11" t="s">
        <v>2038</v>
      </c>
      <c r="I862" s="11" t="s">
        <v>1993</v>
      </c>
      <c r="J862" s="12">
        <v>15.94</v>
      </c>
    </row>
    <row r="863" spans="7:10" hidden="1" x14ac:dyDescent="0.3">
      <c r="G863" s="7" t="s">
        <v>842</v>
      </c>
      <c r="H863" s="8" t="s">
        <v>2035</v>
      </c>
      <c r="I863" s="8" t="s">
        <v>2002</v>
      </c>
      <c r="J863" s="9">
        <v>17.079999999999998</v>
      </c>
    </row>
    <row r="864" spans="7:10" hidden="1" x14ac:dyDescent="0.3">
      <c r="G864" s="10" t="s">
        <v>843</v>
      </c>
      <c r="H864" s="11" t="s">
        <v>2038</v>
      </c>
      <c r="I864" s="11" t="s">
        <v>1986</v>
      </c>
      <c r="J864" s="12">
        <v>3.96</v>
      </c>
    </row>
    <row r="865" spans="7:10" hidden="1" x14ac:dyDescent="0.3">
      <c r="G865" s="7" t="s">
        <v>844</v>
      </c>
      <c r="H865" s="8" t="s">
        <v>2078</v>
      </c>
      <c r="I865" s="8" t="s">
        <v>1979</v>
      </c>
      <c r="J865" s="9">
        <v>1.45</v>
      </c>
    </row>
    <row r="866" spans="7:10" hidden="1" x14ac:dyDescent="0.3">
      <c r="G866" s="10" t="s">
        <v>845</v>
      </c>
      <c r="H866" s="11" t="s">
        <v>2035</v>
      </c>
      <c r="I866" s="11" t="s">
        <v>1997</v>
      </c>
      <c r="J866" s="12">
        <v>6.69</v>
      </c>
    </row>
    <row r="867" spans="7:10" hidden="1" x14ac:dyDescent="0.3">
      <c r="G867" s="7" t="s">
        <v>846</v>
      </c>
      <c r="H867" s="8" t="s">
        <v>2034</v>
      </c>
      <c r="I867" s="8" t="s">
        <v>2005</v>
      </c>
      <c r="J867" s="9">
        <v>1.66</v>
      </c>
    </row>
    <row r="868" spans="7:10" hidden="1" x14ac:dyDescent="0.3">
      <c r="G868" s="10" t="s">
        <v>847</v>
      </c>
      <c r="H868" s="11" t="s">
        <v>2034</v>
      </c>
      <c r="I868" s="11" t="s">
        <v>1987</v>
      </c>
      <c r="J868" s="12">
        <v>9.92</v>
      </c>
    </row>
    <row r="869" spans="7:10" hidden="1" x14ac:dyDescent="0.3">
      <c r="G869" s="7" t="s">
        <v>848</v>
      </c>
      <c r="H869" s="8" t="s">
        <v>2041</v>
      </c>
      <c r="I869" s="8" t="s">
        <v>1993</v>
      </c>
      <c r="J869" s="9">
        <v>9.4</v>
      </c>
    </row>
    <row r="870" spans="7:10" hidden="1" x14ac:dyDescent="0.3">
      <c r="G870" s="10" t="s">
        <v>849</v>
      </c>
      <c r="H870" s="11" t="s">
        <v>2045</v>
      </c>
      <c r="I870" s="11" t="s">
        <v>2031</v>
      </c>
      <c r="J870" s="12">
        <v>3.64</v>
      </c>
    </row>
    <row r="871" spans="7:10" hidden="1" x14ac:dyDescent="0.3">
      <c r="G871" s="7" t="s">
        <v>850</v>
      </c>
      <c r="H871" s="8" t="s">
        <v>2034</v>
      </c>
      <c r="I871" s="8" t="s">
        <v>2031</v>
      </c>
      <c r="J871" s="9">
        <v>1.59</v>
      </c>
    </row>
    <row r="872" spans="7:10" hidden="1" x14ac:dyDescent="0.3">
      <c r="G872" s="10" t="s">
        <v>851</v>
      </c>
      <c r="H872" s="11" t="s">
        <v>2034</v>
      </c>
      <c r="I872" s="11" t="s">
        <v>1998</v>
      </c>
      <c r="J872" s="12">
        <v>2.35</v>
      </c>
    </row>
    <row r="873" spans="7:10" hidden="1" x14ac:dyDescent="0.3">
      <c r="G873" s="7" t="s">
        <v>852</v>
      </c>
      <c r="H873" s="8" t="s">
        <v>2034</v>
      </c>
      <c r="I873" s="8" t="s">
        <v>2002</v>
      </c>
      <c r="J873" s="9">
        <v>5.58</v>
      </c>
    </row>
    <row r="874" spans="7:10" hidden="1" x14ac:dyDescent="0.3">
      <c r="G874" s="10" t="s">
        <v>853</v>
      </c>
      <c r="H874" s="11" t="s">
        <v>2043</v>
      </c>
      <c r="I874" s="11" t="s">
        <v>2005</v>
      </c>
      <c r="J874" s="12">
        <v>6.42</v>
      </c>
    </row>
    <row r="875" spans="7:10" hidden="1" x14ac:dyDescent="0.3">
      <c r="G875" s="7" t="s">
        <v>854</v>
      </c>
      <c r="H875" s="8" t="s">
        <v>2038</v>
      </c>
      <c r="I875" s="8" t="s">
        <v>2030</v>
      </c>
      <c r="J875" s="9">
        <v>10</v>
      </c>
    </row>
    <row r="876" spans="7:10" hidden="1" x14ac:dyDescent="0.3">
      <c r="G876" s="10" t="s">
        <v>855</v>
      </c>
      <c r="H876" s="11" t="s">
        <v>2060</v>
      </c>
      <c r="I876" s="11" t="s">
        <v>1979</v>
      </c>
      <c r="J876" s="12">
        <v>3.91</v>
      </c>
    </row>
    <row r="877" spans="7:10" hidden="1" x14ac:dyDescent="0.3">
      <c r="G877" s="7" t="s">
        <v>856</v>
      </c>
      <c r="H877" s="8" t="s">
        <v>2034</v>
      </c>
      <c r="I877" s="8" t="s">
        <v>2015</v>
      </c>
      <c r="J877" s="9">
        <v>4.6399999999999997</v>
      </c>
    </row>
    <row r="878" spans="7:10" hidden="1" x14ac:dyDescent="0.3">
      <c r="G878" s="10" t="s">
        <v>857</v>
      </c>
      <c r="H878" s="11" t="s">
        <v>2034</v>
      </c>
      <c r="I878" s="11" t="s">
        <v>2002</v>
      </c>
      <c r="J878" s="12">
        <v>3.29</v>
      </c>
    </row>
    <row r="879" spans="7:10" hidden="1" x14ac:dyDescent="0.3">
      <c r="G879" s="7" t="s">
        <v>858</v>
      </c>
      <c r="H879" s="8" t="s">
        <v>2079</v>
      </c>
      <c r="I879" s="8" t="s">
        <v>2028</v>
      </c>
      <c r="J879" s="9">
        <v>3.67</v>
      </c>
    </row>
    <row r="880" spans="7:10" hidden="1" x14ac:dyDescent="0.3">
      <c r="G880" s="10" t="s">
        <v>859</v>
      </c>
      <c r="H880" s="11" t="s">
        <v>2045</v>
      </c>
      <c r="I880" s="11" t="s">
        <v>2015</v>
      </c>
      <c r="J880" s="12">
        <v>3.9</v>
      </c>
    </row>
    <row r="881" spans="7:10" hidden="1" x14ac:dyDescent="0.3">
      <c r="G881" s="7" t="s">
        <v>860</v>
      </c>
      <c r="H881" s="8" t="s">
        <v>2044</v>
      </c>
      <c r="I881" s="8" t="s">
        <v>2028</v>
      </c>
      <c r="J881" s="9">
        <v>5.96</v>
      </c>
    </row>
    <row r="882" spans="7:10" hidden="1" x14ac:dyDescent="0.3">
      <c r="G882" s="10" t="s">
        <v>861</v>
      </c>
      <c r="H882" s="11" t="s">
        <v>2043</v>
      </c>
      <c r="I882" s="11" t="s">
        <v>1997</v>
      </c>
      <c r="J882" s="12">
        <v>7.06</v>
      </c>
    </row>
    <row r="883" spans="7:10" hidden="1" x14ac:dyDescent="0.3">
      <c r="G883" s="7" t="s">
        <v>862</v>
      </c>
      <c r="H883" s="8" t="s">
        <v>2034</v>
      </c>
      <c r="I883" s="8" t="s">
        <v>2004</v>
      </c>
      <c r="J883" s="9">
        <v>14.27</v>
      </c>
    </row>
    <row r="884" spans="7:10" hidden="1" x14ac:dyDescent="0.3">
      <c r="G884" s="10" t="s">
        <v>863</v>
      </c>
      <c r="H884" s="11" t="s">
        <v>2034</v>
      </c>
      <c r="I884" s="11" t="s">
        <v>2015</v>
      </c>
      <c r="J884" s="12">
        <v>4.18</v>
      </c>
    </row>
    <row r="885" spans="7:10" hidden="1" x14ac:dyDescent="0.3">
      <c r="G885" s="7" t="s">
        <v>864</v>
      </c>
      <c r="H885" s="8" t="s">
        <v>2038</v>
      </c>
      <c r="I885" s="8" t="s">
        <v>2015</v>
      </c>
      <c r="J885" s="9">
        <v>11.01</v>
      </c>
    </row>
    <row r="886" spans="7:10" hidden="1" x14ac:dyDescent="0.3">
      <c r="G886" s="10" t="s">
        <v>865</v>
      </c>
      <c r="H886" s="11" t="s">
        <v>2034</v>
      </c>
      <c r="I886" s="11" t="s">
        <v>1993</v>
      </c>
      <c r="J886" s="12">
        <v>6.2</v>
      </c>
    </row>
    <row r="887" spans="7:10" hidden="1" x14ac:dyDescent="0.3">
      <c r="G887" s="7" t="s">
        <v>866</v>
      </c>
      <c r="H887" s="8" t="s">
        <v>2034</v>
      </c>
      <c r="I887" s="8" t="s">
        <v>2003</v>
      </c>
      <c r="J887" s="9">
        <v>4.4400000000000004</v>
      </c>
    </row>
    <row r="888" spans="7:10" hidden="1" x14ac:dyDescent="0.3">
      <c r="G888" s="10" t="s">
        <v>867</v>
      </c>
      <c r="H888" s="11" t="s">
        <v>2034</v>
      </c>
      <c r="I888" s="11" t="s">
        <v>1979</v>
      </c>
      <c r="J888" s="12">
        <v>3.24</v>
      </c>
    </row>
    <row r="889" spans="7:10" hidden="1" x14ac:dyDescent="0.3">
      <c r="G889" s="7" t="s">
        <v>868</v>
      </c>
      <c r="H889" s="8" t="s">
        <v>2034</v>
      </c>
      <c r="I889" s="8" t="s">
        <v>2002</v>
      </c>
      <c r="J889" s="9">
        <v>5.5</v>
      </c>
    </row>
    <row r="890" spans="7:10" hidden="1" x14ac:dyDescent="0.3">
      <c r="G890" s="10" t="s">
        <v>869</v>
      </c>
      <c r="H890" s="11" t="s">
        <v>1975</v>
      </c>
      <c r="I890" s="11" t="s">
        <v>1992</v>
      </c>
      <c r="J890" s="12">
        <v>6.11</v>
      </c>
    </row>
    <row r="891" spans="7:10" hidden="1" x14ac:dyDescent="0.3">
      <c r="G891" s="7" t="s">
        <v>870</v>
      </c>
      <c r="H891" s="8" t="s">
        <v>2038</v>
      </c>
      <c r="I891" s="8" t="s">
        <v>1997</v>
      </c>
      <c r="J891" s="9">
        <v>24.13</v>
      </c>
    </row>
    <row r="892" spans="7:10" hidden="1" x14ac:dyDescent="0.3">
      <c r="G892" s="10" t="s">
        <v>871</v>
      </c>
      <c r="H892" s="11" t="s">
        <v>2034</v>
      </c>
      <c r="I892" s="11" t="s">
        <v>2031</v>
      </c>
      <c r="J892" s="12">
        <v>7.73</v>
      </c>
    </row>
    <row r="893" spans="7:10" hidden="1" x14ac:dyDescent="0.3">
      <c r="G893" s="7" t="s">
        <v>872</v>
      </c>
      <c r="H893" s="8" t="s">
        <v>1977</v>
      </c>
      <c r="I893" s="8" t="s">
        <v>2031</v>
      </c>
      <c r="J893" s="9">
        <v>4.18</v>
      </c>
    </row>
    <row r="894" spans="7:10" hidden="1" x14ac:dyDescent="0.3">
      <c r="G894" s="10" t="s">
        <v>873</v>
      </c>
      <c r="H894" s="11" t="s">
        <v>2052</v>
      </c>
      <c r="I894" s="11" t="s">
        <v>2030</v>
      </c>
      <c r="J894" s="12">
        <v>1.07</v>
      </c>
    </row>
    <row r="895" spans="7:10" hidden="1" x14ac:dyDescent="0.3">
      <c r="G895" s="7" t="s">
        <v>874</v>
      </c>
      <c r="H895" s="8" t="s">
        <v>2051</v>
      </c>
      <c r="I895" s="8" t="s">
        <v>2022</v>
      </c>
      <c r="J895" s="9">
        <v>3.55</v>
      </c>
    </row>
    <row r="896" spans="7:10" hidden="1" x14ac:dyDescent="0.3">
      <c r="G896" s="10" t="s">
        <v>875</v>
      </c>
      <c r="H896" s="11" t="s">
        <v>2034</v>
      </c>
      <c r="I896" s="11" t="s">
        <v>2002</v>
      </c>
      <c r="J896" s="12">
        <v>3.55</v>
      </c>
    </row>
    <row r="897" spans="7:10" hidden="1" x14ac:dyDescent="0.3">
      <c r="G897" s="7" t="s">
        <v>876</v>
      </c>
      <c r="H897" s="8" t="s">
        <v>2060</v>
      </c>
      <c r="I897" s="8" t="s">
        <v>2001</v>
      </c>
      <c r="J897" s="9">
        <v>4.0199999999999996</v>
      </c>
    </row>
    <row r="898" spans="7:10" hidden="1" x14ac:dyDescent="0.3">
      <c r="G898" s="10" t="s">
        <v>877</v>
      </c>
      <c r="H898" s="11" t="s">
        <v>2056</v>
      </c>
      <c r="I898" s="11" t="s">
        <v>2015</v>
      </c>
      <c r="J898" s="12">
        <v>4.45</v>
      </c>
    </row>
    <row r="899" spans="7:10" hidden="1" x14ac:dyDescent="0.3">
      <c r="G899" s="7" t="s">
        <v>878</v>
      </c>
      <c r="H899" s="8" t="s">
        <v>2080</v>
      </c>
      <c r="I899" s="8" t="s">
        <v>1998</v>
      </c>
      <c r="J899" s="9">
        <v>5.74</v>
      </c>
    </row>
    <row r="900" spans="7:10" hidden="1" x14ac:dyDescent="0.3">
      <c r="G900" s="10" t="s">
        <v>879</v>
      </c>
      <c r="H900" s="11" t="s">
        <v>2039</v>
      </c>
      <c r="I900" s="11" t="s">
        <v>2017</v>
      </c>
      <c r="J900" s="12">
        <v>5.19</v>
      </c>
    </row>
    <row r="901" spans="7:10" hidden="1" x14ac:dyDescent="0.3">
      <c r="G901" s="7" t="s">
        <v>880</v>
      </c>
      <c r="H901" s="8" t="s">
        <v>2038</v>
      </c>
      <c r="I901" s="8" t="s">
        <v>1993</v>
      </c>
      <c r="J901" s="9">
        <v>15.74</v>
      </c>
    </row>
    <row r="902" spans="7:10" hidden="1" x14ac:dyDescent="0.3">
      <c r="G902" s="10" t="s">
        <v>881</v>
      </c>
      <c r="H902" s="11" t="s">
        <v>2035</v>
      </c>
      <c r="I902" s="11" t="s">
        <v>2003</v>
      </c>
      <c r="J902" s="12">
        <v>4.2300000000000004</v>
      </c>
    </row>
    <row r="903" spans="7:10" hidden="1" x14ac:dyDescent="0.3">
      <c r="G903" s="7" t="s">
        <v>882</v>
      </c>
      <c r="H903" s="8" t="s">
        <v>2039</v>
      </c>
      <c r="I903" s="8" t="s">
        <v>2003</v>
      </c>
      <c r="J903" s="9">
        <v>14.39</v>
      </c>
    </row>
    <row r="904" spans="7:10" hidden="1" x14ac:dyDescent="0.3">
      <c r="G904" s="10" t="s">
        <v>883</v>
      </c>
      <c r="H904" s="11" t="s">
        <v>2038</v>
      </c>
      <c r="I904" s="11" t="s">
        <v>1979</v>
      </c>
      <c r="J904" s="12">
        <v>1.93</v>
      </c>
    </row>
    <row r="905" spans="7:10" hidden="1" x14ac:dyDescent="0.3">
      <c r="G905" s="7" t="s">
        <v>884</v>
      </c>
      <c r="H905" s="8" t="s">
        <v>2038</v>
      </c>
      <c r="I905" s="8" t="s">
        <v>1993</v>
      </c>
      <c r="J905" s="9">
        <v>9.1999999999999993</v>
      </c>
    </row>
    <row r="906" spans="7:10" hidden="1" x14ac:dyDescent="0.3">
      <c r="G906" s="10" t="s">
        <v>885</v>
      </c>
      <c r="H906" s="11" t="s">
        <v>2034</v>
      </c>
      <c r="I906" s="11" t="s">
        <v>2030</v>
      </c>
      <c r="J906" s="12">
        <v>20.71</v>
      </c>
    </row>
    <row r="907" spans="7:10" hidden="1" x14ac:dyDescent="0.3">
      <c r="G907" s="7" t="s">
        <v>886</v>
      </c>
      <c r="H907" s="8" t="s">
        <v>2034</v>
      </c>
      <c r="I907" s="8" t="s">
        <v>2002</v>
      </c>
      <c r="J907" s="9">
        <v>6.61</v>
      </c>
    </row>
    <row r="908" spans="7:10" hidden="1" x14ac:dyDescent="0.3">
      <c r="G908" s="10" t="s">
        <v>887</v>
      </c>
      <c r="H908" s="11" t="s">
        <v>2034</v>
      </c>
      <c r="I908" s="11" t="s">
        <v>1986</v>
      </c>
      <c r="J908" s="12">
        <v>4.7300000000000004</v>
      </c>
    </row>
    <row r="909" spans="7:10" hidden="1" x14ac:dyDescent="0.3">
      <c r="G909" s="7" t="s">
        <v>888</v>
      </c>
      <c r="H909" s="8" t="s">
        <v>2038</v>
      </c>
      <c r="I909" s="8" t="s">
        <v>1986</v>
      </c>
      <c r="J909" s="9">
        <v>6.14</v>
      </c>
    </row>
    <row r="910" spans="7:10" hidden="1" x14ac:dyDescent="0.3">
      <c r="G910" s="10" t="s">
        <v>889</v>
      </c>
      <c r="H910" s="11" t="s">
        <v>2034</v>
      </c>
      <c r="I910" s="11" t="s">
        <v>2023</v>
      </c>
      <c r="J910" s="12">
        <v>8.49</v>
      </c>
    </row>
    <row r="911" spans="7:10" hidden="1" x14ac:dyDescent="0.3">
      <c r="G911" s="7" t="s">
        <v>890</v>
      </c>
      <c r="H911" s="8" t="s">
        <v>2043</v>
      </c>
      <c r="I911" s="8" t="s">
        <v>1986</v>
      </c>
      <c r="J911" s="9">
        <v>9</v>
      </c>
    </row>
    <row r="912" spans="7:10" hidden="1" x14ac:dyDescent="0.3">
      <c r="G912" s="10" t="s">
        <v>891</v>
      </c>
      <c r="H912" s="11" t="s">
        <v>2034</v>
      </c>
      <c r="I912" s="11" t="s">
        <v>1997</v>
      </c>
      <c r="J912" s="12">
        <v>9.7799999999999994</v>
      </c>
    </row>
    <row r="913" spans="7:10" hidden="1" x14ac:dyDescent="0.3">
      <c r="G913" s="7" t="s">
        <v>892</v>
      </c>
      <c r="H913" s="8" t="s">
        <v>2038</v>
      </c>
      <c r="I913" s="8" t="s">
        <v>1998</v>
      </c>
      <c r="J913" s="9">
        <v>5.75</v>
      </c>
    </row>
    <row r="914" spans="7:10" hidden="1" x14ac:dyDescent="0.3">
      <c r="G914" s="10" t="s">
        <v>893</v>
      </c>
      <c r="H914" s="11" t="s">
        <v>2038</v>
      </c>
      <c r="I914" s="11" t="s">
        <v>1998</v>
      </c>
      <c r="J914" s="12">
        <v>3.99</v>
      </c>
    </row>
    <row r="915" spans="7:10" hidden="1" x14ac:dyDescent="0.3">
      <c r="G915" s="7" t="s">
        <v>894</v>
      </c>
      <c r="H915" s="8" t="s">
        <v>2065</v>
      </c>
      <c r="I915" s="8" t="s">
        <v>2027</v>
      </c>
      <c r="J915" s="9">
        <v>7.87</v>
      </c>
    </row>
    <row r="916" spans="7:10" hidden="1" x14ac:dyDescent="0.3">
      <c r="G916" s="10" t="s">
        <v>895</v>
      </c>
      <c r="H916" s="11" t="s">
        <v>2034</v>
      </c>
      <c r="I916" s="11" t="s">
        <v>2031</v>
      </c>
      <c r="J916" s="12">
        <v>12.68</v>
      </c>
    </row>
    <row r="917" spans="7:10" hidden="1" x14ac:dyDescent="0.3">
      <c r="G917" s="7" t="s">
        <v>896</v>
      </c>
      <c r="H917" s="8" t="s">
        <v>2039</v>
      </c>
      <c r="I917" s="8" t="s">
        <v>1978</v>
      </c>
      <c r="J917" s="9">
        <v>4.6900000000000004</v>
      </c>
    </row>
    <row r="918" spans="7:10" hidden="1" x14ac:dyDescent="0.3">
      <c r="G918" s="10" t="s">
        <v>897</v>
      </c>
      <c r="H918" s="11" t="s">
        <v>2034</v>
      </c>
      <c r="I918" s="11" t="s">
        <v>1997</v>
      </c>
      <c r="J918" s="12">
        <v>6.52</v>
      </c>
    </row>
    <row r="919" spans="7:10" hidden="1" x14ac:dyDescent="0.3">
      <c r="G919" s="7" t="s">
        <v>898</v>
      </c>
      <c r="H919" s="8" t="s">
        <v>2065</v>
      </c>
      <c r="I919" s="8" t="s">
        <v>1979</v>
      </c>
      <c r="J919" s="9">
        <v>2.39</v>
      </c>
    </row>
    <row r="920" spans="7:10" hidden="1" x14ac:dyDescent="0.3">
      <c r="G920" s="10" t="s">
        <v>899</v>
      </c>
      <c r="H920" s="11" t="s">
        <v>2051</v>
      </c>
      <c r="I920" s="11" t="s">
        <v>2005</v>
      </c>
      <c r="J920" s="12">
        <v>4.5999999999999996</v>
      </c>
    </row>
    <row r="921" spans="7:10" hidden="1" x14ac:dyDescent="0.3">
      <c r="G921" s="7" t="s">
        <v>900</v>
      </c>
      <c r="H921" s="8" t="s">
        <v>2066</v>
      </c>
      <c r="I921" s="8" t="s">
        <v>1986</v>
      </c>
      <c r="J921" s="9">
        <v>15.58</v>
      </c>
    </row>
    <row r="922" spans="7:10" hidden="1" x14ac:dyDescent="0.3">
      <c r="G922" s="10" t="s">
        <v>901</v>
      </c>
      <c r="H922" s="11" t="s">
        <v>2034</v>
      </c>
      <c r="I922" s="11" t="s">
        <v>1987</v>
      </c>
      <c r="J922" s="12">
        <v>5.12</v>
      </c>
    </row>
    <row r="923" spans="7:10" hidden="1" x14ac:dyDescent="0.3">
      <c r="G923" s="7" t="s">
        <v>902</v>
      </c>
      <c r="H923" s="8" t="s">
        <v>2034</v>
      </c>
      <c r="I923" s="8" t="s">
        <v>2001</v>
      </c>
      <c r="J923" s="9">
        <v>10.51</v>
      </c>
    </row>
    <row r="924" spans="7:10" hidden="1" x14ac:dyDescent="0.3">
      <c r="G924" s="10" t="s">
        <v>903</v>
      </c>
      <c r="H924" s="11" t="s">
        <v>2035</v>
      </c>
      <c r="I924" s="11" t="s">
        <v>2028</v>
      </c>
      <c r="J924" s="12">
        <v>5.71</v>
      </c>
    </row>
    <row r="925" spans="7:10" hidden="1" x14ac:dyDescent="0.3">
      <c r="G925" s="7" t="s">
        <v>904</v>
      </c>
      <c r="H925" s="8" t="s">
        <v>2038</v>
      </c>
      <c r="I925" s="8" t="s">
        <v>1979</v>
      </c>
      <c r="J925" s="9">
        <v>1.6</v>
      </c>
    </row>
    <row r="926" spans="7:10" hidden="1" x14ac:dyDescent="0.3">
      <c r="G926" s="10" t="s">
        <v>905</v>
      </c>
      <c r="H926" s="11" t="s">
        <v>2038</v>
      </c>
      <c r="I926" s="11" t="s">
        <v>2023</v>
      </c>
      <c r="J926" s="12">
        <v>17.55</v>
      </c>
    </row>
    <row r="927" spans="7:10" hidden="1" x14ac:dyDescent="0.3">
      <c r="G927" s="7" t="s">
        <v>906</v>
      </c>
      <c r="H927" s="8" t="s">
        <v>2039</v>
      </c>
      <c r="I927" s="8" t="s">
        <v>1998</v>
      </c>
      <c r="J927" s="9">
        <v>0.87</v>
      </c>
    </row>
    <row r="928" spans="7:10" hidden="1" x14ac:dyDescent="0.3">
      <c r="G928" s="10" t="s">
        <v>907</v>
      </c>
      <c r="H928" s="11" t="s">
        <v>2035</v>
      </c>
      <c r="I928" s="11" t="s">
        <v>1998</v>
      </c>
      <c r="J928" s="12">
        <v>2.56</v>
      </c>
    </row>
    <row r="929" spans="7:10" hidden="1" x14ac:dyDescent="0.3">
      <c r="G929" s="7" t="s">
        <v>908</v>
      </c>
      <c r="H929" s="8" t="s">
        <v>2074</v>
      </c>
      <c r="I929" s="8" t="s">
        <v>2030</v>
      </c>
      <c r="J929" s="9">
        <v>2.8</v>
      </c>
    </row>
    <row r="930" spans="7:10" hidden="1" x14ac:dyDescent="0.3">
      <c r="G930" s="10" t="s">
        <v>909</v>
      </c>
      <c r="H930" s="11" t="s">
        <v>2038</v>
      </c>
      <c r="I930" s="11" t="s">
        <v>1987</v>
      </c>
      <c r="J930" s="12">
        <v>6.8</v>
      </c>
    </row>
    <row r="931" spans="7:10" hidden="1" x14ac:dyDescent="0.3">
      <c r="G931" s="7" t="s">
        <v>910</v>
      </c>
      <c r="H931" s="8" t="s">
        <v>2041</v>
      </c>
      <c r="I931" s="8" t="s">
        <v>2001</v>
      </c>
      <c r="J931" s="9">
        <v>6.39</v>
      </c>
    </row>
    <row r="932" spans="7:10" hidden="1" x14ac:dyDescent="0.3">
      <c r="G932" s="10" t="s">
        <v>911</v>
      </c>
      <c r="H932" s="11" t="s">
        <v>2042</v>
      </c>
      <c r="I932" s="11" t="s">
        <v>1979</v>
      </c>
      <c r="J932" s="12">
        <v>3.68</v>
      </c>
    </row>
    <row r="933" spans="7:10" hidden="1" x14ac:dyDescent="0.3">
      <c r="G933" s="7" t="s">
        <v>912</v>
      </c>
      <c r="H933" s="8" t="s">
        <v>2034</v>
      </c>
      <c r="I933" s="8" t="s">
        <v>1997</v>
      </c>
      <c r="J933" s="9">
        <v>6.62</v>
      </c>
    </row>
    <row r="934" spans="7:10" hidden="1" x14ac:dyDescent="0.3">
      <c r="G934" s="10" t="s">
        <v>913</v>
      </c>
      <c r="H934" s="11" t="s">
        <v>1975</v>
      </c>
      <c r="I934" s="11" t="s">
        <v>2001</v>
      </c>
      <c r="J934" s="12">
        <v>3.02</v>
      </c>
    </row>
    <row r="935" spans="7:10" hidden="1" x14ac:dyDescent="0.3">
      <c r="G935" s="7" t="s">
        <v>914</v>
      </c>
      <c r="H935" s="8" t="s">
        <v>2034</v>
      </c>
      <c r="I935" s="8" t="s">
        <v>2025</v>
      </c>
      <c r="J935" s="9">
        <v>5.84</v>
      </c>
    </row>
    <row r="936" spans="7:10" hidden="1" x14ac:dyDescent="0.3">
      <c r="G936" s="10" t="s">
        <v>915</v>
      </c>
      <c r="H936" s="11" t="s">
        <v>2042</v>
      </c>
      <c r="I936" s="11" t="s">
        <v>2004</v>
      </c>
      <c r="J936" s="12">
        <v>4.42</v>
      </c>
    </row>
    <row r="937" spans="7:10" x14ac:dyDescent="0.3">
      <c r="G937" s="7" t="s">
        <v>1839</v>
      </c>
      <c r="H937" s="8" t="s">
        <v>2047</v>
      </c>
      <c r="I937" s="8" t="s">
        <v>2000</v>
      </c>
      <c r="J937" s="9">
        <v>5.76</v>
      </c>
    </row>
    <row r="938" spans="7:10" hidden="1" x14ac:dyDescent="0.3">
      <c r="G938" s="10" t="s">
        <v>917</v>
      </c>
      <c r="H938" s="11" t="s">
        <v>2034</v>
      </c>
      <c r="I938" s="11" t="s">
        <v>2031</v>
      </c>
      <c r="J938" s="12">
        <v>9.7200000000000006</v>
      </c>
    </row>
    <row r="939" spans="7:10" hidden="1" x14ac:dyDescent="0.3">
      <c r="G939" s="7" t="s">
        <v>918</v>
      </c>
      <c r="H939" s="8" t="s">
        <v>2038</v>
      </c>
      <c r="I939" s="8" t="s">
        <v>2022</v>
      </c>
      <c r="J939" s="9">
        <v>20.100000000000001</v>
      </c>
    </row>
    <row r="940" spans="7:10" hidden="1" x14ac:dyDescent="0.3">
      <c r="G940" s="10" t="s">
        <v>919</v>
      </c>
      <c r="H940" s="11" t="s">
        <v>2034</v>
      </c>
      <c r="I940" s="11" t="s">
        <v>2022</v>
      </c>
      <c r="J940" s="12">
        <v>16.579999999999998</v>
      </c>
    </row>
    <row r="941" spans="7:10" hidden="1" x14ac:dyDescent="0.3">
      <c r="G941" s="7" t="s">
        <v>920</v>
      </c>
      <c r="H941" s="8" t="s">
        <v>2037</v>
      </c>
      <c r="I941" s="8" t="s">
        <v>2005</v>
      </c>
      <c r="J941" s="9">
        <v>8</v>
      </c>
    </row>
    <row r="942" spans="7:10" hidden="1" x14ac:dyDescent="0.3">
      <c r="G942" s="10" t="s">
        <v>921</v>
      </c>
      <c r="H942" s="11" t="s">
        <v>2034</v>
      </c>
      <c r="I942" s="11" t="s">
        <v>2027</v>
      </c>
      <c r="J942" s="12">
        <v>6.03</v>
      </c>
    </row>
    <row r="943" spans="7:10" hidden="1" x14ac:dyDescent="0.3">
      <c r="G943" s="7" t="s">
        <v>922</v>
      </c>
      <c r="H943" s="8" t="s">
        <v>2060</v>
      </c>
      <c r="I943" s="8" t="s">
        <v>2017</v>
      </c>
      <c r="J943" s="9">
        <v>3.06</v>
      </c>
    </row>
    <row r="944" spans="7:10" hidden="1" x14ac:dyDescent="0.3">
      <c r="G944" s="10" t="s">
        <v>923</v>
      </c>
      <c r="H944" s="11" t="s">
        <v>2038</v>
      </c>
      <c r="I944" s="11" t="s">
        <v>2025</v>
      </c>
      <c r="J944" s="12">
        <v>3.44</v>
      </c>
    </row>
    <row r="945" spans="7:10" hidden="1" x14ac:dyDescent="0.3">
      <c r="G945" s="7" t="s">
        <v>924</v>
      </c>
      <c r="H945" s="8" t="s">
        <v>2034</v>
      </c>
      <c r="I945" s="8" t="s">
        <v>1998</v>
      </c>
      <c r="J945" s="9">
        <v>1.18</v>
      </c>
    </row>
    <row r="946" spans="7:10" x14ac:dyDescent="0.3">
      <c r="G946" s="7" t="s">
        <v>1065</v>
      </c>
      <c r="H946" s="8" t="s">
        <v>2047</v>
      </c>
      <c r="I946" s="8" t="s">
        <v>2023</v>
      </c>
      <c r="J946" s="9">
        <v>6.15</v>
      </c>
    </row>
    <row r="947" spans="7:10" hidden="1" x14ac:dyDescent="0.3">
      <c r="G947" s="7" t="s">
        <v>926</v>
      </c>
      <c r="H947" s="8" t="s">
        <v>2057</v>
      </c>
      <c r="I947" s="8" t="s">
        <v>1986</v>
      </c>
      <c r="J947" s="9">
        <v>8.3000000000000007</v>
      </c>
    </row>
    <row r="948" spans="7:10" hidden="1" x14ac:dyDescent="0.3">
      <c r="G948" s="10" t="s">
        <v>927</v>
      </c>
      <c r="H948" s="11" t="s">
        <v>2038</v>
      </c>
      <c r="I948" s="11" t="s">
        <v>2031</v>
      </c>
      <c r="J948" s="12">
        <v>4.87</v>
      </c>
    </row>
    <row r="949" spans="7:10" hidden="1" x14ac:dyDescent="0.3">
      <c r="G949" s="7" t="s">
        <v>928</v>
      </c>
      <c r="H949" s="8" t="s">
        <v>2035</v>
      </c>
      <c r="I949" s="8" t="s">
        <v>1992</v>
      </c>
      <c r="J949" s="9">
        <v>5.3</v>
      </c>
    </row>
    <row r="950" spans="7:10" hidden="1" x14ac:dyDescent="0.3">
      <c r="G950" s="10" t="s">
        <v>929</v>
      </c>
      <c r="H950" s="11" t="s">
        <v>2067</v>
      </c>
      <c r="I950" s="11" t="s">
        <v>1979</v>
      </c>
      <c r="J950" s="12">
        <v>1.72</v>
      </c>
    </row>
    <row r="951" spans="7:10" hidden="1" x14ac:dyDescent="0.3">
      <c r="G951" s="7" t="s">
        <v>930</v>
      </c>
      <c r="H951" s="8" t="s">
        <v>2034</v>
      </c>
      <c r="I951" s="8" t="s">
        <v>2005</v>
      </c>
      <c r="J951" s="9">
        <v>4.3600000000000003</v>
      </c>
    </row>
    <row r="952" spans="7:10" hidden="1" x14ac:dyDescent="0.3">
      <c r="G952" s="10" t="s">
        <v>931</v>
      </c>
      <c r="H952" s="11" t="s">
        <v>2034</v>
      </c>
      <c r="I952" s="11" t="s">
        <v>2000</v>
      </c>
      <c r="J952" s="12">
        <v>19.809999999999999</v>
      </c>
    </row>
    <row r="953" spans="7:10" hidden="1" x14ac:dyDescent="0.3">
      <c r="G953" s="7" t="s">
        <v>932</v>
      </c>
      <c r="H953" s="8" t="s">
        <v>2034</v>
      </c>
      <c r="I953" s="8" t="s">
        <v>2026</v>
      </c>
      <c r="J953" s="9">
        <v>3.62</v>
      </c>
    </row>
    <row r="954" spans="7:10" hidden="1" x14ac:dyDescent="0.3">
      <c r="G954" s="10" t="s">
        <v>933</v>
      </c>
      <c r="H954" s="11" t="s">
        <v>2034</v>
      </c>
      <c r="I954" s="11" t="s">
        <v>2023</v>
      </c>
      <c r="J954" s="12">
        <v>5.59</v>
      </c>
    </row>
    <row r="955" spans="7:10" hidden="1" x14ac:dyDescent="0.3">
      <c r="G955" s="7" t="s">
        <v>934</v>
      </c>
      <c r="H955" s="8" t="s">
        <v>2034</v>
      </c>
      <c r="I955" s="8" t="s">
        <v>1997</v>
      </c>
      <c r="J955" s="9">
        <v>19.72</v>
      </c>
    </row>
    <row r="956" spans="7:10" hidden="1" x14ac:dyDescent="0.3">
      <c r="G956" s="10" t="s">
        <v>935</v>
      </c>
      <c r="H956" s="11" t="s">
        <v>2034</v>
      </c>
      <c r="I956" s="11" t="s">
        <v>2005</v>
      </c>
      <c r="J956" s="12">
        <v>3.12</v>
      </c>
    </row>
    <row r="957" spans="7:10" hidden="1" x14ac:dyDescent="0.3">
      <c r="G957" s="7" t="s">
        <v>936</v>
      </c>
      <c r="H957" s="8" t="s">
        <v>2064</v>
      </c>
      <c r="I957" s="8" t="s">
        <v>1979</v>
      </c>
      <c r="J957" s="9">
        <v>3.45</v>
      </c>
    </row>
    <row r="958" spans="7:10" hidden="1" x14ac:dyDescent="0.3">
      <c r="G958" s="10" t="s">
        <v>937</v>
      </c>
      <c r="H958" s="11" t="s">
        <v>2034</v>
      </c>
      <c r="I958" s="11" t="s">
        <v>1998</v>
      </c>
      <c r="J958" s="12">
        <v>0.95</v>
      </c>
    </row>
    <row r="959" spans="7:10" hidden="1" x14ac:dyDescent="0.3">
      <c r="G959" s="7" t="s">
        <v>938</v>
      </c>
      <c r="H959" s="8" t="s">
        <v>2039</v>
      </c>
      <c r="I959" s="8" t="s">
        <v>1993</v>
      </c>
      <c r="J959" s="9">
        <v>10.6</v>
      </c>
    </row>
    <row r="960" spans="7:10" hidden="1" x14ac:dyDescent="0.3">
      <c r="G960" s="10" t="s">
        <v>939</v>
      </c>
      <c r="H960" s="11" t="s">
        <v>2034</v>
      </c>
      <c r="I960" s="11" t="s">
        <v>1998</v>
      </c>
      <c r="J960" s="12">
        <v>0.73</v>
      </c>
    </row>
    <row r="961" spans="7:10" hidden="1" x14ac:dyDescent="0.3">
      <c r="G961" s="7" t="s">
        <v>940</v>
      </c>
      <c r="H961" s="8" t="s">
        <v>2034</v>
      </c>
      <c r="I961" s="8" t="s">
        <v>2030</v>
      </c>
      <c r="J961" s="9">
        <v>17.38</v>
      </c>
    </row>
    <row r="962" spans="7:10" x14ac:dyDescent="0.3">
      <c r="G962" s="10" t="s">
        <v>1125</v>
      </c>
      <c r="H962" s="11" t="s">
        <v>2047</v>
      </c>
      <c r="I962" s="11" t="s">
        <v>2023</v>
      </c>
      <c r="J962" s="12">
        <v>6.68</v>
      </c>
    </row>
    <row r="963" spans="7:10" hidden="1" x14ac:dyDescent="0.3">
      <c r="G963" s="7" t="s">
        <v>942</v>
      </c>
      <c r="H963" s="8" t="s">
        <v>2034</v>
      </c>
      <c r="I963" s="8" t="s">
        <v>2026</v>
      </c>
      <c r="J963" s="9">
        <v>3.76</v>
      </c>
    </row>
    <row r="964" spans="7:10" hidden="1" x14ac:dyDescent="0.3">
      <c r="G964" s="10" t="s">
        <v>943</v>
      </c>
      <c r="H964" s="11" t="s">
        <v>2034</v>
      </c>
      <c r="I964" s="11" t="s">
        <v>2005</v>
      </c>
      <c r="J964" s="12">
        <v>8.06</v>
      </c>
    </row>
    <row r="965" spans="7:10" hidden="1" x14ac:dyDescent="0.3">
      <c r="G965" s="7" t="s">
        <v>944</v>
      </c>
      <c r="H965" s="8" t="s">
        <v>2070</v>
      </c>
      <c r="I965" s="8" t="s">
        <v>2003</v>
      </c>
      <c r="J965" s="9">
        <v>4.3099999999999996</v>
      </c>
    </row>
    <row r="966" spans="7:10" hidden="1" x14ac:dyDescent="0.3">
      <c r="G966" s="10" t="s">
        <v>945</v>
      </c>
      <c r="H966" s="11" t="s">
        <v>2034</v>
      </c>
      <c r="I966" s="11" t="s">
        <v>2001</v>
      </c>
      <c r="J966" s="12">
        <v>4.16</v>
      </c>
    </row>
    <row r="967" spans="7:10" hidden="1" x14ac:dyDescent="0.3">
      <c r="G967" s="7" t="s">
        <v>946</v>
      </c>
      <c r="H967" s="8" t="s">
        <v>2034</v>
      </c>
      <c r="I967" s="8" t="s">
        <v>2001</v>
      </c>
      <c r="J967" s="9">
        <v>4.84</v>
      </c>
    </row>
    <row r="968" spans="7:10" hidden="1" x14ac:dyDescent="0.3">
      <c r="G968" s="10" t="s">
        <v>947</v>
      </c>
      <c r="H968" s="11" t="s">
        <v>2034</v>
      </c>
      <c r="I968" s="11" t="s">
        <v>2004</v>
      </c>
      <c r="J968" s="12">
        <v>6.43</v>
      </c>
    </row>
    <row r="969" spans="7:10" hidden="1" x14ac:dyDescent="0.3">
      <c r="G969" s="7" t="s">
        <v>948</v>
      </c>
      <c r="H969" s="8" t="s">
        <v>2034</v>
      </c>
      <c r="I969" s="8" t="s">
        <v>1979</v>
      </c>
      <c r="J969" s="9">
        <v>2.2000000000000002</v>
      </c>
    </row>
    <row r="970" spans="7:10" hidden="1" x14ac:dyDescent="0.3">
      <c r="G970" s="10" t="s">
        <v>949</v>
      </c>
      <c r="H970" s="11" t="s">
        <v>2043</v>
      </c>
      <c r="I970" s="11" t="s">
        <v>1987</v>
      </c>
      <c r="J970" s="12">
        <v>11.5</v>
      </c>
    </row>
    <row r="971" spans="7:10" hidden="1" x14ac:dyDescent="0.3">
      <c r="G971" s="7" t="s">
        <v>950</v>
      </c>
      <c r="H971" s="8" t="s">
        <v>2034</v>
      </c>
      <c r="I971" s="8" t="s">
        <v>2022</v>
      </c>
      <c r="J971" s="9">
        <v>4.54</v>
      </c>
    </row>
    <row r="972" spans="7:10" hidden="1" x14ac:dyDescent="0.3">
      <c r="G972" s="10" t="s">
        <v>951</v>
      </c>
      <c r="H972" s="11" t="s">
        <v>2036</v>
      </c>
      <c r="I972" s="11" t="s">
        <v>2017</v>
      </c>
      <c r="J972" s="12">
        <v>5.13</v>
      </c>
    </row>
    <row r="973" spans="7:10" hidden="1" x14ac:dyDescent="0.3">
      <c r="G973" s="7" t="s">
        <v>952</v>
      </c>
      <c r="H973" s="8" t="s">
        <v>2034</v>
      </c>
      <c r="I973" s="8" t="s">
        <v>1999</v>
      </c>
      <c r="J973" s="9">
        <v>2.73</v>
      </c>
    </row>
    <row r="974" spans="7:10" hidden="1" x14ac:dyDescent="0.3">
      <c r="G974" s="10" t="s">
        <v>953</v>
      </c>
      <c r="H974" s="11" t="s">
        <v>2043</v>
      </c>
      <c r="I974" s="11" t="s">
        <v>2023</v>
      </c>
      <c r="J974" s="12">
        <v>7.04</v>
      </c>
    </row>
    <row r="975" spans="7:10" hidden="1" x14ac:dyDescent="0.3">
      <c r="G975" s="7" t="s">
        <v>954</v>
      </c>
      <c r="H975" s="8" t="s">
        <v>2043</v>
      </c>
      <c r="I975" s="8" t="s">
        <v>2030</v>
      </c>
      <c r="J975" s="9">
        <v>7.16</v>
      </c>
    </row>
    <row r="976" spans="7:10" hidden="1" x14ac:dyDescent="0.3">
      <c r="G976" s="10" t="s">
        <v>955</v>
      </c>
      <c r="H976" s="11" t="s">
        <v>2034</v>
      </c>
      <c r="I976" s="11" t="s">
        <v>2005</v>
      </c>
      <c r="J976" s="12">
        <v>3.7</v>
      </c>
    </row>
    <row r="977" spans="7:10" hidden="1" x14ac:dyDescent="0.3">
      <c r="G977" s="7" t="s">
        <v>956</v>
      </c>
      <c r="H977" s="8" t="s">
        <v>2034</v>
      </c>
      <c r="I977" s="8" t="s">
        <v>2027</v>
      </c>
      <c r="J977" s="9">
        <v>5</v>
      </c>
    </row>
    <row r="978" spans="7:10" hidden="1" x14ac:dyDescent="0.3">
      <c r="G978" s="10" t="s">
        <v>957</v>
      </c>
      <c r="H978" s="11" t="s">
        <v>1977</v>
      </c>
      <c r="I978" s="11" t="s">
        <v>2015</v>
      </c>
      <c r="J978" s="12">
        <v>7.49</v>
      </c>
    </row>
    <row r="979" spans="7:10" hidden="1" x14ac:dyDescent="0.3">
      <c r="G979" s="7" t="s">
        <v>958</v>
      </c>
      <c r="H979" s="8" t="s">
        <v>2065</v>
      </c>
      <c r="I979" s="8" t="s">
        <v>2027</v>
      </c>
      <c r="J979" s="9">
        <v>10.38</v>
      </c>
    </row>
    <row r="980" spans="7:10" hidden="1" x14ac:dyDescent="0.3">
      <c r="G980" s="10" t="s">
        <v>959</v>
      </c>
      <c r="H980" s="11" t="s">
        <v>2063</v>
      </c>
      <c r="I980" s="11" t="s">
        <v>1992</v>
      </c>
      <c r="J980" s="12">
        <v>1.6</v>
      </c>
    </row>
    <row r="981" spans="7:10" hidden="1" x14ac:dyDescent="0.3">
      <c r="G981" s="7" t="s">
        <v>960</v>
      </c>
      <c r="H981" s="8" t="s">
        <v>2050</v>
      </c>
      <c r="I981" s="8" t="s">
        <v>1999</v>
      </c>
      <c r="J981" s="9">
        <v>4.16</v>
      </c>
    </row>
    <row r="982" spans="7:10" hidden="1" x14ac:dyDescent="0.3">
      <c r="G982" s="10" t="s">
        <v>961</v>
      </c>
      <c r="H982" s="11" t="s">
        <v>2064</v>
      </c>
      <c r="I982" s="11" t="s">
        <v>2028</v>
      </c>
      <c r="J982" s="12">
        <v>3.7</v>
      </c>
    </row>
    <row r="983" spans="7:10" hidden="1" x14ac:dyDescent="0.3">
      <c r="G983" s="7" t="s">
        <v>962</v>
      </c>
      <c r="H983" s="8" t="s">
        <v>2034</v>
      </c>
      <c r="I983" s="8" t="s">
        <v>2025</v>
      </c>
      <c r="J983" s="9">
        <v>5.85</v>
      </c>
    </row>
    <row r="984" spans="7:10" hidden="1" x14ac:dyDescent="0.3">
      <c r="G984" s="10" t="s">
        <v>963</v>
      </c>
      <c r="H984" s="11" t="s">
        <v>2038</v>
      </c>
      <c r="I984" s="11" t="s">
        <v>2031</v>
      </c>
      <c r="J984" s="12">
        <v>5.38</v>
      </c>
    </row>
    <row r="985" spans="7:10" hidden="1" x14ac:dyDescent="0.3">
      <c r="G985" s="7" t="s">
        <v>964</v>
      </c>
      <c r="H985" s="8" t="s">
        <v>2034</v>
      </c>
      <c r="I985" s="8" t="s">
        <v>2023</v>
      </c>
      <c r="J985" s="9">
        <v>5.76</v>
      </c>
    </row>
    <row r="986" spans="7:10" hidden="1" x14ac:dyDescent="0.3">
      <c r="G986" s="10" t="s">
        <v>965</v>
      </c>
      <c r="H986" s="11" t="s">
        <v>2034</v>
      </c>
      <c r="I986" s="11" t="s">
        <v>2022</v>
      </c>
      <c r="J986" s="12">
        <v>4.6399999999999997</v>
      </c>
    </row>
    <row r="987" spans="7:10" hidden="1" x14ac:dyDescent="0.3">
      <c r="G987" s="7" t="s">
        <v>966</v>
      </c>
      <c r="H987" s="8" t="s">
        <v>2074</v>
      </c>
      <c r="I987" s="8" t="s">
        <v>1979</v>
      </c>
      <c r="J987" s="9">
        <v>1.56</v>
      </c>
    </row>
    <row r="988" spans="7:10" hidden="1" x14ac:dyDescent="0.3">
      <c r="G988" s="10" t="s">
        <v>967</v>
      </c>
      <c r="H988" s="11" t="s">
        <v>2065</v>
      </c>
      <c r="I988" s="11" t="s">
        <v>2027</v>
      </c>
      <c r="J988" s="12">
        <v>3.71</v>
      </c>
    </row>
    <row r="989" spans="7:10" hidden="1" x14ac:dyDescent="0.3">
      <c r="G989" s="7" t="s">
        <v>968</v>
      </c>
      <c r="H989" s="8" t="s">
        <v>2034</v>
      </c>
      <c r="I989" s="8" t="s">
        <v>1979</v>
      </c>
      <c r="J989" s="9">
        <v>2.27</v>
      </c>
    </row>
    <row r="990" spans="7:10" x14ac:dyDescent="0.3">
      <c r="G990" s="7" t="s">
        <v>1516</v>
      </c>
      <c r="H990" s="8" t="s">
        <v>2047</v>
      </c>
      <c r="I990" s="8" t="s">
        <v>2023</v>
      </c>
      <c r="J990" s="9">
        <v>9.59</v>
      </c>
    </row>
    <row r="991" spans="7:10" hidden="1" x14ac:dyDescent="0.3">
      <c r="G991" s="7" t="s">
        <v>970</v>
      </c>
      <c r="H991" s="8" t="s">
        <v>1975</v>
      </c>
      <c r="I991" s="8" t="s">
        <v>2022</v>
      </c>
      <c r="J991" s="9">
        <v>1.92</v>
      </c>
    </row>
    <row r="992" spans="7:10" hidden="1" x14ac:dyDescent="0.3">
      <c r="G992" s="10" t="s">
        <v>971</v>
      </c>
      <c r="H992" s="11" t="s">
        <v>2041</v>
      </c>
      <c r="I992" s="11" t="s">
        <v>1998</v>
      </c>
      <c r="J992" s="12">
        <v>2.0699999999999998</v>
      </c>
    </row>
    <row r="993" spans="7:10" hidden="1" x14ac:dyDescent="0.3">
      <c r="G993" s="7" t="s">
        <v>972</v>
      </c>
      <c r="H993" s="8" t="s">
        <v>2034</v>
      </c>
      <c r="I993" s="8" t="s">
        <v>2028</v>
      </c>
      <c r="J993" s="9">
        <v>4.59</v>
      </c>
    </row>
    <row r="994" spans="7:10" hidden="1" x14ac:dyDescent="0.3">
      <c r="G994" s="10" t="s">
        <v>973</v>
      </c>
      <c r="H994" s="11" t="s">
        <v>2041</v>
      </c>
      <c r="I994" s="11" t="s">
        <v>2023</v>
      </c>
      <c r="J994" s="12">
        <v>18.25</v>
      </c>
    </row>
    <row r="995" spans="7:10" hidden="1" x14ac:dyDescent="0.3">
      <c r="G995" s="7" t="s">
        <v>974</v>
      </c>
      <c r="H995" s="8" t="s">
        <v>2057</v>
      </c>
      <c r="I995" s="8" t="s">
        <v>1987</v>
      </c>
      <c r="J995" s="9">
        <v>6.19</v>
      </c>
    </row>
    <row r="996" spans="7:10" hidden="1" x14ac:dyDescent="0.3">
      <c r="G996" s="10" t="s">
        <v>975</v>
      </c>
      <c r="H996" s="11" t="s">
        <v>2052</v>
      </c>
      <c r="I996" s="11" t="s">
        <v>2031</v>
      </c>
      <c r="J996" s="12">
        <v>1.47</v>
      </c>
    </row>
    <row r="997" spans="7:10" hidden="1" x14ac:dyDescent="0.3">
      <c r="G997" s="7" t="s">
        <v>976</v>
      </c>
      <c r="H997" s="8" t="s">
        <v>2034</v>
      </c>
      <c r="I997" s="8" t="s">
        <v>2026</v>
      </c>
      <c r="J997" s="9">
        <v>4.0599999999999996</v>
      </c>
    </row>
    <row r="998" spans="7:10" hidden="1" x14ac:dyDescent="0.3">
      <c r="G998" s="10" t="s">
        <v>2016</v>
      </c>
      <c r="H998" s="11" t="s">
        <v>2038</v>
      </c>
      <c r="I998" s="11" t="s">
        <v>2015</v>
      </c>
      <c r="J998" s="12">
        <v>9.19</v>
      </c>
    </row>
    <row r="999" spans="7:10" hidden="1" x14ac:dyDescent="0.3">
      <c r="G999" s="7" t="s">
        <v>977</v>
      </c>
      <c r="H999" s="8" t="s">
        <v>1975</v>
      </c>
      <c r="I999" s="8" t="s">
        <v>1993</v>
      </c>
      <c r="J999" s="9">
        <v>4.5199999999999996</v>
      </c>
    </row>
    <row r="1000" spans="7:10" hidden="1" x14ac:dyDescent="0.3">
      <c r="G1000" s="10" t="s">
        <v>978</v>
      </c>
      <c r="H1000" s="11" t="s">
        <v>2038</v>
      </c>
      <c r="I1000" s="11" t="s">
        <v>2023</v>
      </c>
      <c r="J1000" s="12">
        <v>10.29</v>
      </c>
    </row>
    <row r="1001" spans="7:10" hidden="1" x14ac:dyDescent="0.3">
      <c r="G1001" s="7" t="s">
        <v>979</v>
      </c>
      <c r="H1001" s="8" t="s">
        <v>2035</v>
      </c>
      <c r="I1001" s="8" t="s">
        <v>2031</v>
      </c>
      <c r="J1001" s="9">
        <v>3.93</v>
      </c>
    </row>
    <row r="1002" spans="7:10" hidden="1" x14ac:dyDescent="0.3">
      <c r="G1002" s="10" t="s">
        <v>980</v>
      </c>
      <c r="H1002" s="11" t="s">
        <v>2034</v>
      </c>
      <c r="I1002" s="11" t="s">
        <v>2015</v>
      </c>
      <c r="J1002" s="12">
        <v>4.8600000000000003</v>
      </c>
    </row>
    <row r="1003" spans="7:10" hidden="1" x14ac:dyDescent="0.3">
      <c r="G1003" s="7" t="s">
        <v>981</v>
      </c>
      <c r="H1003" s="8" t="s">
        <v>2038</v>
      </c>
      <c r="I1003" s="8" t="s">
        <v>1988</v>
      </c>
      <c r="J1003" s="9">
        <v>4.8</v>
      </c>
    </row>
    <row r="1004" spans="7:10" hidden="1" x14ac:dyDescent="0.3">
      <c r="G1004" s="10" t="s">
        <v>982</v>
      </c>
      <c r="H1004" s="11" t="s">
        <v>2035</v>
      </c>
      <c r="I1004" s="11" t="s">
        <v>1993</v>
      </c>
      <c r="J1004" s="12">
        <v>6.45</v>
      </c>
    </row>
    <row r="1005" spans="7:10" hidden="1" x14ac:dyDescent="0.3">
      <c r="G1005" s="7" t="s">
        <v>983</v>
      </c>
      <c r="H1005" s="8" t="s">
        <v>2034</v>
      </c>
      <c r="I1005" s="8" t="s">
        <v>2023</v>
      </c>
      <c r="J1005" s="9">
        <v>7.19</v>
      </c>
    </row>
    <row r="1006" spans="7:10" hidden="1" x14ac:dyDescent="0.3">
      <c r="G1006" s="10" t="s">
        <v>984</v>
      </c>
      <c r="H1006" s="11" t="s">
        <v>2052</v>
      </c>
      <c r="I1006" s="11" t="s">
        <v>1998</v>
      </c>
      <c r="J1006" s="12">
        <v>1.54</v>
      </c>
    </row>
    <row r="1007" spans="7:10" hidden="1" x14ac:dyDescent="0.3">
      <c r="G1007" s="7" t="s">
        <v>985</v>
      </c>
      <c r="H1007" s="8" t="s">
        <v>2035</v>
      </c>
      <c r="I1007" s="8" t="s">
        <v>1998</v>
      </c>
      <c r="J1007" s="9">
        <v>0.75</v>
      </c>
    </row>
    <row r="1008" spans="7:10" x14ac:dyDescent="0.3">
      <c r="G1008" s="10" t="s">
        <v>93</v>
      </c>
      <c r="H1008" s="11" t="s">
        <v>2047</v>
      </c>
      <c r="I1008" s="11" t="s">
        <v>2005</v>
      </c>
      <c r="J1008" s="12">
        <v>26.7</v>
      </c>
    </row>
    <row r="1009" spans="7:10" hidden="1" x14ac:dyDescent="0.3">
      <c r="G1009" s="7" t="s">
        <v>987</v>
      </c>
      <c r="H1009" s="8" t="s">
        <v>2038</v>
      </c>
      <c r="I1009" s="8" t="s">
        <v>2030</v>
      </c>
      <c r="J1009" s="9">
        <v>4.45</v>
      </c>
    </row>
    <row r="1010" spans="7:10" hidden="1" x14ac:dyDescent="0.3">
      <c r="G1010" s="10" t="s">
        <v>988</v>
      </c>
      <c r="H1010" s="11" t="s">
        <v>2081</v>
      </c>
      <c r="I1010" s="11" t="s">
        <v>1979</v>
      </c>
      <c r="J1010" s="12">
        <v>1.38</v>
      </c>
    </row>
    <row r="1011" spans="7:10" hidden="1" x14ac:dyDescent="0.3">
      <c r="G1011" s="7" t="s">
        <v>989</v>
      </c>
      <c r="H1011" s="8" t="s">
        <v>2039</v>
      </c>
      <c r="I1011" s="8" t="s">
        <v>2029</v>
      </c>
      <c r="J1011" s="9">
        <v>32.369999999999997</v>
      </c>
    </row>
    <row r="1012" spans="7:10" hidden="1" x14ac:dyDescent="0.3">
      <c r="G1012" s="10" t="s">
        <v>990</v>
      </c>
      <c r="H1012" s="11" t="s">
        <v>2035</v>
      </c>
      <c r="I1012" s="11" t="s">
        <v>2017</v>
      </c>
      <c r="J1012" s="12">
        <v>4.1399999999999997</v>
      </c>
    </row>
    <row r="1013" spans="7:10" hidden="1" x14ac:dyDescent="0.3">
      <c r="G1013" s="7" t="s">
        <v>991</v>
      </c>
      <c r="H1013" s="8" t="s">
        <v>2049</v>
      </c>
      <c r="I1013" s="8" t="s">
        <v>2005</v>
      </c>
      <c r="J1013" s="9">
        <v>4.49</v>
      </c>
    </row>
    <row r="1014" spans="7:10" hidden="1" x14ac:dyDescent="0.3">
      <c r="G1014" s="10" t="s">
        <v>992</v>
      </c>
      <c r="H1014" s="11" t="s">
        <v>2034</v>
      </c>
      <c r="I1014" s="11" t="s">
        <v>2026</v>
      </c>
      <c r="J1014" s="12">
        <v>4.9400000000000004</v>
      </c>
    </row>
    <row r="1015" spans="7:10" hidden="1" x14ac:dyDescent="0.3">
      <c r="G1015" s="7" t="s">
        <v>993</v>
      </c>
      <c r="H1015" s="8" t="s">
        <v>2035</v>
      </c>
      <c r="I1015" s="8" t="s">
        <v>2017</v>
      </c>
      <c r="J1015" s="9">
        <v>3.94</v>
      </c>
    </row>
    <row r="1016" spans="7:10" hidden="1" x14ac:dyDescent="0.3">
      <c r="G1016" s="10" t="s">
        <v>994</v>
      </c>
      <c r="H1016" s="11" t="s">
        <v>2038</v>
      </c>
      <c r="I1016" s="11" t="s">
        <v>2029</v>
      </c>
      <c r="J1016" s="12">
        <v>43.63</v>
      </c>
    </row>
    <row r="1017" spans="7:10" hidden="1" x14ac:dyDescent="0.3">
      <c r="G1017" s="7" t="s">
        <v>995</v>
      </c>
      <c r="H1017" s="8" t="s">
        <v>2034</v>
      </c>
      <c r="I1017" s="8" t="s">
        <v>1988</v>
      </c>
      <c r="J1017" s="9">
        <v>5.49</v>
      </c>
    </row>
    <row r="1018" spans="7:10" hidden="1" x14ac:dyDescent="0.3">
      <c r="G1018" s="10" t="s">
        <v>996</v>
      </c>
      <c r="H1018" s="11" t="s">
        <v>2034</v>
      </c>
      <c r="I1018" s="11" t="s">
        <v>1986</v>
      </c>
      <c r="J1018" s="12">
        <v>16.079999999999998</v>
      </c>
    </row>
    <row r="1019" spans="7:10" hidden="1" x14ac:dyDescent="0.3">
      <c r="G1019" s="7" t="s">
        <v>997</v>
      </c>
      <c r="H1019" s="8" t="s">
        <v>2034</v>
      </c>
      <c r="I1019" s="8" t="s">
        <v>1979</v>
      </c>
      <c r="J1019" s="9">
        <v>1.19</v>
      </c>
    </row>
    <row r="1020" spans="7:10" hidden="1" x14ac:dyDescent="0.3">
      <c r="G1020" s="10" t="s">
        <v>998</v>
      </c>
      <c r="H1020" s="11" t="s">
        <v>2034</v>
      </c>
      <c r="I1020" s="11" t="s">
        <v>1986</v>
      </c>
      <c r="J1020" s="12">
        <v>11.16</v>
      </c>
    </row>
    <row r="1021" spans="7:10" hidden="1" x14ac:dyDescent="0.3">
      <c r="G1021" s="7" t="s">
        <v>999</v>
      </c>
      <c r="H1021" s="8" t="s">
        <v>2035</v>
      </c>
      <c r="I1021" s="8" t="s">
        <v>1998</v>
      </c>
      <c r="J1021" s="9">
        <v>0.42</v>
      </c>
    </row>
    <row r="1022" spans="7:10" hidden="1" x14ac:dyDescent="0.3">
      <c r="G1022" s="10" t="s">
        <v>1000</v>
      </c>
      <c r="H1022" s="11" t="s">
        <v>2043</v>
      </c>
      <c r="I1022" s="11" t="s">
        <v>1988</v>
      </c>
      <c r="J1022" s="12">
        <v>11.2</v>
      </c>
    </row>
    <row r="1023" spans="7:10" hidden="1" x14ac:dyDescent="0.3">
      <c r="G1023" s="7" t="s">
        <v>1001</v>
      </c>
      <c r="H1023" s="8" t="s">
        <v>2057</v>
      </c>
      <c r="I1023" s="8" t="s">
        <v>2028</v>
      </c>
      <c r="J1023" s="9">
        <v>6.28</v>
      </c>
    </row>
    <row r="1024" spans="7:10" hidden="1" x14ac:dyDescent="0.3">
      <c r="G1024" s="10" t="s">
        <v>1002</v>
      </c>
      <c r="H1024" s="11" t="s">
        <v>2041</v>
      </c>
      <c r="I1024" s="11" t="s">
        <v>2004</v>
      </c>
      <c r="J1024" s="12">
        <v>5.65</v>
      </c>
    </row>
    <row r="1025" spans="7:10" hidden="1" x14ac:dyDescent="0.3">
      <c r="G1025" s="7" t="s">
        <v>1003</v>
      </c>
      <c r="H1025" s="8" t="s">
        <v>2044</v>
      </c>
      <c r="I1025" s="8" t="s">
        <v>2015</v>
      </c>
      <c r="J1025" s="9">
        <v>7.38</v>
      </c>
    </row>
    <row r="1026" spans="7:10" hidden="1" x14ac:dyDescent="0.3">
      <c r="G1026" s="10" t="s">
        <v>1004</v>
      </c>
      <c r="H1026" s="11" t="s">
        <v>2034</v>
      </c>
      <c r="I1026" s="11" t="s">
        <v>1988</v>
      </c>
      <c r="J1026" s="12">
        <v>7.06</v>
      </c>
    </row>
    <row r="1027" spans="7:10" hidden="1" x14ac:dyDescent="0.3">
      <c r="G1027" s="7" t="s">
        <v>1005</v>
      </c>
      <c r="H1027" s="8" t="s">
        <v>2034</v>
      </c>
      <c r="I1027" s="8" t="s">
        <v>1999</v>
      </c>
      <c r="J1027" s="9">
        <v>2.0299999999999998</v>
      </c>
    </row>
    <row r="1028" spans="7:10" hidden="1" x14ac:dyDescent="0.3">
      <c r="G1028" s="10" t="s">
        <v>1006</v>
      </c>
      <c r="H1028" s="11" t="s">
        <v>2038</v>
      </c>
      <c r="I1028" s="11" t="s">
        <v>1997</v>
      </c>
      <c r="J1028" s="12">
        <v>4.8099999999999996</v>
      </c>
    </row>
    <row r="1029" spans="7:10" hidden="1" x14ac:dyDescent="0.3">
      <c r="G1029" s="7" t="s">
        <v>1007</v>
      </c>
      <c r="H1029" s="8" t="s">
        <v>2052</v>
      </c>
      <c r="I1029" s="8" t="s">
        <v>1993</v>
      </c>
      <c r="J1029" s="9">
        <v>2.87</v>
      </c>
    </row>
    <row r="1030" spans="7:10" hidden="1" x14ac:dyDescent="0.3">
      <c r="G1030" s="10" t="s">
        <v>1008</v>
      </c>
      <c r="H1030" s="11" t="s">
        <v>2052</v>
      </c>
      <c r="I1030" s="11" t="s">
        <v>1979</v>
      </c>
      <c r="J1030" s="12">
        <v>1.01</v>
      </c>
    </row>
    <row r="1031" spans="7:10" hidden="1" x14ac:dyDescent="0.3">
      <c r="G1031" s="7" t="s">
        <v>1009</v>
      </c>
      <c r="H1031" s="8" t="s">
        <v>2035</v>
      </c>
      <c r="I1031" s="8" t="s">
        <v>2023</v>
      </c>
      <c r="J1031" s="9">
        <v>5.38</v>
      </c>
    </row>
    <row r="1032" spans="7:10" hidden="1" x14ac:dyDescent="0.3">
      <c r="G1032" s="10" t="s">
        <v>1010</v>
      </c>
      <c r="H1032" s="11" t="s">
        <v>2038</v>
      </c>
      <c r="I1032" s="11" t="s">
        <v>1979</v>
      </c>
      <c r="J1032" s="12">
        <v>1.51</v>
      </c>
    </row>
    <row r="1033" spans="7:10" hidden="1" x14ac:dyDescent="0.3">
      <c r="G1033" s="7" t="s">
        <v>1011</v>
      </c>
      <c r="H1033" s="8" t="s">
        <v>2035</v>
      </c>
      <c r="I1033" s="8" t="s">
        <v>1998</v>
      </c>
      <c r="J1033" s="9">
        <v>3.1</v>
      </c>
    </row>
    <row r="1034" spans="7:10" hidden="1" x14ac:dyDescent="0.3">
      <c r="G1034" s="10" t="s">
        <v>1012</v>
      </c>
      <c r="H1034" s="11" t="s">
        <v>2038</v>
      </c>
      <c r="I1034" s="11" t="s">
        <v>1997</v>
      </c>
      <c r="J1034" s="12">
        <v>13.5</v>
      </c>
    </row>
    <row r="1035" spans="7:10" hidden="1" x14ac:dyDescent="0.3">
      <c r="G1035" s="7" t="s">
        <v>1013</v>
      </c>
      <c r="H1035" s="8" t="s">
        <v>2041</v>
      </c>
      <c r="I1035" s="8" t="s">
        <v>2025</v>
      </c>
      <c r="J1035" s="9">
        <v>8.1199999999999992</v>
      </c>
    </row>
    <row r="1036" spans="7:10" hidden="1" x14ac:dyDescent="0.3">
      <c r="G1036" s="10" t="s">
        <v>1014</v>
      </c>
      <c r="H1036" s="11" t="s">
        <v>2034</v>
      </c>
      <c r="I1036" s="11" t="s">
        <v>1979</v>
      </c>
      <c r="J1036" s="12">
        <v>2.11</v>
      </c>
    </row>
    <row r="1037" spans="7:10" hidden="1" x14ac:dyDescent="0.3">
      <c r="G1037" s="7" t="s">
        <v>1015</v>
      </c>
      <c r="H1037" s="8" t="s">
        <v>2038</v>
      </c>
      <c r="I1037" s="8" t="s">
        <v>2030</v>
      </c>
      <c r="J1037" s="9">
        <v>7.73</v>
      </c>
    </row>
    <row r="1038" spans="7:10" hidden="1" x14ac:dyDescent="0.3">
      <c r="G1038" s="10" t="s">
        <v>1016</v>
      </c>
      <c r="H1038" s="11" t="s">
        <v>2049</v>
      </c>
      <c r="I1038" s="11" t="s">
        <v>1988</v>
      </c>
      <c r="J1038" s="12">
        <v>7.1</v>
      </c>
    </row>
    <row r="1039" spans="7:10" hidden="1" x14ac:dyDescent="0.3">
      <c r="G1039" s="7" t="s">
        <v>1017</v>
      </c>
      <c r="H1039" s="8" t="s">
        <v>2035</v>
      </c>
      <c r="I1039" s="8" t="s">
        <v>2015</v>
      </c>
      <c r="J1039" s="9">
        <v>5.56</v>
      </c>
    </row>
    <row r="1040" spans="7:10" hidden="1" x14ac:dyDescent="0.3">
      <c r="G1040" s="10" t="s">
        <v>1018</v>
      </c>
      <c r="H1040" s="11" t="s">
        <v>2034</v>
      </c>
      <c r="I1040" s="11" t="s">
        <v>1998</v>
      </c>
      <c r="J1040" s="12">
        <v>3.07</v>
      </c>
    </row>
    <row r="1041" spans="7:10" hidden="1" x14ac:dyDescent="0.3">
      <c r="G1041" s="7" t="s">
        <v>1019</v>
      </c>
      <c r="H1041" s="8" t="s">
        <v>2038</v>
      </c>
      <c r="I1041" s="8" t="s">
        <v>2027</v>
      </c>
      <c r="J1041" s="9">
        <v>2.88</v>
      </c>
    </row>
    <row r="1042" spans="7:10" hidden="1" x14ac:dyDescent="0.3">
      <c r="G1042" s="10" t="s">
        <v>1020</v>
      </c>
      <c r="H1042" s="11" t="s">
        <v>2034</v>
      </c>
      <c r="I1042" s="11" t="s">
        <v>2022</v>
      </c>
      <c r="J1042" s="12">
        <v>2.19</v>
      </c>
    </row>
    <row r="1043" spans="7:10" hidden="1" x14ac:dyDescent="0.3">
      <c r="G1043" s="7" t="s">
        <v>1021</v>
      </c>
      <c r="H1043" s="8" t="s">
        <v>2038</v>
      </c>
      <c r="I1043" s="8" t="s">
        <v>2031</v>
      </c>
      <c r="J1043" s="9">
        <v>4.3899999999999997</v>
      </c>
    </row>
    <row r="1044" spans="7:10" hidden="1" x14ac:dyDescent="0.3">
      <c r="G1044" s="10" t="s">
        <v>1022</v>
      </c>
      <c r="H1044" s="11" t="s">
        <v>2034</v>
      </c>
      <c r="I1044" s="11" t="s">
        <v>2031</v>
      </c>
      <c r="J1044" s="12">
        <v>4.78</v>
      </c>
    </row>
    <row r="1045" spans="7:10" hidden="1" x14ac:dyDescent="0.3">
      <c r="G1045" s="7" t="s">
        <v>1023</v>
      </c>
      <c r="H1045" s="8" t="s">
        <v>2065</v>
      </c>
      <c r="I1045" s="8" t="s">
        <v>1979</v>
      </c>
      <c r="J1045" s="9">
        <v>2.12</v>
      </c>
    </row>
    <row r="1046" spans="7:10" hidden="1" x14ac:dyDescent="0.3">
      <c r="G1046" s="10" t="s">
        <v>1024</v>
      </c>
      <c r="H1046" s="11" t="s">
        <v>2051</v>
      </c>
      <c r="I1046" s="11" t="s">
        <v>1987</v>
      </c>
      <c r="J1046" s="12">
        <v>4.7300000000000004</v>
      </c>
    </row>
    <row r="1047" spans="7:10" hidden="1" x14ac:dyDescent="0.3">
      <c r="G1047" s="7" t="s">
        <v>1025</v>
      </c>
      <c r="H1047" s="8" t="s">
        <v>2038</v>
      </c>
      <c r="I1047" s="8" t="s">
        <v>1979</v>
      </c>
      <c r="J1047" s="9">
        <v>1.37</v>
      </c>
    </row>
    <row r="1048" spans="7:10" hidden="1" x14ac:dyDescent="0.3">
      <c r="G1048" s="10" t="s">
        <v>1026</v>
      </c>
      <c r="H1048" s="11" t="s">
        <v>2034</v>
      </c>
      <c r="I1048" s="11" t="s">
        <v>2001</v>
      </c>
      <c r="J1048" s="12">
        <v>4.59</v>
      </c>
    </row>
    <row r="1049" spans="7:10" hidden="1" x14ac:dyDescent="0.3">
      <c r="G1049" s="7" t="s">
        <v>1027</v>
      </c>
      <c r="H1049" s="8" t="s">
        <v>2065</v>
      </c>
      <c r="I1049" s="8" t="s">
        <v>1998</v>
      </c>
      <c r="J1049" s="9">
        <v>1.93</v>
      </c>
    </row>
    <row r="1050" spans="7:10" hidden="1" x14ac:dyDescent="0.3">
      <c r="G1050" s="10" t="s">
        <v>1028</v>
      </c>
      <c r="H1050" s="11" t="s">
        <v>2041</v>
      </c>
      <c r="I1050" s="11" t="s">
        <v>1979</v>
      </c>
      <c r="J1050" s="12">
        <v>5.73</v>
      </c>
    </row>
    <row r="1051" spans="7:10" hidden="1" x14ac:dyDescent="0.3">
      <c r="G1051" s="7" t="s">
        <v>1029</v>
      </c>
      <c r="H1051" s="8" t="s">
        <v>2038</v>
      </c>
      <c r="I1051" s="8" t="s">
        <v>1987</v>
      </c>
      <c r="J1051" s="9">
        <v>11.58</v>
      </c>
    </row>
    <row r="1052" spans="7:10" hidden="1" x14ac:dyDescent="0.3">
      <c r="G1052" s="10" t="s">
        <v>1030</v>
      </c>
      <c r="H1052" s="11" t="s">
        <v>2034</v>
      </c>
      <c r="I1052" s="11" t="s">
        <v>1999</v>
      </c>
      <c r="J1052" s="12">
        <v>2.86</v>
      </c>
    </row>
    <row r="1053" spans="7:10" hidden="1" x14ac:dyDescent="0.3">
      <c r="G1053" s="7" t="s">
        <v>1031</v>
      </c>
      <c r="H1053" s="8" t="s">
        <v>2038</v>
      </c>
      <c r="I1053" s="8" t="s">
        <v>2004</v>
      </c>
      <c r="J1053" s="9">
        <v>9.9600000000000009</v>
      </c>
    </row>
    <row r="1054" spans="7:10" hidden="1" x14ac:dyDescent="0.3">
      <c r="G1054" s="10" t="s">
        <v>1032</v>
      </c>
      <c r="H1054" s="11" t="s">
        <v>2064</v>
      </c>
      <c r="I1054" s="11" t="s">
        <v>2022</v>
      </c>
      <c r="J1054" s="12">
        <v>8.5</v>
      </c>
    </row>
    <row r="1055" spans="7:10" hidden="1" x14ac:dyDescent="0.3">
      <c r="G1055" s="7" t="s">
        <v>1033</v>
      </c>
      <c r="H1055" s="8" t="s">
        <v>2035</v>
      </c>
      <c r="I1055" s="8" t="s">
        <v>1993</v>
      </c>
      <c r="J1055" s="9">
        <v>3.93</v>
      </c>
    </row>
    <row r="1056" spans="7:10" hidden="1" x14ac:dyDescent="0.3">
      <c r="G1056" s="10" t="s">
        <v>1034</v>
      </c>
      <c r="H1056" s="11" t="s">
        <v>2034</v>
      </c>
      <c r="I1056" s="11" t="s">
        <v>2017</v>
      </c>
      <c r="J1056" s="12">
        <v>8.43</v>
      </c>
    </row>
    <row r="1057" spans="7:10" hidden="1" x14ac:dyDescent="0.3">
      <c r="G1057" s="7" t="s">
        <v>1035</v>
      </c>
      <c r="H1057" s="8" t="s">
        <v>1977</v>
      </c>
      <c r="I1057" s="8" t="s">
        <v>2005</v>
      </c>
      <c r="J1057" s="9">
        <v>5.63</v>
      </c>
    </row>
    <row r="1058" spans="7:10" hidden="1" x14ac:dyDescent="0.3">
      <c r="G1058" s="10" t="s">
        <v>1036</v>
      </c>
      <c r="H1058" s="11" t="s">
        <v>2042</v>
      </c>
      <c r="I1058" s="11" t="s">
        <v>1979</v>
      </c>
      <c r="J1058" s="12">
        <v>3.25</v>
      </c>
    </row>
    <row r="1059" spans="7:10" hidden="1" x14ac:dyDescent="0.3">
      <c r="G1059" s="7" t="s">
        <v>1037</v>
      </c>
      <c r="H1059" s="8" t="s">
        <v>2034</v>
      </c>
      <c r="I1059" s="8" t="s">
        <v>1998</v>
      </c>
      <c r="J1059" s="9">
        <v>1.44</v>
      </c>
    </row>
    <row r="1060" spans="7:10" hidden="1" x14ac:dyDescent="0.3">
      <c r="G1060" s="10" t="s">
        <v>1038</v>
      </c>
      <c r="H1060" s="11" t="s">
        <v>2037</v>
      </c>
      <c r="I1060" s="11" t="s">
        <v>2004</v>
      </c>
      <c r="J1060" s="12">
        <v>3.49</v>
      </c>
    </row>
    <row r="1061" spans="7:10" hidden="1" x14ac:dyDescent="0.3">
      <c r="G1061" s="7" t="s">
        <v>1039</v>
      </c>
      <c r="H1061" s="8" t="s">
        <v>2034</v>
      </c>
      <c r="I1061" s="8" t="s">
        <v>1998</v>
      </c>
      <c r="J1061" s="9">
        <v>3</v>
      </c>
    </row>
    <row r="1062" spans="7:10" hidden="1" x14ac:dyDescent="0.3">
      <c r="G1062" s="10" t="s">
        <v>1040</v>
      </c>
      <c r="H1062" s="11" t="s">
        <v>2060</v>
      </c>
      <c r="I1062" s="11" t="s">
        <v>2001</v>
      </c>
      <c r="J1062" s="12">
        <v>4.18</v>
      </c>
    </row>
    <row r="1063" spans="7:10" hidden="1" x14ac:dyDescent="0.3">
      <c r="G1063" s="7" t="s">
        <v>1041</v>
      </c>
      <c r="H1063" s="8" t="s">
        <v>2038</v>
      </c>
      <c r="I1063" s="8" t="s">
        <v>2017</v>
      </c>
      <c r="J1063" s="9">
        <v>2.97</v>
      </c>
    </row>
    <row r="1064" spans="7:10" hidden="1" x14ac:dyDescent="0.3">
      <c r="G1064" s="10" t="s">
        <v>1042</v>
      </c>
      <c r="H1064" s="11" t="s">
        <v>2041</v>
      </c>
      <c r="I1064" s="11" t="s">
        <v>1998</v>
      </c>
      <c r="J1064" s="12">
        <v>8.31</v>
      </c>
    </row>
    <row r="1065" spans="7:10" hidden="1" x14ac:dyDescent="0.3">
      <c r="G1065" s="7" t="s">
        <v>1043</v>
      </c>
      <c r="H1065" s="8" t="s">
        <v>2034</v>
      </c>
      <c r="I1065" s="8" t="s">
        <v>1997</v>
      </c>
      <c r="J1065" s="9">
        <v>27.2</v>
      </c>
    </row>
    <row r="1066" spans="7:10" hidden="1" x14ac:dyDescent="0.3">
      <c r="G1066" s="10" t="s">
        <v>1044</v>
      </c>
      <c r="H1066" s="11" t="s">
        <v>2038</v>
      </c>
      <c r="I1066" s="11" t="s">
        <v>1987</v>
      </c>
      <c r="J1066" s="12">
        <v>4.53</v>
      </c>
    </row>
    <row r="1067" spans="7:10" hidden="1" x14ac:dyDescent="0.3">
      <c r="G1067" s="7" t="s">
        <v>1045</v>
      </c>
      <c r="H1067" s="8" t="s">
        <v>2079</v>
      </c>
      <c r="I1067" s="8" t="s">
        <v>1979</v>
      </c>
      <c r="J1067" s="9">
        <v>2.33</v>
      </c>
    </row>
    <row r="1068" spans="7:10" hidden="1" x14ac:dyDescent="0.3">
      <c r="G1068" s="10" t="s">
        <v>1046</v>
      </c>
      <c r="H1068" s="11" t="s">
        <v>2034</v>
      </c>
      <c r="I1068" s="11" t="s">
        <v>1997</v>
      </c>
      <c r="J1068" s="12">
        <v>11.6</v>
      </c>
    </row>
    <row r="1069" spans="7:10" hidden="1" x14ac:dyDescent="0.3">
      <c r="G1069" s="7" t="s">
        <v>1047</v>
      </c>
      <c r="H1069" s="8" t="s">
        <v>2038</v>
      </c>
      <c r="I1069" s="8" t="s">
        <v>2015</v>
      </c>
      <c r="J1069" s="9">
        <v>4.5199999999999996</v>
      </c>
    </row>
    <row r="1070" spans="7:10" hidden="1" x14ac:dyDescent="0.3">
      <c r="G1070" s="10" t="s">
        <v>1048</v>
      </c>
      <c r="H1070" s="11" t="s">
        <v>2034</v>
      </c>
      <c r="I1070" s="11" t="s">
        <v>2002</v>
      </c>
      <c r="J1070" s="12">
        <v>2.92</v>
      </c>
    </row>
    <row r="1071" spans="7:10" hidden="1" x14ac:dyDescent="0.3">
      <c r="G1071" s="7" t="s">
        <v>1049</v>
      </c>
      <c r="H1071" s="8" t="s">
        <v>2044</v>
      </c>
      <c r="I1071" s="8" t="s">
        <v>1978</v>
      </c>
      <c r="J1071" s="9">
        <v>3.85</v>
      </c>
    </row>
    <row r="1072" spans="7:10" hidden="1" x14ac:dyDescent="0.3">
      <c r="G1072" s="10" t="s">
        <v>1050</v>
      </c>
      <c r="H1072" s="11" t="s">
        <v>2034</v>
      </c>
      <c r="I1072" s="11" t="s">
        <v>2004</v>
      </c>
      <c r="J1072" s="12">
        <v>4.51</v>
      </c>
    </row>
    <row r="1073" spans="7:10" hidden="1" x14ac:dyDescent="0.3">
      <c r="G1073" s="7" t="s">
        <v>1051</v>
      </c>
      <c r="H1073" s="8" t="s">
        <v>2034</v>
      </c>
      <c r="I1073" s="8" t="s">
        <v>2027</v>
      </c>
      <c r="J1073" s="9">
        <v>8.1</v>
      </c>
    </row>
    <row r="1074" spans="7:10" hidden="1" x14ac:dyDescent="0.3">
      <c r="G1074" s="10" t="s">
        <v>1052</v>
      </c>
      <c r="H1074" s="11" t="s">
        <v>2082</v>
      </c>
      <c r="I1074" s="11" t="s">
        <v>2028</v>
      </c>
      <c r="J1074" s="12">
        <v>3.35</v>
      </c>
    </row>
    <row r="1075" spans="7:10" hidden="1" x14ac:dyDescent="0.3">
      <c r="G1075" s="7" t="s">
        <v>1053</v>
      </c>
      <c r="H1075" s="8" t="s">
        <v>2043</v>
      </c>
      <c r="I1075" s="8" t="s">
        <v>2031</v>
      </c>
      <c r="J1075" s="9">
        <v>8.92</v>
      </c>
    </row>
    <row r="1076" spans="7:10" hidden="1" x14ac:dyDescent="0.3">
      <c r="G1076" s="10" t="s">
        <v>1054</v>
      </c>
      <c r="H1076" s="11" t="s">
        <v>2060</v>
      </c>
      <c r="I1076" s="11" t="s">
        <v>1992</v>
      </c>
      <c r="J1076" s="12">
        <v>6.53</v>
      </c>
    </row>
    <row r="1077" spans="7:10" hidden="1" x14ac:dyDescent="0.3">
      <c r="G1077" s="7" t="s">
        <v>1055</v>
      </c>
      <c r="H1077" s="8" t="s">
        <v>2042</v>
      </c>
      <c r="I1077" s="8" t="s">
        <v>1979</v>
      </c>
      <c r="J1077" s="9">
        <v>2.71</v>
      </c>
    </row>
    <row r="1078" spans="7:10" hidden="1" x14ac:dyDescent="0.3">
      <c r="G1078" s="10" t="s">
        <v>1056</v>
      </c>
      <c r="H1078" s="11" t="s">
        <v>2056</v>
      </c>
      <c r="I1078" s="11" t="s">
        <v>2017</v>
      </c>
      <c r="J1078" s="12">
        <v>1.46</v>
      </c>
    </row>
    <row r="1079" spans="7:10" hidden="1" x14ac:dyDescent="0.3">
      <c r="G1079" s="7" t="s">
        <v>1057</v>
      </c>
      <c r="H1079" s="8" t="s">
        <v>2039</v>
      </c>
      <c r="I1079" s="8" t="s">
        <v>1997</v>
      </c>
      <c r="J1079" s="9">
        <v>10.85</v>
      </c>
    </row>
    <row r="1080" spans="7:10" hidden="1" x14ac:dyDescent="0.3">
      <c r="G1080" s="10" t="s">
        <v>1058</v>
      </c>
      <c r="H1080" s="11" t="s">
        <v>2034</v>
      </c>
      <c r="I1080" s="11" t="s">
        <v>1993</v>
      </c>
      <c r="J1080" s="12">
        <v>11.94</v>
      </c>
    </row>
    <row r="1081" spans="7:10" hidden="1" x14ac:dyDescent="0.3">
      <c r="G1081" s="7" t="s">
        <v>1059</v>
      </c>
      <c r="H1081" s="8" t="s">
        <v>2034</v>
      </c>
      <c r="I1081" s="8" t="s">
        <v>2026</v>
      </c>
      <c r="J1081" s="9">
        <v>1.97</v>
      </c>
    </row>
    <row r="1082" spans="7:10" hidden="1" x14ac:dyDescent="0.3">
      <c r="G1082" s="10" t="s">
        <v>1060</v>
      </c>
      <c r="H1082" s="11" t="s">
        <v>2034</v>
      </c>
      <c r="I1082" s="11" t="s">
        <v>2027</v>
      </c>
      <c r="J1082" s="12">
        <v>11.16</v>
      </c>
    </row>
    <row r="1083" spans="7:10" hidden="1" x14ac:dyDescent="0.3">
      <c r="G1083" s="7" t="s">
        <v>1061</v>
      </c>
      <c r="H1083" s="8" t="s">
        <v>2066</v>
      </c>
      <c r="I1083" s="8" t="s">
        <v>1998</v>
      </c>
      <c r="J1083" s="9">
        <v>2.31</v>
      </c>
    </row>
    <row r="1084" spans="7:10" hidden="1" x14ac:dyDescent="0.3">
      <c r="G1084" s="10" t="s">
        <v>1062</v>
      </c>
      <c r="H1084" s="11" t="s">
        <v>2034</v>
      </c>
      <c r="I1084" s="11" t="s">
        <v>2015</v>
      </c>
      <c r="J1084" s="12">
        <v>3.81</v>
      </c>
    </row>
    <row r="1085" spans="7:10" hidden="1" x14ac:dyDescent="0.3">
      <c r="G1085" s="7" t="s">
        <v>1063</v>
      </c>
      <c r="H1085" s="8" t="s">
        <v>2043</v>
      </c>
      <c r="I1085" s="8" t="s">
        <v>2029</v>
      </c>
      <c r="J1085" s="9">
        <v>15.4</v>
      </c>
    </row>
    <row r="1086" spans="7:10" hidden="1" x14ac:dyDescent="0.3">
      <c r="G1086" s="10" t="s">
        <v>1064</v>
      </c>
      <c r="H1086" s="11" t="s">
        <v>2034</v>
      </c>
      <c r="I1086" s="11" t="s">
        <v>2027</v>
      </c>
      <c r="J1086" s="12">
        <v>28.81</v>
      </c>
    </row>
    <row r="1087" spans="7:10" x14ac:dyDescent="0.3">
      <c r="G1087" s="7" t="s">
        <v>162</v>
      </c>
      <c r="H1087" s="8" t="s">
        <v>2047</v>
      </c>
      <c r="I1087" s="8" t="s">
        <v>2005</v>
      </c>
      <c r="J1087" s="9">
        <v>18.739999999999998</v>
      </c>
    </row>
    <row r="1088" spans="7:10" hidden="1" x14ac:dyDescent="0.3">
      <c r="G1088" s="10" t="s">
        <v>1066</v>
      </c>
      <c r="H1088" s="11" t="s">
        <v>2034</v>
      </c>
      <c r="I1088" s="11" t="s">
        <v>2004</v>
      </c>
      <c r="J1088" s="12">
        <v>6.36</v>
      </c>
    </row>
    <row r="1089" spans="7:10" hidden="1" x14ac:dyDescent="0.3">
      <c r="G1089" s="7" t="s">
        <v>1067</v>
      </c>
      <c r="H1089" s="8" t="s">
        <v>2066</v>
      </c>
      <c r="I1089" s="8" t="s">
        <v>1992</v>
      </c>
      <c r="J1089" s="9">
        <v>3.42</v>
      </c>
    </row>
    <row r="1090" spans="7:10" hidden="1" x14ac:dyDescent="0.3">
      <c r="G1090" s="10" t="s">
        <v>1068</v>
      </c>
      <c r="H1090" s="11" t="s">
        <v>2039</v>
      </c>
      <c r="I1090" s="11" t="s">
        <v>2026</v>
      </c>
      <c r="J1090" s="12">
        <v>8.2200000000000006</v>
      </c>
    </row>
    <row r="1091" spans="7:10" hidden="1" x14ac:dyDescent="0.3">
      <c r="G1091" s="7" t="s">
        <v>1069</v>
      </c>
      <c r="H1091" s="8" t="s">
        <v>2061</v>
      </c>
      <c r="I1091" s="8" t="s">
        <v>2022</v>
      </c>
      <c r="J1091" s="9">
        <v>14.75</v>
      </c>
    </row>
    <row r="1092" spans="7:10" hidden="1" x14ac:dyDescent="0.3">
      <c r="G1092" s="10" t="s">
        <v>1070</v>
      </c>
      <c r="H1092" s="11" t="s">
        <v>2052</v>
      </c>
      <c r="I1092" s="11" t="s">
        <v>1992</v>
      </c>
      <c r="J1092" s="12">
        <v>2.95</v>
      </c>
    </row>
    <row r="1093" spans="7:10" hidden="1" x14ac:dyDescent="0.3">
      <c r="G1093" s="7" t="s">
        <v>1071</v>
      </c>
      <c r="H1093" s="8" t="s">
        <v>2034</v>
      </c>
      <c r="I1093" s="8" t="s">
        <v>2031</v>
      </c>
      <c r="J1093" s="9">
        <v>3.82</v>
      </c>
    </row>
    <row r="1094" spans="7:10" hidden="1" x14ac:dyDescent="0.3">
      <c r="G1094" s="10" t="s">
        <v>1072</v>
      </c>
      <c r="H1094" s="11" t="s">
        <v>2034</v>
      </c>
      <c r="I1094" s="11" t="s">
        <v>2002</v>
      </c>
      <c r="J1094" s="12">
        <v>5.29</v>
      </c>
    </row>
    <row r="1095" spans="7:10" hidden="1" x14ac:dyDescent="0.3">
      <c r="G1095" s="7" t="s">
        <v>1073</v>
      </c>
      <c r="H1095" s="8" t="s">
        <v>2034</v>
      </c>
      <c r="I1095" s="8" t="s">
        <v>2030</v>
      </c>
      <c r="J1095" s="9">
        <v>15.69</v>
      </c>
    </row>
    <row r="1096" spans="7:10" hidden="1" x14ac:dyDescent="0.3">
      <c r="G1096" s="10" t="s">
        <v>1074</v>
      </c>
      <c r="H1096" s="11" t="s">
        <v>2041</v>
      </c>
      <c r="I1096" s="11" t="s">
        <v>2015</v>
      </c>
      <c r="J1096" s="12">
        <v>8.06</v>
      </c>
    </row>
    <row r="1097" spans="7:10" hidden="1" x14ac:dyDescent="0.3">
      <c r="G1097" s="7" t="s">
        <v>1075</v>
      </c>
      <c r="H1097" s="8" t="s">
        <v>2034</v>
      </c>
      <c r="I1097" s="8" t="s">
        <v>2023</v>
      </c>
      <c r="J1097" s="9">
        <v>8.3000000000000007</v>
      </c>
    </row>
    <row r="1098" spans="7:10" hidden="1" x14ac:dyDescent="0.3">
      <c r="G1098" s="10" t="s">
        <v>1985</v>
      </c>
      <c r="H1098" s="11" t="s">
        <v>2045</v>
      </c>
      <c r="I1098" s="11" t="s">
        <v>1979</v>
      </c>
      <c r="J1098" s="12">
        <v>2.17</v>
      </c>
    </row>
    <row r="1099" spans="7:10" hidden="1" x14ac:dyDescent="0.3">
      <c r="G1099" s="7" t="s">
        <v>1076</v>
      </c>
      <c r="H1099" s="8" t="s">
        <v>2038</v>
      </c>
      <c r="I1099" s="8" t="s">
        <v>2002</v>
      </c>
      <c r="J1099" s="9">
        <v>7.59</v>
      </c>
    </row>
    <row r="1100" spans="7:10" hidden="1" x14ac:dyDescent="0.3">
      <c r="G1100" s="10" t="s">
        <v>1077</v>
      </c>
      <c r="H1100" s="11" t="s">
        <v>2073</v>
      </c>
      <c r="I1100" s="11" t="s">
        <v>2022</v>
      </c>
      <c r="J1100" s="12">
        <v>2.2599999999999998</v>
      </c>
    </row>
    <row r="1101" spans="7:10" hidden="1" x14ac:dyDescent="0.3">
      <c r="G1101" s="7" t="s">
        <v>1078</v>
      </c>
      <c r="H1101" s="8" t="s">
        <v>1975</v>
      </c>
      <c r="I1101" s="8" t="s">
        <v>2015</v>
      </c>
      <c r="J1101" s="9">
        <v>6.04</v>
      </c>
    </row>
    <row r="1102" spans="7:10" hidden="1" x14ac:dyDescent="0.3">
      <c r="G1102" s="10" t="s">
        <v>1079</v>
      </c>
      <c r="H1102" s="11" t="s">
        <v>2034</v>
      </c>
      <c r="I1102" s="11" t="s">
        <v>2004</v>
      </c>
      <c r="J1102" s="12">
        <v>5.18</v>
      </c>
    </row>
    <row r="1103" spans="7:10" hidden="1" x14ac:dyDescent="0.3">
      <c r="G1103" s="7" t="s">
        <v>1080</v>
      </c>
      <c r="H1103" s="8" t="s">
        <v>2040</v>
      </c>
      <c r="I1103" s="8" t="s">
        <v>1979</v>
      </c>
      <c r="J1103" s="9">
        <v>1.7</v>
      </c>
    </row>
    <row r="1104" spans="7:10" hidden="1" x14ac:dyDescent="0.3">
      <c r="G1104" s="10" t="s">
        <v>1081</v>
      </c>
      <c r="H1104" s="11" t="s">
        <v>2034</v>
      </c>
      <c r="I1104" s="11" t="s">
        <v>1993</v>
      </c>
      <c r="J1104" s="12">
        <v>5.28</v>
      </c>
    </row>
    <row r="1105" spans="7:10" hidden="1" x14ac:dyDescent="0.3">
      <c r="G1105" s="7" t="s">
        <v>1082</v>
      </c>
      <c r="H1105" s="8" t="s">
        <v>2069</v>
      </c>
      <c r="I1105" s="8" t="s">
        <v>1992</v>
      </c>
      <c r="J1105" s="9">
        <v>9</v>
      </c>
    </row>
    <row r="1106" spans="7:10" hidden="1" x14ac:dyDescent="0.3">
      <c r="G1106" s="10" t="s">
        <v>1083</v>
      </c>
      <c r="H1106" s="11" t="s">
        <v>2034</v>
      </c>
      <c r="I1106" s="11" t="s">
        <v>2022</v>
      </c>
      <c r="J1106" s="12">
        <v>3.46</v>
      </c>
    </row>
    <row r="1107" spans="7:10" hidden="1" x14ac:dyDescent="0.3">
      <c r="G1107" s="7" t="s">
        <v>1084</v>
      </c>
      <c r="H1107" s="8" t="s">
        <v>2036</v>
      </c>
      <c r="I1107" s="8" t="s">
        <v>1986</v>
      </c>
      <c r="J1107" s="9">
        <v>7.85</v>
      </c>
    </row>
    <row r="1108" spans="7:10" hidden="1" x14ac:dyDescent="0.3">
      <c r="G1108" s="10" t="s">
        <v>1085</v>
      </c>
      <c r="H1108" s="11" t="s">
        <v>2038</v>
      </c>
      <c r="I1108" s="11" t="s">
        <v>1986</v>
      </c>
      <c r="J1108" s="12">
        <v>5.68</v>
      </c>
    </row>
    <row r="1109" spans="7:10" hidden="1" x14ac:dyDescent="0.3">
      <c r="G1109" s="7" t="s">
        <v>1086</v>
      </c>
      <c r="H1109" s="8" t="s">
        <v>2034</v>
      </c>
      <c r="I1109" s="8" t="s">
        <v>2027</v>
      </c>
      <c r="J1109" s="9">
        <v>2.06</v>
      </c>
    </row>
    <row r="1110" spans="7:10" hidden="1" x14ac:dyDescent="0.3">
      <c r="G1110" s="10" t="s">
        <v>1087</v>
      </c>
      <c r="H1110" s="11" t="s">
        <v>2034</v>
      </c>
      <c r="I1110" s="11" t="s">
        <v>1986</v>
      </c>
      <c r="J1110" s="12">
        <v>1.73</v>
      </c>
    </row>
    <row r="1111" spans="7:10" hidden="1" x14ac:dyDescent="0.3">
      <c r="G1111" s="7" t="s">
        <v>1088</v>
      </c>
      <c r="H1111" s="8" t="s">
        <v>2042</v>
      </c>
      <c r="I1111" s="8" t="s">
        <v>1979</v>
      </c>
      <c r="J1111" s="9">
        <v>3.18</v>
      </c>
    </row>
    <row r="1112" spans="7:10" hidden="1" x14ac:dyDescent="0.3">
      <c r="G1112" s="10" t="s">
        <v>1089</v>
      </c>
      <c r="H1112" s="11" t="s">
        <v>2034</v>
      </c>
      <c r="I1112" s="11" t="s">
        <v>2025</v>
      </c>
      <c r="J1112" s="12">
        <v>2.67</v>
      </c>
    </row>
    <row r="1113" spans="7:10" hidden="1" x14ac:dyDescent="0.3">
      <c r="G1113" s="7" t="s">
        <v>1090</v>
      </c>
      <c r="H1113" s="8" t="s">
        <v>2034</v>
      </c>
      <c r="I1113" s="8" t="s">
        <v>1998</v>
      </c>
      <c r="J1113" s="9">
        <v>1.04</v>
      </c>
    </row>
    <row r="1114" spans="7:10" hidden="1" x14ac:dyDescent="0.3">
      <c r="G1114" s="10" t="s">
        <v>1091</v>
      </c>
      <c r="H1114" s="11" t="s">
        <v>2042</v>
      </c>
      <c r="I1114" s="11" t="s">
        <v>2005</v>
      </c>
      <c r="J1114" s="12">
        <v>3.41</v>
      </c>
    </row>
    <row r="1115" spans="7:10" hidden="1" x14ac:dyDescent="0.3">
      <c r="G1115" s="7" t="s">
        <v>1092</v>
      </c>
      <c r="H1115" s="8" t="s">
        <v>2038</v>
      </c>
      <c r="I1115" s="8" t="s">
        <v>2025</v>
      </c>
      <c r="J1115" s="9">
        <v>5.96</v>
      </c>
    </row>
    <row r="1116" spans="7:10" hidden="1" x14ac:dyDescent="0.3">
      <c r="G1116" s="10" t="s">
        <v>1093</v>
      </c>
      <c r="H1116" s="11" t="s">
        <v>2034</v>
      </c>
      <c r="I1116" s="11" t="s">
        <v>1992</v>
      </c>
      <c r="J1116" s="12">
        <v>4.29</v>
      </c>
    </row>
    <row r="1117" spans="7:10" hidden="1" x14ac:dyDescent="0.3">
      <c r="G1117" s="7" t="s">
        <v>1094</v>
      </c>
      <c r="H1117" s="8" t="s">
        <v>2034</v>
      </c>
      <c r="I1117" s="8" t="s">
        <v>1988</v>
      </c>
      <c r="J1117" s="9">
        <v>12.94</v>
      </c>
    </row>
    <row r="1118" spans="7:10" hidden="1" x14ac:dyDescent="0.3">
      <c r="G1118" s="10" t="s">
        <v>1095</v>
      </c>
      <c r="H1118" s="11" t="s">
        <v>2069</v>
      </c>
      <c r="I1118" s="11" t="s">
        <v>1998</v>
      </c>
      <c r="J1118" s="12">
        <v>2.4</v>
      </c>
    </row>
    <row r="1119" spans="7:10" hidden="1" x14ac:dyDescent="0.3">
      <c r="G1119" s="7" t="s">
        <v>1096</v>
      </c>
      <c r="H1119" s="8" t="s">
        <v>2063</v>
      </c>
      <c r="I1119" s="8" t="s">
        <v>1992</v>
      </c>
      <c r="J1119" s="9">
        <v>9.4499999999999993</v>
      </c>
    </row>
    <row r="1120" spans="7:10" hidden="1" x14ac:dyDescent="0.3">
      <c r="G1120" s="10" t="s">
        <v>1097</v>
      </c>
      <c r="H1120" s="11" t="s">
        <v>2038</v>
      </c>
      <c r="I1120" s="11" t="s">
        <v>1987</v>
      </c>
      <c r="J1120" s="12">
        <v>10.16</v>
      </c>
    </row>
    <row r="1121" spans="7:10" hidden="1" x14ac:dyDescent="0.3">
      <c r="G1121" s="7" t="s">
        <v>1098</v>
      </c>
      <c r="H1121" s="8" t="s">
        <v>2034</v>
      </c>
      <c r="I1121" s="8" t="s">
        <v>2031</v>
      </c>
      <c r="J1121" s="9">
        <v>5.3</v>
      </c>
    </row>
    <row r="1122" spans="7:10" hidden="1" x14ac:dyDescent="0.3">
      <c r="G1122" s="10" t="s">
        <v>1099</v>
      </c>
      <c r="H1122" s="11" t="s">
        <v>2038</v>
      </c>
      <c r="I1122" s="11" t="s">
        <v>1988</v>
      </c>
      <c r="J1122" s="12">
        <v>8.48</v>
      </c>
    </row>
    <row r="1123" spans="7:10" hidden="1" x14ac:dyDescent="0.3">
      <c r="G1123" s="7" t="s">
        <v>1100</v>
      </c>
      <c r="H1123" s="8" t="s">
        <v>2034</v>
      </c>
      <c r="I1123" s="8" t="s">
        <v>2022</v>
      </c>
      <c r="J1123" s="9">
        <v>5.58</v>
      </c>
    </row>
    <row r="1124" spans="7:10" hidden="1" x14ac:dyDescent="0.3">
      <c r="G1124" s="10" t="s">
        <v>1101</v>
      </c>
      <c r="H1124" s="11" t="s">
        <v>2041</v>
      </c>
      <c r="I1124" s="11" t="s">
        <v>1999</v>
      </c>
      <c r="J1124" s="12">
        <v>4.0199999999999996</v>
      </c>
    </row>
    <row r="1125" spans="7:10" hidden="1" x14ac:dyDescent="0.3">
      <c r="G1125" s="7" t="s">
        <v>1102</v>
      </c>
      <c r="H1125" s="8" t="s">
        <v>2043</v>
      </c>
      <c r="I1125" s="8" t="s">
        <v>1998</v>
      </c>
      <c r="J1125" s="9">
        <v>9.48</v>
      </c>
    </row>
    <row r="1126" spans="7:10" hidden="1" x14ac:dyDescent="0.3">
      <c r="G1126" s="10" t="s">
        <v>1103</v>
      </c>
      <c r="H1126" s="11" t="s">
        <v>2042</v>
      </c>
      <c r="I1126" s="11" t="s">
        <v>2005</v>
      </c>
      <c r="J1126" s="12">
        <v>6.42</v>
      </c>
    </row>
    <row r="1127" spans="7:10" hidden="1" x14ac:dyDescent="0.3">
      <c r="G1127" s="7" t="s">
        <v>1104</v>
      </c>
      <c r="H1127" s="8" t="s">
        <v>2083</v>
      </c>
      <c r="I1127" s="8" t="s">
        <v>1998</v>
      </c>
      <c r="J1127" s="9">
        <v>2.4700000000000002</v>
      </c>
    </row>
    <row r="1128" spans="7:10" hidden="1" x14ac:dyDescent="0.3">
      <c r="G1128" s="10" t="s">
        <v>1105</v>
      </c>
      <c r="H1128" s="11" t="s">
        <v>2044</v>
      </c>
      <c r="I1128" s="11" t="s">
        <v>2031</v>
      </c>
      <c r="J1128" s="12">
        <v>2.69</v>
      </c>
    </row>
    <row r="1129" spans="7:10" hidden="1" x14ac:dyDescent="0.3">
      <c r="G1129" s="7" t="s">
        <v>1106</v>
      </c>
      <c r="H1129" s="8" t="s">
        <v>1977</v>
      </c>
      <c r="I1129" s="8" t="s">
        <v>2005</v>
      </c>
      <c r="J1129" s="9">
        <v>5.75</v>
      </c>
    </row>
    <row r="1130" spans="7:10" hidden="1" x14ac:dyDescent="0.3">
      <c r="G1130" s="10" t="s">
        <v>1107</v>
      </c>
      <c r="H1130" s="11" t="s">
        <v>2034</v>
      </c>
      <c r="I1130" s="11" t="s">
        <v>2031</v>
      </c>
      <c r="J1130" s="12">
        <v>9.23</v>
      </c>
    </row>
    <row r="1131" spans="7:10" hidden="1" x14ac:dyDescent="0.3">
      <c r="G1131" s="7" t="s">
        <v>1108</v>
      </c>
      <c r="H1131" s="8" t="s">
        <v>2035</v>
      </c>
      <c r="I1131" s="8" t="s">
        <v>2003</v>
      </c>
      <c r="J1131" s="9">
        <v>3.68</v>
      </c>
    </row>
    <row r="1132" spans="7:10" hidden="1" x14ac:dyDescent="0.3">
      <c r="G1132" s="10" t="s">
        <v>1109</v>
      </c>
      <c r="H1132" s="11" t="s">
        <v>2034</v>
      </c>
      <c r="I1132" s="11" t="s">
        <v>1979</v>
      </c>
      <c r="J1132" s="12">
        <v>1.28</v>
      </c>
    </row>
    <row r="1133" spans="7:10" hidden="1" x14ac:dyDescent="0.3">
      <c r="G1133" s="7" t="s">
        <v>1110</v>
      </c>
      <c r="H1133" s="8" t="s">
        <v>2034</v>
      </c>
      <c r="I1133" s="8" t="s">
        <v>1978</v>
      </c>
      <c r="J1133" s="9">
        <v>5.4</v>
      </c>
    </row>
    <row r="1134" spans="7:10" hidden="1" x14ac:dyDescent="0.3">
      <c r="G1134" s="10" t="s">
        <v>1111</v>
      </c>
      <c r="H1134" s="11" t="s">
        <v>2034</v>
      </c>
      <c r="I1134" s="11" t="s">
        <v>2002</v>
      </c>
      <c r="J1134" s="12">
        <v>11.94</v>
      </c>
    </row>
    <row r="1135" spans="7:10" hidden="1" x14ac:dyDescent="0.3">
      <c r="G1135" s="7" t="s">
        <v>1112</v>
      </c>
      <c r="H1135" s="8" t="s">
        <v>2034</v>
      </c>
      <c r="I1135" s="8" t="s">
        <v>1997</v>
      </c>
      <c r="J1135" s="9">
        <v>12.64</v>
      </c>
    </row>
    <row r="1136" spans="7:10" hidden="1" x14ac:dyDescent="0.3">
      <c r="G1136" s="10" t="s">
        <v>1113</v>
      </c>
      <c r="H1136" s="11" t="s">
        <v>2034</v>
      </c>
      <c r="I1136" s="11" t="s">
        <v>1987</v>
      </c>
      <c r="J1136" s="12">
        <v>5.53</v>
      </c>
    </row>
    <row r="1137" spans="7:10" hidden="1" x14ac:dyDescent="0.3">
      <c r="G1137" s="7" t="s">
        <v>1114</v>
      </c>
      <c r="H1137" s="8" t="s">
        <v>2034</v>
      </c>
      <c r="I1137" s="8" t="s">
        <v>1979</v>
      </c>
      <c r="J1137" s="9">
        <v>1.39</v>
      </c>
    </row>
    <row r="1138" spans="7:10" hidden="1" x14ac:dyDescent="0.3">
      <c r="G1138" s="10" t="s">
        <v>1115</v>
      </c>
      <c r="H1138" s="11" t="s">
        <v>2037</v>
      </c>
      <c r="I1138" s="11" t="s">
        <v>1987</v>
      </c>
      <c r="J1138" s="12">
        <v>7.21</v>
      </c>
    </row>
    <row r="1139" spans="7:10" hidden="1" x14ac:dyDescent="0.3">
      <c r="G1139" s="7" t="s">
        <v>1116</v>
      </c>
      <c r="H1139" s="8" t="s">
        <v>2038</v>
      </c>
      <c r="I1139" s="8" t="s">
        <v>1987</v>
      </c>
      <c r="J1139" s="9">
        <v>7.24</v>
      </c>
    </row>
    <row r="1140" spans="7:10" hidden="1" x14ac:dyDescent="0.3">
      <c r="G1140" s="10" t="s">
        <v>1117</v>
      </c>
      <c r="H1140" s="11" t="s">
        <v>2079</v>
      </c>
      <c r="I1140" s="11" t="s">
        <v>1979</v>
      </c>
      <c r="J1140" s="12">
        <v>1.43</v>
      </c>
    </row>
    <row r="1141" spans="7:10" hidden="1" x14ac:dyDescent="0.3">
      <c r="G1141" s="7" t="s">
        <v>1118</v>
      </c>
      <c r="H1141" s="8" t="s">
        <v>2051</v>
      </c>
      <c r="I1141" s="8" t="s">
        <v>2005</v>
      </c>
      <c r="J1141" s="9">
        <v>4.5599999999999996</v>
      </c>
    </row>
    <row r="1142" spans="7:10" hidden="1" x14ac:dyDescent="0.3">
      <c r="G1142" s="10" t="s">
        <v>1119</v>
      </c>
      <c r="H1142" s="11" t="s">
        <v>2034</v>
      </c>
      <c r="I1142" s="11" t="s">
        <v>1986</v>
      </c>
      <c r="J1142" s="12">
        <v>5.73</v>
      </c>
    </row>
    <row r="1143" spans="7:10" hidden="1" x14ac:dyDescent="0.3">
      <c r="G1143" s="7" t="s">
        <v>1120</v>
      </c>
      <c r="H1143" s="8" t="s">
        <v>2034</v>
      </c>
      <c r="I1143" s="8" t="s">
        <v>2017</v>
      </c>
      <c r="J1143" s="9">
        <v>5.18</v>
      </c>
    </row>
    <row r="1144" spans="7:10" hidden="1" x14ac:dyDescent="0.3">
      <c r="G1144" s="10" t="s">
        <v>1121</v>
      </c>
      <c r="H1144" s="11" t="s">
        <v>2034</v>
      </c>
      <c r="I1144" s="11" t="s">
        <v>1988</v>
      </c>
      <c r="J1144" s="12">
        <v>4.53</v>
      </c>
    </row>
    <row r="1145" spans="7:10" hidden="1" x14ac:dyDescent="0.3">
      <c r="G1145" s="7" t="s">
        <v>1122</v>
      </c>
      <c r="H1145" s="8" t="s">
        <v>2043</v>
      </c>
      <c r="I1145" s="8" t="s">
        <v>2030</v>
      </c>
      <c r="J1145" s="9">
        <v>6.93</v>
      </c>
    </row>
    <row r="1146" spans="7:10" hidden="1" x14ac:dyDescent="0.3">
      <c r="G1146" s="10" t="s">
        <v>1123</v>
      </c>
      <c r="H1146" s="11" t="s">
        <v>2061</v>
      </c>
      <c r="I1146" s="11" t="s">
        <v>2015</v>
      </c>
      <c r="J1146" s="12">
        <v>3.66</v>
      </c>
    </row>
    <row r="1147" spans="7:10" hidden="1" x14ac:dyDescent="0.3">
      <c r="G1147" s="7" t="s">
        <v>1124</v>
      </c>
      <c r="H1147" s="8" t="s">
        <v>2038</v>
      </c>
      <c r="I1147" s="8" t="s">
        <v>1993</v>
      </c>
      <c r="J1147" s="9">
        <v>8</v>
      </c>
    </row>
    <row r="1148" spans="7:10" x14ac:dyDescent="0.3">
      <c r="G1148" s="10" t="s">
        <v>1189</v>
      </c>
      <c r="H1148" s="11" t="s">
        <v>2047</v>
      </c>
      <c r="I1148" s="11" t="s">
        <v>2005</v>
      </c>
      <c r="J1148" s="12">
        <v>6.1</v>
      </c>
    </row>
    <row r="1149" spans="7:10" hidden="1" x14ac:dyDescent="0.3">
      <c r="G1149" s="7" t="s">
        <v>1126</v>
      </c>
      <c r="H1149" s="8" t="s">
        <v>2063</v>
      </c>
      <c r="I1149" s="8" t="s">
        <v>2015</v>
      </c>
      <c r="J1149" s="9">
        <v>1.89</v>
      </c>
    </row>
    <row r="1150" spans="7:10" hidden="1" x14ac:dyDescent="0.3">
      <c r="G1150" s="10" t="s">
        <v>1127</v>
      </c>
      <c r="H1150" s="11" t="s">
        <v>2038</v>
      </c>
      <c r="I1150" s="11" t="s">
        <v>1979</v>
      </c>
      <c r="J1150" s="12">
        <v>1.56</v>
      </c>
    </row>
    <row r="1151" spans="7:10" hidden="1" x14ac:dyDescent="0.3">
      <c r="G1151" s="7" t="s">
        <v>1128</v>
      </c>
      <c r="H1151" s="8" t="s">
        <v>2066</v>
      </c>
      <c r="I1151" s="8" t="s">
        <v>2030</v>
      </c>
      <c r="J1151" s="9">
        <v>6.76</v>
      </c>
    </row>
    <row r="1152" spans="7:10" hidden="1" x14ac:dyDescent="0.3">
      <c r="G1152" s="10" t="s">
        <v>1129</v>
      </c>
      <c r="H1152" s="11" t="s">
        <v>2034</v>
      </c>
      <c r="I1152" s="11" t="s">
        <v>2025</v>
      </c>
      <c r="J1152" s="12">
        <v>4.9800000000000004</v>
      </c>
    </row>
    <row r="1153" spans="7:10" hidden="1" x14ac:dyDescent="0.3">
      <c r="G1153" s="7" t="s">
        <v>1130</v>
      </c>
      <c r="H1153" s="8" t="s">
        <v>2039</v>
      </c>
      <c r="I1153" s="8" t="s">
        <v>2022</v>
      </c>
      <c r="J1153" s="9">
        <v>6.35</v>
      </c>
    </row>
    <row r="1154" spans="7:10" hidden="1" x14ac:dyDescent="0.3">
      <c r="G1154" s="10" t="s">
        <v>1131</v>
      </c>
      <c r="H1154" s="11" t="s">
        <v>2035</v>
      </c>
      <c r="I1154" s="11" t="s">
        <v>2003</v>
      </c>
      <c r="J1154" s="12">
        <v>15.91</v>
      </c>
    </row>
    <row r="1155" spans="7:10" hidden="1" x14ac:dyDescent="0.3">
      <c r="G1155" s="7" t="s">
        <v>1132</v>
      </c>
      <c r="H1155" s="8" t="s">
        <v>2035</v>
      </c>
      <c r="I1155" s="8" t="s">
        <v>1993</v>
      </c>
      <c r="J1155" s="9">
        <v>4.5</v>
      </c>
    </row>
    <row r="1156" spans="7:10" hidden="1" x14ac:dyDescent="0.3">
      <c r="G1156" s="10" t="s">
        <v>1133</v>
      </c>
      <c r="H1156" s="11" t="s">
        <v>2034</v>
      </c>
      <c r="I1156" s="11" t="s">
        <v>2001</v>
      </c>
      <c r="J1156" s="12">
        <v>5.51</v>
      </c>
    </row>
    <row r="1157" spans="7:10" hidden="1" x14ac:dyDescent="0.3">
      <c r="G1157" s="7" t="s">
        <v>1134</v>
      </c>
      <c r="H1157" s="8" t="s">
        <v>2067</v>
      </c>
      <c r="I1157" s="8" t="s">
        <v>1979</v>
      </c>
      <c r="J1157" s="9">
        <v>1.19</v>
      </c>
    </row>
    <row r="1158" spans="7:10" hidden="1" x14ac:dyDescent="0.3">
      <c r="G1158" s="10" t="s">
        <v>1135</v>
      </c>
      <c r="H1158" s="11" t="s">
        <v>1975</v>
      </c>
      <c r="I1158" s="11" t="s">
        <v>2031</v>
      </c>
      <c r="J1158" s="12">
        <v>3.09</v>
      </c>
    </row>
    <row r="1159" spans="7:10" hidden="1" x14ac:dyDescent="0.3">
      <c r="G1159" s="7" t="s">
        <v>1136</v>
      </c>
      <c r="H1159" s="8" t="s">
        <v>2063</v>
      </c>
      <c r="I1159" s="8" t="s">
        <v>2030</v>
      </c>
      <c r="J1159" s="9">
        <v>6.4</v>
      </c>
    </row>
    <row r="1160" spans="7:10" hidden="1" x14ac:dyDescent="0.3">
      <c r="G1160" s="10" t="s">
        <v>1137</v>
      </c>
      <c r="H1160" s="11" t="s">
        <v>2038</v>
      </c>
      <c r="I1160" s="11" t="s">
        <v>1987</v>
      </c>
      <c r="J1160" s="12">
        <v>2.61</v>
      </c>
    </row>
    <row r="1161" spans="7:10" hidden="1" x14ac:dyDescent="0.3">
      <c r="G1161" s="7" t="s">
        <v>1138</v>
      </c>
      <c r="H1161" s="8" t="s">
        <v>2034</v>
      </c>
      <c r="I1161" s="8" t="s">
        <v>1978</v>
      </c>
      <c r="J1161" s="9">
        <v>3.56</v>
      </c>
    </row>
    <row r="1162" spans="7:10" hidden="1" x14ac:dyDescent="0.3">
      <c r="G1162" s="10" t="s">
        <v>1139</v>
      </c>
      <c r="H1162" s="11" t="s">
        <v>2035</v>
      </c>
      <c r="I1162" s="11" t="s">
        <v>1998</v>
      </c>
      <c r="J1162" s="12">
        <v>1.1499999999999999</v>
      </c>
    </row>
    <row r="1163" spans="7:10" hidden="1" x14ac:dyDescent="0.3">
      <c r="G1163" s="7" t="s">
        <v>1140</v>
      </c>
      <c r="H1163" s="8" t="s">
        <v>2034</v>
      </c>
      <c r="I1163" s="8" t="s">
        <v>2023</v>
      </c>
      <c r="J1163" s="9">
        <v>16.84</v>
      </c>
    </row>
    <row r="1164" spans="7:10" hidden="1" x14ac:dyDescent="0.3">
      <c r="G1164" s="10" t="s">
        <v>1141</v>
      </c>
      <c r="H1164" s="11" t="s">
        <v>2034</v>
      </c>
      <c r="I1164" s="11" t="s">
        <v>2003</v>
      </c>
      <c r="J1164" s="12">
        <v>5.5</v>
      </c>
    </row>
    <row r="1165" spans="7:10" hidden="1" x14ac:dyDescent="0.3">
      <c r="G1165" s="7" t="s">
        <v>1142</v>
      </c>
      <c r="H1165" s="8" t="s">
        <v>2038</v>
      </c>
      <c r="I1165" s="8" t="s">
        <v>2030</v>
      </c>
      <c r="J1165" s="9">
        <v>5.95</v>
      </c>
    </row>
    <row r="1166" spans="7:10" hidden="1" x14ac:dyDescent="0.3">
      <c r="G1166" s="10" t="s">
        <v>1143</v>
      </c>
      <c r="H1166" s="11" t="s">
        <v>2079</v>
      </c>
      <c r="I1166" s="11" t="s">
        <v>1997</v>
      </c>
      <c r="J1166" s="12">
        <v>4.79</v>
      </c>
    </row>
    <row r="1167" spans="7:10" hidden="1" x14ac:dyDescent="0.3">
      <c r="G1167" s="7" t="s">
        <v>1144</v>
      </c>
      <c r="H1167" s="8" t="s">
        <v>2061</v>
      </c>
      <c r="I1167" s="8" t="s">
        <v>1986</v>
      </c>
      <c r="J1167" s="9">
        <v>2.23</v>
      </c>
    </row>
    <row r="1168" spans="7:10" hidden="1" x14ac:dyDescent="0.3">
      <c r="G1168" s="10" t="s">
        <v>1145</v>
      </c>
      <c r="H1168" s="11" t="s">
        <v>2034</v>
      </c>
      <c r="I1168" s="11" t="s">
        <v>1998</v>
      </c>
      <c r="J1168" s="12">
        <v>1.06</v>
      </c>
    </row>
    <row r="1169" spans="7:10" hidden="1" x14ac:dyDescent="0.3">
      <c r="G1169" s="7" t="s">
        <v>1146</v>
      </c>
      <c r="H1169" s="8" t="s">
        <v>2038</v>
      </c>
      <c r="I1169" s="8" t="s">
        <v>1993</v>
      </c>
      <c r="J1169" s="9">
        <v>8.14</v>
      </c>
    </row>
    <row r="1170" spans="7:10" hidden="1" x14ac:dyDescent="0.3">
      <c r="G1170" s="10" t="s">
        <v>1147</v>
      </c>
      <c r="H1170" s="11" t="s">
        <v>2041</v>
      </c>
      <c r="I1170" s="11" t="s">
        <v>1993</v>
      </c>
      <c r="J1170" s="12">
        <v>16.21</v>
      </c>
    </row>
    <row r="1171" spans="7:10" hidden="1" x14ac:dyDescent="0.3">
      <c r="G1171" s="7" t="s">
        <v>1148</v>
      </c>
      <c r="H1171" s="8" t="s">
        <v>2035</v>
      </c>
      <c r="I1171" s="8" t="s">
        <v>1993</v>
      </c>
      <c r="J1171" s="9">
        <v>5.16</v>
      </c>
    </row>
    <row r="1172" spans="7:10" hidden="1" x14ac:dyDescent="0.3">
      <c r="G1172" s="10" t="s">
        <v>1149</v>
      </c>
      <c r="H1172" s="11" t="s">
        <v>2034</v>
      </c>
      <c r="I1172" s="11" t="s">
        <v>1997</v>
      </c>
      <c r="J1172" s="12">
        <v>6.2</v>
      </c>
    </row>
    <row r="1173" spans="7:10" x14ac:dyDescent="0.3">
      <c r="G1173" s="7" t="s">
        <v>1532</v>
      </c>
      <c r="H1173" s="8" t="s">
        <v>2047</v>
      </c>
      <c r="I1173" s="8" t="s">
        <v>2005</v>
      </c>
      <c r="J1173" s="9">
        <v>3.46</v>
      </c>
    </row>
    <row r="1174" spans="7:10" hidden="1" x14ac:dyDescent="0.3">
      <c r="G1174" s="10" t="s">
        <v>1151</v>
      </c>
      <c r="H1174" s="11" t="s">
        <v>1975</v>
      </c>
      <c r="I1174" s="11" t="s">
        <v>2017</v>
      </c>
      <c r="J1174" s="12">
        <v>2.5299999999999998</v>
      </c>
    </row>
    <row r="1175" spans="7:10" hidden="1" x14ac:dyDescent="0.3">
      <c r="G1175" s="7" t="s">
        <v>1152</v>
      </c>
      <c r="H1175" s="8" t="s">
        <v>2061</v>
      </c>
      <c r="I1175" s="8" t="s">
        <v>2001</v>
      </c>
      <c r="J1175" s="9">
        <v>1.84</v>
      </c>
    </row>
    <row r="1176" spans="7:10" hidden="1" x14ac:dyDescent="0.3">
      <c r="G1176" s="10" t="s">
        <v>1153</v>
      </c>
      <c r="H1176" s="11" t="s">
        <v>2034</v>
      </c>
      <c r="I1176" s="11" t="s">
        <v>2001</v>
      </c>
      <c r="J1176" s="12">
        <v>11.84</v>
      </c>
    </row>
    <row r="1177" spans="7:10" hidden="1" x14ac:dyDescent="0.3">
      <c r="G1177" s="7" t="s">
        <v>1154</v>
      </c>
      <c r="H1177" s="8" t="s">
        <v>2034</v>
      </c>
      <c r="I1177" s="8" t="s">
        <v>2005</v>
      </c>
      <c r="J1177" s="9">
        <v>1.53</v>
      </c>
    </row>
    <row r="1178" spans="7:10" hidden="1" x14ac:dyDescent="0.3">
      <c r="G1178" s="10" t="s">
        <v>1155</v>
      </c>
      <c r="H1178" s="11" t="s">
        <v>2046</v>
      </c>
      <c r="I1178" s="11" t="s">
        <v>2015</v>
      </c>
      <c r="J1178" s="12">
        <v>3.64</v>
      </c>
    </row>
    <row r="1179" spans="7:10" hidden="1" x14ac:dyDescent="0.3">
      <c r="G1179" s="7" t="s">
        <v>1156</v>
      </c>
      <c r="H1179" s="8" t="s">
        <v>2038</v>
      </c>
      <c r="I1179" s="8" t="s">
        <v>2002</v>
      </c>
      <c r="J1179" s="9">
        <v>15.54</v>
      </c>
    </row>
    <row r="1180" spans="7:10" hidden="1" x14ac:dyDescent="0.3">
      <c r="G1180" s="10" t="s">
        <v>1157</v>
      </c>
      <c r="H1180" s="11" t="s">
        <v>2034</v>
      </c>
      <c r="I1180" s="11" t="s">
        <v>2005</v>
      </c>
      <c r="J1180" s="12">
        <v>4.04</v>
      </c>
    </row>
    <row r="1181" spans="7:10" hidden="1" x14ac:dyDescent="0.3">
      <c r="G1181" s="7" t="s">
        <v>1158</v>
      </c>
      <c r="H1181" s="8" t="s">
        <v>2061</v>
      </c>
      <c r="I1181" s="8" t="s">
        <v>1986</v>
      </c>
      <c r="J1181" s="9">
        <v>1.63</v>
      </c>
    </row>
    <row r="1182" spans="7:10" hidden="1" x14ac:dyDescent="0.3">
      <c r="G1182" s="10" t="s">
        <v>1159</v>
      </c>
      <c r="H1182" s="11" t="s">
        <v>2034</v>
      </c>
      <c r="I1182" s="11" t="s">
        <v>2031</v>
      </c>
      <c r="J1182" s="12">
        <v>3.7</v>
      </c>
    </row>
    <row r="1183" spans="7:10" hidden="1" x14ac:dyDescent="0.3">
      <c r="G1183" s="7" t="s">
        <v>1160</v>
      </c>
      <c r="H1183" s="8" t="s">
        <v>2038</v>
      </c>
      <c r="I1183" s="8" t="s">
        <v>2023</v>
      </c>
      <c r="J1183" s="9">
        <v>5.19</v>
      </c>
    </row>
    <row r="1184" spans="7:10" hidden="1" x14ac:dyDescent="0.3">
      <c r="G1184" s="10" t="s">
        <v>1161</v>
      </c>
      <c r="H1184" s="11" t="s">
        <v>2054</v>
      </c>
      <c r="I1184" s="11" t="s">
        <v>2001</v>
      </c>
      <c r="J1184" s="12">
        <v>6.56</v>
      </c>
    </row>
    <row r="1185" spans="7:10" hidden="1" x14ac:dyDescent="0.3">
      <c r="G1185" s="7" t="s">
        <v>1162</v>
      </c>
      <c r="H1185" s="8" t="s">
        <v>2034</v>
      </c>
      <c r="I1185" s="8" t="s">
        <v>1986</v>
      </c>
      <c r="J1185" s="9">
        <v>5.22</v>
      </c>
    </row>
    <row r="1186" spans="7:10" hidden="1" x14ac:dyDescent="0.3">
      <c r="G1186" s="10" t="s">
        <v>1163</v>
      </c>
      <c r="H1186" s="11" t="s">
        <v>2034</v>
      </c>
      <c r="I1186" s="11" t="s">
        <v>2030</v>
      </c>
      <c r="J1186" s="12">
        <v>12.12</v>
      </c>
    </row>
    <row r="1187" spans="7:10" hidden="1" x14ac:dyDescent="0.3">
      <c r="G1187" s="7" t="s">
        <v>1164</v>
      </c>
      <c r="H1187" s="8" t="s">
        <v>2070</v>
      </c>
      <c r="I1187" s="8" t="s">
        <v>1979</v>
      </c>
      <c r="J1187" s="9">
        <v>1.4</v>
      </c>
    </row>
    <row r="1188" spans="7:10" hidden="1" x14ac:dyDescent="0.3">
      <c r="G1188" s="10" t="s">
        <v>1165</v>
      </c>
      <c r="H1188" s="11" t="s">
        <v>2037</v>
      </c>
      <c r="I1188" s="11" t="s">
        <v>2030</v>
      </c>
      <c r="J1188" s="12">
        <v>8</v>
      </c>
    </row>
    <row r="1189" spans="7:10" hidden="1" x14ac:dyDescent="0.3">
      <c r="G1189" s="7" t="s">
        <v>1166</v>
      </c>
      <c r="H1189" s="8" t="s">
        <v>2034</v>
      </c>
      <c r="I1189" s="8" t="s">
        <v>2025</v>
      </c>
      <c r="J1189" s="9">
        <v>2.4300000000000002</v>
      </c>
    </row>
    <row r="1190" spans="7:10" hidden="1" x14ac:dyDescent="0.3">
      <c r="G1190" s="10" t="s">
        <v>1167</v>
      </c>
      <c r="H1190" s="11" t="s">
        <v>2034</v>
      </c>
      <c r="I1190" s="11" t="s">
        <v>1988</v>
      </c>
      <c r="J1190" s="12">
        <v>6.07</v>
      </c>
    </row>
    <row r="1191" spans="7:10" hidden="1" x14ac:dyDescent="0.3">
      <c r="G1191" s="7" t="s">
        <v>1168</v>
      </c>
      <c r="H1191" s="8" t="s">
        <v>2070</v>
      </c>
      <c r="I1191" s="8" t="s">
        <v>2001</v>
      </c>
      <c r="J1191" s="9">
        <v>5.76</v>
      </c>
    </row>
    <row r="1192" spans="7:10" hidden="1" x14ac:dyDescent="0.3">
      <c r="G1192" s="10" t="s">
        <v>1169</v>
      </c>
      <c r="H1192" s="11" t="s">
        <v>2034</v>
      </c>
      <c r="I1192" s="11" t="s">
        <v>2017</v>
      </c>
      <c r="J1192" s="12">
        <v>6.35</v>
      </c>
    </row>
    <row r="1193" spans="7:10" hidden="1" x14ac:dyDescent="0.3">
      <c r="G1193" s="7" t="s">
        <v>1170</v>
      </c>
      <c r="H1193" s="8" t="s">
        <v>2061</v>
      </c>
      <c r="I1193" s="8" t="s">
        <v>2022</v>
      </c>
      <c r="J1193" s="9">
        <v>14.29</v>
      </c>
    </row>
    <row r="1194" spans="7:10" hidden="1" x14ac:dyDescent="0.3">
      <c r="G1194" s="10" t="s">
        <v>1171</v>
      </c>
      <c r="H1194" s="11" t="s">
        <v>2034</v>
      </c>
      <c r="I1194" s="11" t="s">
        <v>2022</v>
      </c>
      <c r="J1194" s="12">
        <v>2.37</v>
      </c>
    </row>
    <row r="1195" spans="7:10" hidden="1" x14ac:dyDescent="0.3">
      <c r="G1195" s="7" t="s">
        <v>1172</v>
      </c>
      <c r="H1195" s="8" t="s">
        <v>2038</v>
      </c>
      <c r="I1195" s="8" t="s">
        <v>1979</v>
      </c>
      <c r="J1195" s="9">
        <v>0.94</v>
      </c>
    </row>
    <row r="1196" spans="7:10" hidden="1" x14ac:dyDescent="0.3">
      <c r="G1196" s="10" t="s">
        <v>1173</v>
      </c>
      <c r="H1196" s="11" t="s">
        <v>2038</v>
      </c>
      <c r="I1196" s="11" t="s">
        <v>1979</v>
      </c>
      <c r="J1196" s="12">
        <v>1.79</v>
      </c>
    </row>
    <row r="1197" spans="7:10" hidden="1" x14ac:dyDescent="0.3">
      <c r="G1197" s="7" t="s">
        <v>1174</v>
      </c>
      <c r="H1197" s="8" t="s">
        <v>2034</v>
      </c>
      <c r="I1197" s="8" t="s">
        <v>2004</v>
      </c>
      <c r="J1197" s="9">
        <v>6.48</v>
      </c>
    </row>
    <row r="1198" spans="7:10" hidden="1" x14ac:dyDescent="0.3">
      <c r="G1198" s="10" t="s">
        <v>1175</v>
      </c>
      <c r="H1198" s="11" t="s">
        <v>2043</v>
      </c>
      <c r="I1198" s="11" t="s">
        <v>2001</v>
      </c>
      <c r="J1198" s="12">
        <v>2.93</v>
      </c>
    </row>
    <row r="1199" spans="7:10" hidden="1" x14ac:dyDescent="0.3">
      <c r="G1199" s="7" t="s">
        <v>1176</v>
      </c>
      <c r="H1199" s="8" t="s">
        <v>2035</v>
      </c>
      <c r="I1199" s="8" t="s">
        <v>2001</v>
      </c>
      <c r="J1199" s="9">
        <v>5.67</v>
      </c>
    </row>
    <row r="1200" spans="7:10" hidden="1" x14ac:dyDescent="0.3">
      <c r="G1200" s="10" t="s">
        <v>1177</v>
      </c>
      <c r="H1200" s="11" t="s">
        <v>2035</v>
      </c>
      <c r="I1200" s="11" t="s">
        <v>2005</v>
      </c>
      <c r="J1200" s="12">
        <v>2.27</v>
      </c>
    </row>
    <row r="1201" spans="7:10" hidden="1" x14ac:dyDescent="0.3">
      <c r="G1201" s="7" t="s">
        <v>1178</v>
      </c>
      <c r="H1201" s="8" t="s">
        <v>2038</v>
      </c>
      <c r="I1201" s="8" t="s">
        <v>2023</v>
      </c>
      <c r="J1201" s="9">
        <v>9.82</v>
      </c>
    </row>
    <row r="1202" spans="7:10" hidden="1" x14ac:dyDescent="0.3">
      <c r="G1202" s="10" t="s">
        <v>1179</v>
      </c>
      <c r="H1202" s="11" t="s">
        <v>2042</v>
      </c>
      <c r="I1202" s="11" t="s">
        <v>1993</v>
      </c>
      <c r="J1202" s="12">
        <v>6.35</v>
      </c>
    </row>
    <row r="1203" spans="7:10" hidden="1" x14ac:dyDescent="0.3">
      <c r="G1203" s="7" t="s">
        <v>1180</v>
      </c>
      <c r="H1203" s="8" t="s">
        <v>2034</v>
      </c>
      <c r="I1203" s="8" t="s">
        <v>1979</v>
      </c>
      <c r="J1203" s="9">
        <v>1.06</v>
      </c>
    </row>
    <row r="1204" spans="7:10" hidden="1" x14ac:dyDescent="0.3">
      <c r="G1204" s="10" t="s">
        <v>1181</v>
      </c>
      <c r="H1204" s="11" t="s">
        <v>2035</v>
      </c>
      <c r="I1204" s="11" t="s">
        <v>1986</v>
      </c>
      <c r="J1204" s="12">
        <v>3.95</v>
      </c>
    </row>
    <row r="1205" spans="7:10" hidden="1" x14ac:dyDescent="0.3">
      <c r="G1205" s="7" t="s">
        <v>1182</v>
      </c>
      <c r="H1205" s="8" t="s">
        <v>2035</v>
      </c>
      <c r="I1205" s="8" t="s">
        <v>1998</v>
      </c>
      <c r="J1205" s="9">
        <v>4.79</v>
      </c>
    </row>
    <row r="1206" spans="7:10" hidden="1" x14ac:dyDescent="0.3">
      <c r="G1206" s="10" t="s">
        <v>1183</v>
      </c>
      <c r="H1206" s="11" t="s">
        <v>1975</v>
      </c>
      <c r="I1206" s="11" t="s">
        <v>2015</v>
      </c>
      <c r="J1206" s="12">
        <v>8.4499999999999993</v>
      </c>
    </row>
    <row r="1207" spans="7:10" hidden="1" x14ac:dyDescent="0.3">
      <c r="G1207" s="7" t="s">
        <v>1184</v>
      </c>
      <c r="H1207" s="8" t="s">
        <v>2034</v>
      </c>
      <c r="I1207" s="8" t="s">
        <v>1986</v>
      </c>
      <c r="J1207" s="9">
        <v>1.56</v>
      </c>
    </row>
    <row r="1208" spans="7:10" hidden="1" x14ac:dyDescent="0.3">
      <c r="G1208" s="10" t="s">
        <v>1185</v>
      </c>
      <c r="H1208" s="11" t="s">
        <v>2037</v>
      </c>
      <c r="I1208" s="11" t="s">
        <v>1998</v>
      </c>
      <c r="J1208" s="12">
        <v>1.42</v>
      </c>
    </row>
    <row r="1209" spans="7:10" hidden="1" x14ac:dyDescent="0.3">
      <c r="G1209" s="7" t="s">
        <v>1186</v>
      </c>
      <c r="H1209" s="8" t="s">
        <v>2034</v>
      </c>
      <c r="I1209" s="8" t="s">
        <v>1998</v>
      </c>
      <c r="J1209" s="9">
        <v>2.44</v>
      </c>
    </row>
    <row r="1210" spans="7:10" hidden="1" x14ac:dyDescent="0.3">
      <c r="G1210" s="10" t="s">
        <v>1187</v>
      </c>
      <c r="H1210" s="11" t="s">
        <v>2061</v>
      </c>
      <c r="I1210" s="11" t="s">
        <v>1998</v>
      </c>
      <c r="J1210" s="12">
        <v>0.85</v>
      </c>
    </row>
    <row r="1211" spans="7:10" hidden="1" x14ac:dyDescent="0.3">
      <c r="G1211" s="7" t="s">
        <v>1188</v>
      </c>
      <c r="H1211" s="8" t="s">
        <v>2038</v>
      </c>
      <c r="I1211" s="8" t="s">
        <v>1988</v>
      </c>
      <c r="J1211" s="9">
        <v>6.88</v>
      </c>
    </row>
    <row r="1212" spans="7:10" x14ac:dyDescent="0.3">
      <c r="G1212" s="7" t="s">
        <v>529</v>
      </c>
      <c r="H1212" s="8" t="s">
        <v>2047</v>
      </c>
      <c r="I1212" s="8" t="s">
        <v>2015</v>
      </c>
      <c r="J1212" s="9">
        <v>8.4600000000000009</v>
      </c>
    </row>
    <row r="1213" spans="7:10" hidden="1" x14ac:dyDescent="0.3">
      <c r="G1213" s="7" t="s">
        <v>1190</v>
      </c>
      <c r="H1213" s="8" t="s">
        <v>2038</v>
      </c>
      <c r="I1213" s="8" t="s">
        <v>1986</v>
      </c>
      <c r="J1213" s="9">
        <v>1.1000000000000001</v>
      </c>
    </row>
    <row r="1214" spans="7:10" hidden="1" x14ac:dyDescent="0.3">
      <c r="G1214" s="10" t="s">
        <v>1191</v>
      </c>
      <c r="H1214" s="11" t="s">
        <v>2039</v>
      </c>
      <c r="I1214" s="11" t="s">
        <v>1997</v>
      </c>
      <c r="J1214" s="12">
        <v>11.74</v>
      </c>
    </row>
    <row r="1215" spans="7:10" hidden="1" x14ac:dyDescent="0.3">
      <c r="G1215" s="7" t="s">
        <v>1192</v>
      </c>
      <c r="H1215" s="8" t="s">
        <v>2067</v>
      </c>
      <c r="I1215" s="8" t="s">
        <v>1979</v>
      </c>
      <c r="J1215" s="9">
        <v>1.24</v>
      </c>
    </row>
    <row r="1216" spans="7:10" hidden="1" x14ac:dyDescent="0.3">
      <c r="G1216" s="10" t="s">
        <v>1193</v>
      </c>
      <c r="H1216" s="11" t="s">
        <v>2034</v>
      </c>
      <c r="I1216" s="11" t="s">
        <v>2015</v>
      </c>
      <c r="J1216" s="12">
        <v>6.17</v>
      </c>
    </row>
    <row r="1217" spans="7:10" hidden="1" x14ac:dyDescent="0.3">
      <c r="G1217" s="7" t="s">
        <v>1194</v>
      </c>
      <c r="H1217" s="8" t="s">
        <v>2038</v>
      </c>
      <c r="I1217" s="8" t="s">
        <v>2030</v>
      </c>
      <c r="J1217" s="9">
        <v>5.86</v>
      </c>
    </row>
    <row r="1218" spans="7:10" hidden="1" x14ac:dyDescent="0.3">
      <c r="G1218" s="10" t="s">
        <v>1195</v>
      </c>
      <c r="H1218" s="11" t="s">
        <v>2034</v>
      </c>
      <c r="I1218" s="11" t="s">
        <v>2002</v>
      </c>
      <c r="J1218" s="12">
        <v>9.7200000000000006</v>
      </c>
    </row>
    <row r="1219" spans="7:10" hidden="1" x14ac:dyDescent="0.3">
      <c r="G1219" s="7" t="s">
        <v>1196</v>
      </c>
      <c r="H1219" s="8" t="s">
        <v>2036</v>
      </c>
      <c r="I1219" s="8" t="s">
        <v>2026</v>
      </c>
      <c r="J1219" s="9">
        <v>2.99</v>
      </c>
    </row>
    <row r="1220" spans="7:10" hidden="1" x14ac:dyDescent="0.3">
      <c r="G1220" s="10" t="s">
        <v>1197</v>
      </c>
      <c r="H1220" s="11" t="s">
        <v>2034</v>
      </c>
      <c r="I1220" s="11" t="s">
        <v>1997</v>
      </c>
      <c r="J1220" s="12">
        <v>5.92</v>
      </c>
    </row>
    <row r="1221" spans="7:10" hidden="1" x14ac:dyDescent="0.3">
      <c r="G1221" s="7" t="s">
        <v>1198</v>
      </c>
      <c r="H1221" s="8" t="s">
        <v>2067</v>
      </c>
      <c r="I1221" s="8" t="s">
        <v>1979</v>
      </c>
      <c r="J1221" s="9">
        <v>1.39</v>
      </c>
    </row>
    <row r="1222" spans="7:10" hidden="1" x14ac:dyDescent="0.3">
      <c r="G1222" s="10" t="s">
        <v>1199</v>
      </c>
      <c r="H1222" s="11" t="s">
        <v>2038</v>
      </c>
      <c r="I1222" s="11" t="s">
        <v>1979</v>
      </c>
      <c r="J1222" s="12">
        <v>1.54</v>
      </c>
    </row>
    <row r="1223" spans="7:10" hidden="1" x14ac:dyDescent="0.3">
      <c r="G1223" s="7" t="s">
        <v>1200</v>
      </c>
      <c r="H1223" s="8" t="s">
        <v>2061</v>
      </c>
      <c r="I1223" s="8" t="s">
        <v>1987</v>
      </c>
      <c r="J1223" s="9">
        <v>4.41</v>
      </c>
    </row>
    <row r="1224" spans="7:10" hidden="1" x14ac:dyDescent="0.3">
      <c r="G1224" s="10" t="s">
        <v>1201</v>
      </c>
      <c r="H1224" s="11" t="s">
        <v>2053</v>
      </c>
      <c r="I1224" s="11" t="s">
        <v>1979</v>
      </c>
      <c r="J1224" s="12">
        <v>1.18</v>
      </c>
    </row>
    <row r="1225" spans="7:10" hidden="1" x14ac:dyDescent="0.3">
      <c r="G1225" s="7" t="s">
        <v>1202</v>
      </c>
      <c r="H1225" s="8" t="s">
        <v>2053</v>
      </c>
      <c r="I1225" s="8" t="s">
        <v>2015</v>
      </c>
      <c r="J1225" s="9">
        <v>4.32</v>
      </c>
    </row>
    <row r="1226" spans="7:10" hidden="1" x14ac:dyDescent="0.3">
      <c r="G1226" s="10" t="s">
        <v>1203</v>
      </c>
      <c r="H1226" s="11" t="s">
        <v>2034</v>
      </c>
      <c r="I1226" s="11" t="s">
        <v>2004</v>
      </c>
      <c r="J1226" s="12">
        <v>1.93</v>
      </c>
    </row>
    <row r="1227" spans="7:10" hidden="1" x14ac:dyDescent="0.3">
      <c r="G1227" s="7" t="s">
        <v>1204</v>
      </c>
      <c r="H1227" s="8" t="s">
        <v>2042</v>
      </c>
      <c r="I1227" s="8" t="s">
        <v>1993</v>
      </c>
      <c r="J1227" s="9">
        <v>3.76</v>
      </c>
    </row>
    <row r="1228" spans="7:10" hidden="1" x14ac:dyDescent="0.3">
      <c r="G1228" s="10" t="s">
        <v>1205</v>
      </c>
      <c r="H1228" s="11" t="s">
        <v>2035</v>
      </c>
      <c r="I1228" s="11" t="s">
        <v>2003</v>
      </c>
      <c r="J1228" s="12">
        <v>1.62</v>
      </c>
    </row>
    <row r="1229" spans="7:10" hidden="1" x14ac:dyDescent="0.3">
      <c r="G1229" s="7" t="s">
        <v>1206</v>
      </c>
      <c r="H1229" s="8" t="s">
        <v>2061</v>
      </c>
      <c r="I1229" s="8" t="s">
        <v>1986</v>
      </c>
      <c r="J1229" s="9">
        <v>1.87</v>
      </c>
    </row>
    <row r="1230" spans="7:10" hidden="1" x14ac:dyDescent="0.3">
      <c r="G1230" s="10" t="s">
        <v>1207</v>
      </c>
      <c r="H1230" s="11" t="s">
        <v>2039</v>
      </c>
      <c r="I1230" s="11" t="s">
        <v>1998</v>
      </c>
      <c r="J1230" s="12">
        <v>1.18</v>
      </c>
    </row>
    <row r="1231" spans="7:10" hidden="1" x14ac:dyDescent="0.3">
      <c r="G1231" s="7" t="s">
        <v>1208</v>
      </c>
      <c r="H1231" s="8" t="s">
        <v>1975</v>
      </c>
      <c r="I1231" s="8" t="s">
        <v>1998</v>
      </c>
      <c r="J1231" s="9">
        <v>3</v>
      </c>
    </row>
    <row r="1232" spans="7:10" hidden="1" x14ac:dyDescent="0.3">
      <c r="G1232" s="10" t="s">
        <v>1209</v>
      </c>
      <c r="H1232" s="11" t="s">
        <v>2034</v>
      </c>
      <c r="I1232" s="11" t="s">
        <v>2017</v>
      </c>
      <c r="J1232" s="12">
        <v>1.9</v>
      </c>
    </row>
    <row r="1233" spans="7:10" hidden="1" x14ac:dyDescent="0.3">
      <c r="G1233" s="7" t="s">
        <v>1210</v>
      </c>
      <c r="H1233" s="8" t="s">
        <v>2050</v>
      </c>
      <c r="I1233" s="8" t="s">
        <v>2000</v>
      </c>
      <c r="J1233" s="9">
        <v>5.75</v>
      </c>
    </row>
    <row r="1234" spans="7:10" hidden="1" x14ac:dyDescent="0.3">
      <c r="G1234" s="10" t="s">
        <v>1211</v>
      </c>
      <c r="H1234" s="11" t="s">
        <v>2043</v>
      </c>
      <c r="I1234" s="11" t="s">
        <v>2015</v>
      </c>
      <c r="J1234" s="12">
        <v>5.52</v>
      </c>
    </row>
    <row r="1235" spans="7:10" hidden="1" x14ac:dyDescent="0.3">
      <c r="G1235" s="7" t="s">
        <v>1212</v>
      </c>
      <c r="H1235" s="8" t="s">
        <v>2084</v>
      </c>
      <c r="I1235" s="8" t="s">
        <v>2022</v>
      </c>
      <c r="J1235" s="9">
        <v>1.1200000000000001</v>
      </c>
    </row>
    <row r="1236" spans="7:10" hidden="1" x14ac:dyDescent="0.3">
      <c r="G1236" s="10" t="s">
        <v>1213</v>
      </c>
      <c r="H1236" s="11" t="s">
        <v>2039</v>
      </c>
      <c r="I1236" s="11" t="s">
        <v>1998</v>
      </c>
      <c r="J1236" s="12">
        <v>0.79</v>
      </c>
    </row>
    <row r="1237" spans="7:10" hidden="1" x14ac:dyDescent="0.3">
      <c r="G1237" s="7" t="s">
        <v>1214</v>
      </c>
      <c r="H1237" s="8" t="s">
        <v>2034</v>
      </c>
      <c r="I1237" s="8" t="s">
        <v>2031</v>
      </c>
      <c r="J1237" s="9">
        <v>9.73</v>
      </c>
    </row>
    <row r="1238" spans="7:10" hidden="1" x14ac:dyDescent="0.3">
      <c r="G1238" s="10" t="s">
        <v>1215</v>
      </c>
      <c r="H1238" s="11" t="s">
        <v>2038</v>
      </c>
      <c r="I1238" s="11" t="s">
        <v>2004</v>
      </c>
      <c r="J1238" s="12">
        <v>5.97</v>
      </c>
    </row>
    <row r="1239" spans="7:10" hidden="1" x14ac:dyDescent="0.3">
      <c r="G1239" s="7" t="s">
        <v>1216</v>
      </c>
      <c r="H1239" s="8" t="s">
        <v>2034</v>
      </c>
      <c r="I1239" s="8" t="s">
        <v>1998</v>
      </c>
      <c r="J1239" s="9">
        <v>3.88</v>
      </c>
    </row>
    <row r="1240" spans="7:10" hidden="1" x14ac:dyDescent="0.3">
      <c r="G1240" s="10" t="s">
        <v>1217</v>
      </c>
      <c r="H1240" s="11" t="s">
        <v>2034</v>
      </c>
      <c r="I1240" s="11" t="s">
        <v>2025</v>
      </c>
      <c r="J1240" s="12">
        <v>1.67</v>
      </c>
    </row>
    <row r="1241" spans="7:10" hidden="1" x14ac:dyDescent="0.3">
      <c r="G1241" s="7" t="s">
        <v>1218</v>
      </c>
      <c r="H1241" s="8" t="s">
        <v>2034</v>
      </c>
      <c r="I1241" s="8" t="s">
        <v>2026</v>
      </c>
      <c r="J1241" s="9">
        <v>2.86</v>
      </c>
    </row>
    <row r="1242" spans="7:10" hidden="1" x14ac:dyDescent="0.3">
      <c r="G1242" s="10" t="s">
        <v>1219</v>
      </c>
      <c r="H1242" s="11" t="s">
        <v>2034</v>
      </c>
      <c r="I1242" s="11" t="s">
        <v>2030</v>
      </c>
      <c r="J1242" s="12">
        <v>8.74</v>
      </c>
    </row>
    <row r="1243" spans="7:10" hidden="1" x14ac:dyDescent="0.3">
      <c r="G1243" s="7" t="s">
        <v>1220</v>
      </c>
      <c r="H1243" s="8" t="s">
        <v>2051</v>
      </c>
      <c r="I1243" s="8" t="s">
        <v>2005</v>
      </c>
      <c r="J1243" s="9">
        <v>3.17</v>
      </c>
    </row>
    <row r="1244" spans="7:10" hidden="1" x14ac:dyDescent="0.3">
      <c r="G1244" s="10" t="s">
        <v>1221</v>
      </c>
      <c r="H1244" s="11" t="s">
        <v>2079</v>
      </c>
      <c r="I1244" s="11" t="s">
        <v>1979</v>
      </c>
      <c r="J1244" s="12">
        <v>1.83</v>
      </c>
    </row>
    <row r="1245" spans="7:10" hidden="1" x14ac:dyDescent="0.3">
      <c r="G1245" s="7" t="s">
        <v>1222</v>
      </c>
      <c r="H1245" s="8" t="s">
        <v>2034</v>
      </c>
      <c r="I1245" s="8" t="s">
        <v>2017</v>
      </c>
      <c r="J1245" s="9">
        <v>3.51</v>
      </c>
    </row>
    <row r="1246" spans="7:10" hidden="1" x14ac:dyDescent="0.3">
      <c r="G1246" s="10" t="s">
        <v>1223</v>
      </c>
      <c r="H1246" s="11" t="s">
        <v>2034</v>
      </c>
      <c r="I1246" s="11" t="s">
        <v>2002</v>
      </c>
      <c r="J1246" s="12">
        <v>3.33</v>
      </c>
    </row>
    <row r="1247" spans="7:10" hidden="1" x14ac:dyDescent="0.3">
      <c r="G1247" s="7" t="s">
        <v>1224</v>
      </c>
      <c r="H1247" s="8" t="s">
        <v>2038</v>
      </c>
      <c r="I1247" s="8" t="s">
        <v>2017</v>
      </c>
      <c r="J1247" s="9">
        <v>4.45</v>
      </c>
    </row>
    <row r="1248" spans="7:10" hidden="1" x14ac:dyDescent="0.3">
      <c r="G1248" s="10" t="s">
        <v>1225</v>
      </c>
      <c r="H1248" s="11" t="s">
        <v>2061</v>
      </c>
      <c r="I1248" s="11" t="s">
        <v>1979</v>
      </c>
      <c r="J1248" s="12">
        <v>2.38</v>
      </c>
    </row>
    <row r="1249" spans="7:10" hidden="1" x14ac:dyDescent="0.3">
      <c r="G1249" s="7" t="s">
        <v>1226</v>
      </c>
      <c r="H1249" s="8" t="s">
        <v>2051</v>
      </c>
      <c r="I1249" s="8" t="s">
        <v>2025</v>
      </c>
      <c r="J1249" s="9">
        <v>1.67</v>
      </c>
    </row>
    <row r="1250" spans="7:10" hidden="1" x14ac:dyDescent="0.3">
      <c r="G1250" s="10" t="s">
        <v>1227</v>
      </c>
      <c r="H1250" s="11" t="s">
        <v>2035</v>
      </c>
      <c r="I1250" s="11" t="s">
        <v>1992</v>
      </c>
      <c r="J1250" s="12">
        <v>5.47</v>
      </c>
    </row>
    <row r="1251" spans="7:10" hidden="1" x14ac:dyDescent="0.3">
      <c r="G1251" s="7" t="s">
        <v>1228</v>
      </c>
      <c r="H1251" s="8" t="s">
        <v>2065</v>
      </c>
      <c r="I1251" s="8" t="s">
        <v>1998</v>
      </c>
      <c r="J1251" s="9">
        <v>1.82</v>
      </c>
    </row>
    <row r="1252" spans="7:10" hidden="1" x14ac:dyDescent="0.3">
      <c r="G1252" s="10" t="s">
        <v>1229</v>
      </c>
      <c r="H1252" s="11" t="s">
        <v>2038</v>
      </c>
      <c r="I1252" s="11" t="s">
        <v>2027</v>
      </c>
      <c r="J1252" s="12">
        <v>1.33</v>
      </c>
    </row>
    <row r="1253" spans="7:10" hidden="1" x14ac:dyDescent="0.3">
      <c r="G1253" s="7" t="s">
        <v>1230</v>
      </c>
      <c r="H1253" s="8" t="s">
        <v>2074</v>
      </c>
      <c r="I1253" s="8" t="s">
        <v>1979</v>
      </c>
      <c r="J1253" s="9">
        <v>1.76</v>
      </c>
    </row>
    <row r="1254" spans="7:10" hidden="1" x14ac:dyDescent="0.3">
      <c r="G1254" s="10" t="s">
        <v>1231</v>
      </c>
      <c r="H1254" s="11" t="s">
        <v>2034</v>
      </c>
      <c r="I1254" s="11" t="s">
        <v>2027</v>
      </c>
      <c r="J1254" s="12">
        <v>12.61</v>
      </c>
    </row>
    <row r="1255" spans="7:10" hidden="1" x14ac:dyDescent="0.3">
      <c r="G1255" s="7" t="s">
        <v>1232</v>
      </c>
      <c r="H1255" s="8" t="s">
        <v>2034</v>
      </c>
      <c r="I1255" s="8" t="s">
        <v>1999</v>
      </c>
      <c r="J1255" s="9">
        <v>2.3199999999999998</v>
      </c>
    </row>
    <row r="1256" spans="7:10" hidden="1" x14ac:dyDescent="0.3">
      <c r="G1256" s="10" t="s">
        <v>2024</v>
      </c>
      <c r="H1256" s="11" t="s">
        <v>2038</v>
      </c>
      <c r="I1256" s="11" t="s">
        <v>2023</v>
      </c>
      <c r="J1256" s="12">
        <v>3.47</v>
      </c>
    </row>
    <row r="1257" spans="7:10" hidden="1" x14ac:dyDescent="0.3">
      <c r="G1257" s="7" t="s">
        <v>1233</v>
      </c>
      <c r="H1257" s="8" t="s">
        <v>2034</v>
      </c>
      <c r="I1257" s="8" t="s">
        <v>2005</v>
      </c>
      <c r="J1257" s="9">
        <v>1.3</v>
      </c>
    </row>
    <row r="1258" spans="7:10" hidden="1" x14ac:dyDescent="0.3">
      <c r="G1258" s="10" t="s">
        <v>1234</v>
      </c>
      <c r="H1258" s="11" t="s">
        <v>2036</v>
      </c>
      <c r="I1258" s="11" t="s">
        <v>2017</v>
      </c>
      <c r="J1258" s="12">
        <v>4.42</v>
      </c>
    </row>
    <row r="1259" spans="7:10" hidden="1" x14ac:dyDescent="0.3">
      <c r="G1259" s="7" t="s">
        <v>1235</v>
      </c>
      <c r="H1259" s="8" t="s">
        <v>2034</v>
      </c>
      <c r="I1259" s="8" t="s">
        <v>2030</v>
      </c>
      <c r="J1259" s="9">
        <v>5.69</v>
      </c>
    </row>
    <row r="1260" spans="7:10" hidden="1" x14ac:dyDescent="0.3">
      <c r="G1260" s="10" t="s">
        <v>1236</v>
      </c>
      <c r="H1260" s="11" t="s">
        <v>2034</v>
      </c>
      <c r="I1260" s="11" t="s">
        <v>1987</v>
      </c>
      <c r="J1260" s="12">
        <v>6.12</v>
      </c>
    </row>
    <row r="1261" spans="7:10" hidden="1" x14ac:dyDescent="0.3">
      <c r="G1261" s="7" t="s">
        <v>1237</v>
      </c>
      <c r="H1261" s="8" t="s">
        <v>2043</v>
      </c>
      <c r="I1261" s="8" t="s">
        <v>1987</v>
      </c>
      <c r="J1261" s="9">
        <v>4.78</v>
      </c>
    </row>
    <row r="1262" spans="7:10" hidden="1" x14ac:dyDescent="0.3">
      <c r="G1262" s="10" t="s">
        <v>1238</v>
      </c>
      <c r="H1262" s="11" t="s">
        <v>2064</v>
      </c>
      <c r="I1262" s="11" t="s">
        <v>1987</v>
      </c>
      <c r="J1262" s="12">
        <v>5.7</v>
      </c>
    </row>
    <row r="1263" spans="7:10" hidden="1" x14ac:dyDescent="0.3">
      <c r="G1263" s="7" t="s">
        <v>1239</v>
      </c>
      <c r="H1263" s="8" t="s">
        <v>2034</v>
      </c>
      <c r="I1263" s="8" t="s">
        <v>1999</v>
      </c>
      <c r="J1263" s="9">
        <v>2.42</v>
      </c>
    </row>
    <row r="1264" spans="7:10" hidden="1" x14ac:dyDescent="0.3">
      <c r="G1264" s="10" t="s">
        <v>1240</v>
      </c>
      <c r="H1264" s="11" t="s">
        <v>2034</v>
      </c>
      <c r="I1264" s="11" t="s">
        <v>2000</v>
      </c>
      <c r="J1264" s="12">
        <v>9.69</v>
      </c>
    </row>
    <row r="1265" spans="7:10" hidden="1" x14ac:dyDescent="0.3">
      <c r="G1265" s="7" t="s">
        <v>1241</v>
      </c>
      <c r="H1265" s="8" t="s">
        <v>2053</v>
      </c>
      <c r="I1265" s="8" t="s">
        <v>1987</v>
      </c>
      <c r="J1265" s="9">
        <v>4.99</v>
      </c>
    </row>
    <row r="1266" spans="7:10" hidden="1" x14ac:dyDescent="0.3">
      <c r="G1266" s="10" t="s">
        <v>1242</v>
      </c>
      <c r="H1266" s="11" t="s">
        <v>2052</v>
      </c>
      <c r="I1266" s="11" t="s">
        <v>2031</v>
      </c>
      <c r="J1266" s="12">
        <v>1.05</v>
      </c>
    </row>
    <row r="1267" spans="7:10" hidden="1" x14ac:dyDescent="0.3">
      <c r="G1267" s="7" t="s">
        <v>1243</v>
      </c>
      <c r="H1267" s="8" t="s">
        <v>2034</v>
      </c>
      <c r="I1267" s="8" t="s">
        <v>2003</v>
      </c>
      <c r="J1267" s="9">
        <v>2.35</v>
      </c>
    </row>
    <row r="1268" spans="7:10" hidden="1" x14ac:dyDescent="0.3">
      <c r="G1268" s="10" t="s">
        <v>1244</v>
      </c>
      <c r="H1268" s="11" t="s">
        <v>2039</v>
      </c>
      <c r="I1268" s="11" t="s">
        <v>2027</v>
      </c>
      <c r="J1268" s="12">
        <v>4.84</v>
      </c>
    </row>
    <row r="1269" spans="7:10" hidden="1" x14ac:dyDescent="0.3">
      <c r="G1269" s="7" t="s">
        <v>1245</v>
      </c>
      <c r="H1269" s="8" t="s">
        <v>2034</v>
      </c>
      <c r="I1269" s="8" t="s">
        <v>1998</v>
      </c>
      <c r="J1269" s="9">
        <v>1.51</v>
      </c>
    </row>
    <row r="1270" spans="7:10" hidden="1" x14ac:dyDescent="0.3">
      <c r="G1270" s="10" t="s">
        <v>1246</v>
      </c>
      <c r="H1270" s="11" t="s">
        <v>2052</v>
      </c>
      <c r="I1270" s="11" t="s">
        <v>1992</v>
      </c>
      <c r="J1270" s="12">
        <v>6.06</v>
      </c>
    </row>
    <row r="1271" spans="7:10" hidden="1" x14ac:dyDescent="0.3">
      <c r="G1271" s="7" t="s">
        <v>1247</v>
      </c>
      <c r="H1271" s="8" t="s">
        <v>2040</v>
      </c>
      <c r="I1271" s="8" t="s">
        <v>2030</v>
      </c>
      <c r="J1271" s="9">
        <v>6.24</v>
      </c>
    </row>
    <row r="1272" spans="7:10" hidden="1" x14ac:dyDescent="0.3">
      <c r="G1272" s="10" t="s">
        <v>1248</v>
      </c>
      <c r="H1272" s="11" t="s">
        <v>2034</v>
      </c>
      <c r="I1272" s="11" t="s">
        <v>1997</v>
      </c>
      <c r="J1272" s="12">
        <v>17.100000000000001</v>
      </c>
    </row>
    <row r="1273" spans="7:10" hidden="1" x14ac:dyDescent="0.3">
      <c r="G1273" s="7" t="s">
        <v>1249</v>
      </c>
      <c r="H1273" s="8" t="s">
        <v>2038</v>
      </c>
      <c r="I1273" s="8" t="s">
        <v>1998</v>
      </c>
      <c r="J1273" s="9">
        <v>4.4400000000000004</v>
      </c>
    </row>
    <row r="1274" spans="7:10" hidden="1" x14ac:dyDescent="0.3">
      <c r="G1274" s="10" t="s">
        <v>1250</v>
      </c>
      <c r="H1274" s="11" t="s">
        <v>2061</v>
      </c>
      <c r="I1274" s="11" t="s">
        <v>2031</v>
      </c>
      <c r="J1274" s="12">
        <v>3.18</v>
      </c>
    </row>
    <row r="1275" spans="7:10" hidden="1" x14ac:dyDescent="0.3">
      <c r="G1275" s="7" t="s">
        <v>1251</v>
      </c>
      <c r="H1275" s="8" t="s">
        <v>2034</v>
      </c>
      <c r="I1275" s="8" t="s">
        <v>1998</v>
      </c>
      <c r="J1275" s="9">
        <v>0.52</v>
      </c>
    </row>
    <row r="1276" spans="7:10" hidden="1" x14ac:dyDescent="0.3">
      <c r="G1276" s="10" t="s">
        <v>1252</v>
      </c>
      <c r="H1276" s="11" t="s">
        <v>2034</v>
      </c>
      <c r="I1276" s="11" t="s">
        <v>1986</v>
      </c>
      <c r="J1276" s="12">
        <v>5.47</v>
      </c>
    </row>
    <row r="1277" spans="7:10" hidden="1" x14ac:dyDescent="0.3">
      <c r="G1277" s="7" t="s">
        <v>1253</v>
      </c>
      <c r="H1277" s="8" t="s">
        <v>2035</v>
      </c>
      <c r="I1277" s="8" t="s">
        <v>2031</v>
      </c>
      <c r="J1277" s="9">
        <v>1.44</v>
      </c>
    </row>
    <row r="1278" spans="7:10" hidden="1" x14ac:dyDescent="0.3">
      <c r="G1278" s="10" t="s">
        <v>1254</v>
      </c>
      <c r="H1278" s="11" t="s">
        <v>2052</v>
      </c>
      <c r="I1278" s="11" t="s">
        <v>2023</v>
      </c>
      <c r="J1278" s="12">
        <v>2.66</v>
      </c>
    </row>
    <row r="1279" spans="7:10" hidden="1" x14ac:dyDescent="0.3">
      <c r="G1279" s="7" t="s">
        <v>1255</v>
      </c>
      <c r="H1279" s="8" t="s">
        <v>2038</v>
      </c>
      <c r="I1279" s="8" t="s">
        <v>1987</v>
      </c>
      <c r="J1279" s="9">
        <v>4.8600000000000003</v>
      </c>
    </row>
    <row r="1280" spans="7:10" hidden="1" x14ac:dyDescent="0.3">
      <c r="G1280" s="10" t="s">
        <v>1256</v>
      </c>
      <c r="H1280" s="11" t="s">
        <v>2034</v>
      </c>
      <c r="I1280" s="11" t="s">
        <v>2023</v>
      </c>
      <c r="J1280" s="12">
        <v>6.29</v>
      </c>
    </row>
    <row r="1281" spans="7:10" hidden="1" x14ac:dyDescent="0.3">
      <c r="G1281" s="7" t="s">
        <v>1257</v>
      </c>
      <c r="H1281" s="8" t="s">
        <v>2034</v>
      </c>
      <c r="I1281" s="8" t="s">
        <v>2031</v>
      </c>
      <c r="J1281" s="9">
        <v>6.41</v>
      </c>
    </row>
    <row r="1282" spans="7:10" hidden="1" x14ac:dyDescent="0.3">
      <c r="G1282" s="10" t="s">
        <v>1258</v>
      </c>
      <c r="H1282" s="11" t="s">
        <v>2038</v>
      </c>
      <c r="I1282" s="11" t="s">
        <v>1998</v>
      </c>
      <c r="J1282" s="12">
        <v>5.01</v>
      </c>
    </row>
    <row r="1283" spans="7:10" hidden="1" x14ac:dyDescent="0.3">
      <c r="G1283" s="7" t="s">
        <v>1259</v>
      </c>
      <c r="H1283" s="8" t="s">
        <v>1975</v>
      </c>
      <c r="I1283" s="8" t="s">
        <v>1998</v>
      </c>
      <c r="J1283" s="9">
        <v>0.53</v>
      </c>
    </row>
    <row r="1284" spans="7:10" hidden="1" x14ac:dyDescent="0.3">
      <c r="G1284" s="10" t="s">
        <v>1260</v>
      </c>
      <c r="H1284" s="11" t="s">
        <v>2063</v>
      </c>
      <c r="I1284" s="11" t="s">
        <v>1992</v>
      </c>
      <c r="J1284" s="12">
        <v>6.19</v>
      </c>
    </row>
    <row r="1285" spans="7:10" hidden="1" x14ac:dyDescent="0.3">
      <c r="G1285" s="7" t="s">
        <v>1261</v>
      </c>
      <c r="H1285" s="8" t="s">
        <v>2034</v>
      </c>
      <c r="I1285" s="8" t="s">
        <v>2025</v>
      </c>
      <c r="J1285" s="9">
        <v>1.07</v>
      </c>
    </row>
    <row r="1286" spans="7:10" hidden="1" x14ac:dyDescent="0.3">
      <c r="G1286" s="10" t="s">
        <v>1262</v>
      </c>
      <c r="H1286" s="11" t="s">
        <v>2034</v>
      </c>
      <c r="I1286" s="11" t="s">
        <v>2030</v>
      </c>
      <c r="J1286" s="12">
        <v>11.21</v>
      </c>
    </row>
    <row r="1287" spans="7:10" hidden="1" x14ac:dyDescent="0.3">
      <c r="G1287" s="7" t="s">
        <v>1263</v>
      </c>
      <c r="H1287" s="8" t="s">
        <v>2070</v>
      </c>
      <c r="I1287" s="8" t="s">
        <v>1979</v>
      </c>
      <c r="J1287" s="9">
        <v>1.29</v>
      </c>
    </row>
    <row r="1288" spans="7:10" hidden="1" x14ac:dyDescent="0.3">
      <c r="G1288" s="10" t="s">
        <v>1994</v>
      </c>
      <c r="H1288" s="11" t="s">
        <v>2038</v>
      </c>
      <c r="I1288" s="11" t="s">
        <v>1993</v>
      </c>
      <c r="J1288" s="12">
        <v>4.59</v>
      </c>
    </row>
    <row r="1289" spans="7:10" hidden="1" x14ac:dyDescent="0.3">
      <c r="G1289" s="7" t="s">
        <v>1264</v>
      </c>
      <c r="H1289" s="8" t="s">
        <v>2037</v>
      </c>
      <c r="I1289" s="8" t="s">
        <v>2005</v>
      </c>
      <c r="J1289" s="9">
        <v>5.16</v>
      </c>
    </row>
    <row r="1290" spans="7:10" hidden="1" x14ac:dyDescent="0.3">
      <c r="G1290" s="10" t="s">
        <v>1265</v>
      </c>
      <c r="H1290" s="11" t="s">
        <v>2034</v>
      </c>
      <c r="I1290" s="11" t="s">
        <v>2003</v>
      </c>
      <c r="J1290" s="12">
        <v>1.74</v>
      </c>
    </row>
    <row r="1291" spans="7:10" hidden="1" x14ac:dyDescent="0.3">
      <c r="G1291" s="7" t="s">
        <v>1266</v>
      </c>
      <c r="H1291" s="8" t="s">
        <v>2050</v>
      </c>
      <c r="I1291" s="8" t="s">
        <v>1979</v>
      </c>
      <c r="J1291" s="9">
        <v>1.25</v>
      </c>
    </row>
    <row r="1292" spans="7:10" hidden="1" x14ac:dyDescent="0.3">
      <c r="G1292" s="10" t="s">
        <v>1267</v>
      </c>
      <c r="H1292" s="11" t="s">
        <v>2065</v>
      </c>
      <c r="I1292" s="11" t="s">
        <v>2027</v>
      </c>
      <c r="J1292" s="12">
        <v>7.08</v>
      </c>
    </row>
    <row r="1293" spans="7:10" hidden="1" x14ac:dyDescent="0.3">
      <c r="G1293" s="7" t="s">
        <v>1268</v>
      </c>
      <c r="H1293" s="8" t="s">
        <v>2039</v>
      </c>
      <c r="I1293" s="8" t="s">
        <v>1986</v>
      </c>
      <c r="J1293" s="9">
        <v>7.19</v>
      </c>
    </row>
    <row r="1294" spans="7:10" hidden="1" x14ac:dyDescent="0.3">
      <c r="G1294" s="10" t="s">
        <v>1269</v>
      </c>
      <c r="H1294" s="11" t="s">
        <v>2035</v>
      </c>
      <c r="I1294" s="11" t="s">
        <v>2031</v>
      </c>
      <c r="J1294" s="12">
        <v>3.14</v>
      </c>
    </row>
    <row r="1295" spans="7:10" hidden="1" x14ac:dyDescent="0.3">
      <c r="G1295" s="7" t="s">
        <v>1270</v>
      </c>
      <c r="H1295" s="8" t="s">
        <v>2034</v>
      </c>
      <c r="I1295" s="8" t="s">
        <v>2028</v>
      </c>
      <c r="J1295" s="9">
        <v>1.8</v>
      </c>
    </row>
    <row r="1296" spans="7:10" hidden="1" x14ac:dyDescent="0.3">
      <c r="G1296" s="10" t="s">
        <v>1271</v>
      </c>
      <c r="H1296" s="11" t="s">
        <v>2045</v>
      </c>
      <c r="I1296" s="11" t="s">
        <v>2005</v>
      </c>
      <c r="J1296" s="12">
        <v>6.21</v>
      </c>
    </row>
    <row r="1297" spans="7:10" hidden="1" x14ac:dyDescent="0.3">
      <c r="G1297" s="7" t="s">
        <v>1272</v>
      </c>
      <c r="H1297" s="8" t="s">
        <v>2057</v>
      </c>
      <c r="I1297" s="8" t="s">
        <v>1987</v>
      </c>
      <c r="J1297" s="9">
        <v>3.49</v>
      </c>
    </row>
    <row r="1298" spans="7:10" hidden="1" x14ac:dyDescent="0.3">
      <c r="G1298" s="10" t="s">
        <v>1273</v>
      </c>
      <c r="H1298" s="11" t="s">
        <v>2034</v>
      </c>
      <c r="I1298" s="11" t="s">
        <v>1993</v>
      </c>
      <c r="J1298" s="12">
        <v>2.9</v>
      </c>
    </row>
    <row r="1299" spans="7:10" hidden="1" x14ac:dyDescent="0.3">
      <c r="G1299" s="7" t="s">
        <v>1274</v>
      </c>
      <c r="H1299" s="8" t="s">
        <v>2034</v>
      </c>
      <c r="I1299" s="8" t="s">
        <v>2015</v>
      </c>
      <c r="J1299" s="9">
        <v>5.75</v>
      </c>
    </row>
    <row r="1300" spans="7:10" hidden="1" x14ac:dyDescent="0.3">
      <c r="G1300" s="10" t="s">
        <v>1275</v>
      </c>
      <c r="H1300" s="11" t="s">
        <v>2035</v>
      </c>
      <c r="I1300" s="11" t="s">
        <v>2031</v>
      </c>
      <c r="J1300" s="12">
        <v>1.47</v>
      </c>
    </row>
    <row r="1301" spans="7:10" hidden="1" x14ac:dyDescent="0.3">
      <c r="G1301" s="7" t="s">
        <v>1276</v>
      </c>
      <c r="H1301" s="8" t="s">
        <v>2034</v>
      </c>
      <c r="I1301" s="8" t="s">
        <v>2005</v>
      </c>
      <c r="J1301" s="9">
        <v>2.0699999999999998</v>
      </c>
    </row>
    <row r="1302" spans="7:10" hidden="1" x14ac:dyDescent="0.3">
      <c r="G1302" s="10" t="s">
        <v>1277</v>
      </c>
      <c r="H1302" s="11" t="s">
        <v>2034</v>
      </c>
      <c r="I1302" s="11" t="s">
        <v>1979</v>
      </c>
      <c r="J1302" s="12">
        <v>0.89</v>
      </c>
    </row>
    <row r="1303" spans="7:10" hidden="1" x14ac:dyDescent="0.3">
      <c r="G1303" s="7" t="s">
        <v>1278</v>
      </c>
      <c r="H1303" s="8" t="s">
        <v>2061</v>
      </c>
      <c r="I1303" s="8" t="s">
        <v>1979</v>
      </c>
      <c r="J1303" s="9">
        <v>2.16</v>
      </c>
    </row>
    <row r="1304" spans="7:10" hidden="1" x14ac:dyDescent="0.3">
      <c r="G1304" s="10" t="s">
        <v>1279</v>
      </c>
      <c r="H1304" s="11" t="s">
        <v>2037</v>
      </c>
      <c r="I1304" s="11" t="s">
        <v>2002</v>
      </c>
      <c r="J1304" s="12">
        <v>1.93</v>
      </c>
    </row>
    <row r="1305" spans="7:10" hidden="1" x14ac:dyDescent="0.3">
      <c r="G1305" s="7" t="s">
        <v>1280</v>
      </c>
      <c r="H1305" s="8" t="s">
        <v>2085</v>
      </c>
      <c r="I1305" s="8" t="s">
        <v>2028</v>
      </c>
      <c r="J1305" s="9">
        <v>2.06</v>
      </c>
    </row>
    <row r="1306" spans="7:10" hidden="1" x14ac:dyDescent="0.3">
      <c r="G1306" s="10" t="s">
        <v>1281</v>
      </c>
      <c r="H1306" s="11" t="s">
        <v>2038</v>
      </c>
      <c r="I1306" s="11" t="s">
        <v>1999</v>
      </c>
      <c r="J1306" s="12">
        <v>2.61</v>
      </c>
    </row>
    <row r="1307" spans="7:10" x14ac:dyDescent="0.3">
      <c r="G1307" s="10" t="s">
        <v>632</v>
      </c>
      <c r="H1307" s="11" t="s">
        <v>2047</v>
      </c>
      <c r="I1307" s="11" t="s">
        <v>2015</v>
      </c>
      <c r="J1307" s="12">
        <v>21.1</v>
      </c>
    </row>
    <row r="1308" spans="7:10" hidden="1" x14ac:dyDescent="0.3">
      <c r="G1308" s="10" t="s">
        <v>1283</v>
      </c>
      <c r="H1308" s="11" t="s">
        <v>2064</v>
      </c>
      <c r="I1308" s="11" t="s">
        <v>1979</v>
      </c>
      <c r="J1308" s="12">
        <v>3.31</v>
      </c>
    </row>
    <row r="1309" spans="7:10" hidden="1" x14ac:dyDescent="0.3">
      <c r="G1309" s="7" t="s">
        <v>1284</v>
      </c>
      <c r="H1309" s="8" t="s">
        <v>2037</v>
      </c>
      <c r="I1309" s="8" t="s">
        <v>1979</v>
      </c>
      <c r="J1309" s="9">
        <v>1.26</v>
      </c>
    </row>
    <row r="1310" spans="7:10" x14ac:dyDescent="0.3">
      <c r="G1310" s="10" t="s">
        <v>696</v>
      </c>
      <c r="H1310" s="11" t="s">
        <v>2047</v>
      </c>
      <c r="I1310" s="11" t="s">
        <v>2015</v>
      </c>
      <c r="J1310" s="12">
        <v>4.6900000000000004</v>
      </c>
    </row>
    <row r="1311" spans="7:10" hidden="1" x14ac:dyDescent="0.3">
      <c r="G1311" s="7" t="s">
        <v>1286</v>
      </c>
      <c r="H1311" s="8" t="s">
        <v>2034</v>
      </c>
      <c r="I1311" s="8" t="s">
        <v>1978</v>
      </c>
      <c r="J1311" s="9">
        <v>3.4</v>
      </c>
    </row>
    <row r="1312" spans="7:10" hidden="1" x14ac:dyDescent="0.3">
      <c r="G1312" s="10" t="s">
        <v>1287</v>
      </c>
      <c r="H1312" s="11" t="s">
        <v>2034</v>
      </c>
      <c r="I1312" s="11" t="s">
        <v>1998</v>
      </c>
      <c r="J1312" s="12">
        <v>1.52</v>
      </c>
    </row>
    <row r="1313" spans="7:10" hidden="1" x14ac:dyDescent="0.3">
      <c r="G1313" s="7" t="s">
        <v>1288</v>
      </c>
      <c r="H1313" s="8" t="s">
        <v>2039</v>
      </c>
      <c r="I1313" s="8" t="s">
        <v>1993</v>
      </c>
      <c r="J1313" s="9">
        <v>3.9</v>
      </c>
    </row>
    <row r="1314" spans="7:10" hidden="1" x14ac:dyDescent="0.3">
      <c r="G1314" s="10" t="s">
        <v>1289</v>
      </c>
      <c r="H1314" s="11" t="s">
        <v>2045</v>
      </c>
      <c r="I1314" s="11" t="s">
        <v>1988</v>
      </c>
      <c r="J1314" s="12">
        <v>3.79</v>
      </c>
    </row>
    <row r="1315" spans="7:10" hidden="1" x14ac:dyDescent="0.3">
      <c r="G1315" s="7" t="s">
        <v>1290</v>
      </c>
      <c r="H1315" s="8" t="s">
        <v>2038</v>
      </c>
      <c r="I1315" s="8" t="s">
        <v>1987</v>
      </c>
      <c r="J1315" s="9">
        <v>5.42</v>
      </c>
    </row>
    <row r="1316" spans="7:10" hidden="1" x14ac:dyDescent="0.3">
      <c r="G1316" s="10" t="s">
        <v>1291</v>
      </c>
      <c r="H1316" s="11" t="s">
        <v>2046</v>
      </c>
      <c r="I1316" s="11" t="s">
        <v>2028</v>
      </c>
      <c r="J1316" s="12">
        <v>2.2200000000000002</v>
      </c>
    </row>
    <row r="1317" spans="7:10" hidden="1" x14ac:dyDescent="0.3">
      <c r="G1317" s="7" t="s">
        <v>1292</v>
      </c>
      <c r="H1317" s="8" t="s">
        <v>2034</v>
      </c>
      <c r="I1317" s="8" t="s">
        <v>1998</v>
      </c>
      <c r="J1317" s="9">
        <v>0.98</v>
      </c>
    </row>
    <row r="1318" spans="7:10" hidden="1" x14ac:dyDescent="0.3">
      <c r="G1318" s="10" t="s">
        <v>1293</v>
      </c>
      <c r="H1318" s="11" t="s">
        <v>2052</v>
      </c>
      <c r="I1318" s="11" t="s">
        <v>2029</v>
      </c>
      <c r="J1318" s="12">
        <v>6.07</v>
      </c>
    </row>
    <row r="1319" spans="7:10" hidden="1" x14ac:dyDescent="0.3">
      <c r="G1319" s="7" t="s">
        <v>1294</v>
      </c>
      <c r="H1319" s="8" t="s">
        <v>2035</v>
      </c>
      <c r="I1319" s="8" t="s">
        <v>2015</v>
      </c>
      <c r="J1319" s="9">
        <v>8.77</v>
      </c>
    </row>
    <row r="1320" spans="7:10" hidden="1" x14ac:dyDescent="0.3">
      <c r="G1320" s="10" t="s">
        <v>1295</v>
      </c>
      <c r="H1320" s="11" t="s">
        <v>2039</v>
      </c>
      <c r="I1320" s="11" t="s">
        <v>2002</v>
      </c>
      <c r="J1320" s="12">
        <v>3.07</v>
      </c>
    </row>
    <row r="1321" spans="7:10" hidden="1" x14ac:dyDescent="0.3">
      <c r="G1321" s="7" t="s">
        <v>1296</v>
      </c>
      <c r="H1321" s="8" t="s">
        <v>2034</v>
      </c>
      <c r="I1321" s="8" t="s">
        <v>2027</v>
      </c>
      <c r="J1321" s="9">
        <v>2.31</v>
      </c>
    </row>
    <row r="1322" spans="7:10" hidden="1" x14ac:dyDescent="0.3">
      <c r="G1322" s="10" t="s">
        <v>1297</v>
      </c>
      <c r="H1322" s="11" t="s">
        <v>2038</v>
      </c>
      <c r="I1322" s="11" t="s">
        <v>1988</v>
      </c>
      <c r="J1322" s="12">
        <v>9.36</v>
      </c>
    </row>
    <row r="1323" spans="7:10" hidden="1" x14ac:dyDescent="0.3">
      <c r="G1323" s="7" t="s">
        <v>1298</v>
      </c>
      <c r="H1323" s="8" t="s">
        <v>2054</v>
      </c>
      <c r="I1323" s="8" t="s">
        <v>1979</v>
      </c>
      <c r="J1323" s="9">
        <v>1.1399999999999999</v>
      </c>
    </row>
    <row r="1324" spans="7:10" hidden="1" x14ac:dyDescent="0.3">
      <c r="G1324" s="10" t="s">
        <v>1299</v>
      </c>
      <c r="H1324" s="11" t="s">
        <v>2038</v>
      </c>
      <c r="I1324" s="11" t="s">
        <v>2023</v>
      </c>
      <c r="J1324" s="12">
        <v>11.4</v>
      </c>
    </row>
    <row r="1325" spans="7:10" hidden="1" x14ac:dyDescent="0.3">
      <c r="G1325" s="7" t="s">
        <v>1300</v>
      </c>
      <c r="H1325" s="8" t="s">
        <v>2035</v>
      </c>
      <c r="I1325" s="8" t="s">
        <v>2015</v>
      </c>
      <c r="J1325" s="9">
        <v>1.99</v>
      </c>
    </row>
    <row r="1326" spans="7:10" hidden="1" x14ac:dyDescent="0.3">
      <c r="G1326" s="10" t="s">
        <v>1301</v>
      </c>
      <c r="H1326" s="11" t="s">
        <v>2034</v>
      </c>
      <c r="I1326" s="11" t="s">
        <v>2025</v>
      </c>
      <c r="J1326" s="12">
        <v>2.0099999999999998</v>
      </c>
    </row>
    <row r="1327" spans="7:10" hidden="1" x14ac:dyDescent="0.3">
      <c r="G1327" s="7" t="s">
        <v>1302</v>
      </c>
      <c r="H1327" s="8" t="s">
        <v>2034</v>
      </c>
      <c r="I1327" s="8" t="s">
        <v>2015</v>
      </c>
      <c r="J1327" s="9">
        <v>8.4</v>
      </c>
    </row>
    <row r="1328" spans="7:10" hidden="1" x14ac:dyDescent="0.3">
      <c r="G1328" s="10" t="s">
        <v>1303</v>
      </c>
      <c r="H1328" s="11" t="s">
        <v>2034</v>
      </c>
      <c r="I1328" s="11" t="s">
        <v>2005</v>
      </c>
      <c r="J1328" s="12">
        <v>2.85</v>
      </c>
    </row>
    <row r="1329" spans="7:10" hidden="1" x14ac:dyDescent="0.3">
      <c r="G1329" s="7" t="s">
        <v>1304</v>
      </c>
      <c r="H1329" s="8" t="s">
        <v>2034</v>
      </c>
      <c r="I1329" s="8" t="s">
        <v>2002</v>
      </c>
      <c r="J1329" s="9">
        <v>3.71</v>
      </c>
    </row>
    <row r="1330" spans="7:10" hidden="1" x14ac:dyDescent="0.3">
      <c r="G1330" s="10" t="s">
        <v>1305</v>
      </c>
      <c r="H1330" s="11" t="s">
        <v>2034</v>
      </c>
      <c r="I1330" s="11" t="s">
        <v>2028</v>
      </c>
      <c r="J1330" s="12">
        <v>2.48</v>
      </c>
    </row>
    <row r="1331" spans="7:10" hidden="1" x14ac:dyDescent="0.3">
      <c r="G1331" s="7" t="s">
        <v>1306</v>
      </c>
      <c r="H1331" s="8" t="s">
        <v>2035</v>
      </c>
      <c r="I1331" s="8" t="s">
        <v>1998</v>
      </c>
      <c r="J1331" s="9">
        <v>0.65</v>
      </c>
    </row>
    <row r="1332" spans="7:10" hidden="1" x14ac:dyDescent="0.3">
      <c r="G1332" s="10" t="s">
        <v>1307</v>
      </c>
      <c r="H1332" s="11" t="s">
        <v>1975</v>
      </c>
      <c r="I1332" s="11" t="s">
        <v>1998</v>
      </c>
      <c r="J1332" s="12">
        <v>0.72</v>
      </c>
    </row>
    <row r="1333" spans="7:10" hidden="1" x14ac:dyDescent="0.3">
      <c r="G1333" s="7" t="s">
        <v>2033</v>
      </c>
      <c r="H1333" s="8" t="s">
        <v>2034</v>
      </c>
      <c r="I1333" s="8" t="s">
        <v>2031</v>
      </c>
      <c r="J1333" s="9">
        <v>7.4</v>
      </c>
    </row>
    <row r="1334" spans="7:10" hidden="1" x14ac:dyDescent="0.3">
      <c r="G1334" s="10" t="s">
        <v>1308</v>
      </c>
      <c r="H1334" s="11" t="s">
        <v>2067</v>
      </c>
      <c r="I1334" s="11" t="s">
        <v>2022</v>
      </c>
      <c r="J1334" s="12">
        <v>6.06</v>
      </c>
    </row>
    <row r="1335" spans="7:10" hidden="1" x14ac:dyDescent="0.3">
      <c r="G1335" s="7" t="s">
        <v>1309</v>
      </c>
      <c r="H1335" s="8" t="s">
        <v>2034</v>
      </c>
      <c r="I1335" s="8" t="s">
        <v>1993</v>
      </c>
      <c r="J1335" s="9">
        <v>5.35</v>
      </c>
    </row>
    <row r="1336" spans="7:10" hidden="1" x14ac:dyDescent="0.3">
      <c r="G1336" s="10" t="s">
        <v>1310</v>
      </c>
      <c r="H1336" s="11" t="s">
        <v>2056</v>
      </c>
      <c r="I1336" s="11" t="s">
        <v>1979</v>
      </c>
      <c r="J1336" s="12">
        <v>3.4</v>
      </c>
    </row>
    <row r="1337" spans="7:10" hidden="1" x14ac:dyDescent="0.3">
      <c r="G1337" s="7" t="s">
        <v>1311</v>
      </c>
      <c r="H1337" s="8" t="s">
        <v>2040</v>
      </c>
      <c r="I1337" s="8" t="s">
        <v>1998</v>
      </c>
      <c r="J1337" s="9">
        <v>1.1299999999999999</v>
      </c>
    </row>
    <row r="1338" spans="7:10" hidden="1" x14ac:dyDescent="0.3">
      <c r="G1338" s="10" t="s">
        <v>1312</v>
      </c>
      <c r="H1338" s="11" t="s">
        <v>2038</v>
      </c>
      <c r="I1338" s="11" t="s">
        <v>1988</v>
      </c>
      <c r="J1338" s="12">
        <v>3.8</v>
      </c>
    </row>
    <row r="1339" spans="7:10" hidden="1" x14ac:dyDescent="0.3">
      <c r="G1339" s="7" t="s">
        <v>1313</v>
      </c>
      <c r="H1339" s="8" t="s">
        <v>2034</v>
      </c>
      <c r="I1339" s="8" t="s">
        <v>1986</v>
      </c>
      <c r="J1339" s="9">
        <v>2.35</v>
      </c>
    </row>
    <row r="1340" spans="7:10" hidden="1" x14ac:dyDescent="0.3">
      <c r="G1340" s="10" t="s">
        <v>1314</v>
      </c>
      <c r="H1340" s="11" t="s">
        <v>2061</v>
      </c>
      <c r="I1340" s="11" t="s">
        <v>2028</v>
      </c>
      <c r="J1340" s="12">
        <v>1.86</v>
      </c>
    </row>
    <row r="1341" spans="7:10" hidden="1" x14ac:dyDescent="0.3">
      <c r="G1341" s="7" t="s">
        <v>1315</v>
      </c>
      <c r="H1341" s="8" t="s">
        <v>2045</v>
      </c>
      <c r="I1341" s="8" t="s">
        <v>2030</v>
      </c>
      <c r="J1341" s="9">
        <v>3.72</v>
      </c>
    </row>
    <row r="1342" spans="7:10" hidden="1" x14ac:dyDescent="0.3">
      <c r="G1342" s="10" t="s">
        <v>1316</v>
      </c>
      <c r="H1342" s="11" t="s">
        <v>2067</v>
      </c>
      <c r="I1342" s="11" t="s">
        <v>2028</v>
      </c>
      <c r="J1342" s="12">
        <v>2.48</v>
      </c>
    </row>
    <row r="1343" spans="7:10" hidden="1" x14ac:dyDescent="0.3">
      <c r="G1343" s="7" t="s">
        <v>1317</v>
      </c>
      <c r="H1343" s="8" t="s">
        <v>2034</v>
      </c>
      <c r="I1343" s="8" t="s">
        <v>2030</v>
      </c>
      <c r="J1343" s="9">
        <v>3.9</v>
      </c>
    </row>
    <row r="1344" spans="7:10" hidden="1" x14ac:dyDescent="0.3">
      <c r="G1344" s="10" t="s">
        <v>1318</v>
      </c>
      <c r="H1344" s="11" t="s">
        <v>2041</v>
      </c>
      <c r="I1344" s="11" t="s">
        <v>2005</v>
      </c>
      <c r="J1344" s="12">
        <v>4.6500000000000004</v>
      </c>
    </row>
    <row r="1345" spans="7:10" hidden="1" x14ac:dyDescent="0.3">
      <c r="G1345" s="7" t="s">
        <v>1319</v>
      </c>
      <c r="H1345" s="8" t="s">
        <v>2038</v>
      </c>
      <c r="I1345" s="8" t="s">
        <v>1998</v>
      </c>
      <c r="J1345" s="9">
        <v>5.04</v>
      </c>
    </row>
    <row r="1346" spans="7:10" hidden="1" x14ac:dyDescent="0.3">
      <c r="G1346" s="10" t="s">
        <v>1320</v>
      </c>
      <c r="H1346" s="11" t="s">
        <v>2034</v>
      </c>
      <c r="I1346" s="11" t="s">
        <v>1998</v>
      </c>
      <c r="J1346" s="12">
        <v>1.25</v>
      </c>
    </row>
    <row r="1347" spans="7:10" hidden="1" x14ac:dyDescent="0.3">
      <c r="G1347" s="7" t="s">
        <v>1321</v>
      </c>
      <c r="H1347" s="8" t="s">
        <v>2038</v>
      </c>
      <c r="I1347" s="8" t="s">
        <v>2026</v>
      </c>
      <c r="J1347" s="9">
        <v>2.23</v>
      </c>
    </row>
    <row r="1348" spans="7:10" hidden="1" x14ac:dyDescent="0.3">
      <c r="G1348" s="10" t="s">
        <v>1322</v>
      </c>
      <c r="H1348" s="11" t="s">
        <v>2043</v>
      </c>
      <c r="I1348" s="11" t="s">
        <v>2015</v>
      </c>
      <c r="J1348" s="12">
        <v>4.68</v>
      </c>
    </row>
    <row r="1349" spans="7:10" hidden="1" x14ac:dyDescent="0.3">
      <c r="G1349" s="7" t="s">
        <v>1323</v>
      </c>
      <c r="H1349" s="8" t="s">
        <v>2043</v>
      </c>
      <c r="I1349" s="8" t="s">
        <v>1993</v>
      </c>
      <c r="J1349" s="9">
        <v>4.6500000000000004</v>
      </c>
    </row>
    <row r="1350" spans="7:10" hidden="1" x14ac:dyDescent="0.3">
      <c r="G1350" s="10" t="s">
        <v>1324</v>
      </c>
      <c r="H1350" s="11" t="s">
        <v>2034</v>
      </c>
      <c r="I1350" s="11" t="s">
        <v>2001</v>
      </c>
      <c r="J1350" s="12">
        <v>5.41</v>
      </c>
    </row>
    <row r="1351" spans="7:10" hidden="1" x14ac:dyDescent="0.3">
      <c r="G1351" s="7" t="s">
        <v>1325</v>
      </c>
      <c r="H1351" s="8" t="s">
        <v>2034</v>
      </c>
      <c r="I1351" s="8" t="s">
        <v>1997</v>
      </c>
      <c r="J1351" s="9">
        <v>16.98</v>
      </c>
    </row>
    <row r="1352" spans="7:10" hidden="1" x14ac:dyDescent="0.3">
      <c r="G1352" s="10" t="s">
        <v>1326</v>
      </c>
      <c r="H1352" s="11" t="s">
        <v>2035</v>
      </c>
      <c r="I1352" s="11" t="s">
        <v>1993</v>
      </c>
      <c r="J1352" s="12">
        <v>6.72</v>
      </c>
    </row>
    <row r="1353" spans="7:10" hidden="1" x14ac:dyDescent="0.3">
      <c r="G1353" s="7" t="s">
        <v>1327</v>
      </c>
      <c r="H1353" s="8" t="s">
        <v>2034</v>
      </c>
      <c r="I1353" s="8" t="s">
        <v>1998</v>
      </c>
      <c r="J1353" s="9">
        <v>0.66</v>
      </c>
    </row>
    <row r="1354" spans="7:10" hidden="1" x14ac:dyDescent="0.3">
      <c r="G1354" s="10" t="s">
        <v>1328</v>
      </c>
      <c r="H1354" s="11" t="s">
        <v>2034</v>
      </c>
      <c r="I1354" s="11" t="s">
        <v>2025</v>
      </c>
      <c r="J1354" s="12">
        <v>1.95</v>
      </c>
    </row>
    <row r="1355" spans="7:10" hidden="1" x14ac:dyDescent="0.3">
      <c r="G1355" s="7" t="s">
        <v>1329</v>
      </c>
      <c r="H1355" s="8" t="s">
        <v>2043</v>
      </c>
      <c r="I1355" s="8" t="s">
        <v>1988</v>
      </c>
      <c r="J1355" s="9">
        <v>7.71</v>
      </c>
    </row>
    <row r="1356" spans="7:10" hidden="1" x14ac:dyDescent="0.3">
      <c r="G1356" s="10" t="s">
        <v>1330</v>
      </c>
      <c r="H1356" s="11" t="s">
        <v>2045</v>
      </c>
      <c r="I1356" s="11" t="s">
        <v>2030</v>
      </c>
      <c r="J1356" s="12">
        <v>3.89</v>
      </c>
    </row>
    <row r="1357" spans="7:10" hidden="1" x14ac:dyDescent="0.3">
      <c r="G1357" s="7" t="s">
        <v>1331</v>
      </c>
      <c r="H1357" s="8" t="s">
        <v>2034</v>
      </c>
      <c r="I1357" s="8" t="s">
        <v>1986</v>
      </c>
      <c r="J1357" s="9">
        <v>3.22</v>
      </c>
    </row>
    <row r="1358" spans="7:10" hidden="1" x14ac:dyDescent="0.3">
      <c r="G1358" s="10" t="s">
        <v>1332</v>
      </c>
      <c r="H1358" s="11" t="s">
        <v>2034</v>
      </c>
      <c r="I1358" s="11" t="s">
        <v>2028</v>
      </c>
      <c r="J1358" s="12">
        <v>0.94</v>
      </c>
    </row>
    <row r="1359" spans="7:10" hidden="1" x14ac:dyDescent="0.3">
      <c r="G1359" s="7" t="s">
        <v>1333</v>
      </c>
      <c r="H1359" s="8" t="s">
        <v>2034</v>
      </c>
      <c r="I1359" s="8" t="s">
        <v>1979</v>
      </c>
      <c r="J1359" s="9">
        <v>1.78</v>
      </c>
    </row>
    <row r="1360" spans="7:10" hidden="1" x14ac:dyDescent="0.3">
      <c r="G1360" s="10" t="s">
        <v>1334</v>
      </c>
      <c r="H1360" s="11" t="s">
        <v>2043</v>
      </c>
      <c r="I1360" s="11" t="s">
        <v>1998</v>
      </c>
      <c r="J1360" s="12">
        <v>0.49</v>
      </c>
    </row>
    <row r="1361" spans="7:10" hidden="1" x14ac:dyDescent="0.3">
      <c r="G1361" s="7" t="s">
        <v>1335</v>
      </c>
      <c r="H1361" s="8" t="s">
        <v>2086</v>
      </c>
      <c r="I1361" s="8" t="s">
        <v>2028</v>
      </c>
      <c r="J1361" s="9">
        <v>2.25</v>
      </c>
    </row>
    <row r="1362" spans="7:10" hidden="1" x14ac:dyDescent="0.3">
      <c r="G1362" s="10" t="s">
        <v>1336</v>
      </c>
      <c r="H1362" s="11" t="s">
        <v>2034</v>
      </c>
      <c r="I1362" s="11" t="s">
        <v>2002</v>
      </c>
      <c r="J1362" s="12">
        <v>2.97</v>
      </c>
    </row>
    <row r="1363" spans="7:10" hidden="1" x14ac:dyDescent="0.3">
      <c r="G1363" s="7" t="s">
        <v>1337</v>
      </c>
      <c r="H1363" s="8" t="s">
        <v>2038</v>
      </c>
      <c r="I1363" s="8" t="s">
        <v>1987</v>
      </c>
      <c r="J1363" s="9">
        <v>7.88</v>
      </c>
    </row>
    <row r="1364" spans="7:10" hidden="1" x14ac:dyDescent="0.3">
      <c r="G1364" s="10" t="s">
        <v>1338</v>
      </c>
      <c r="H1364" s="11" t="s">
        <v>2034</v>
      </c>
      <c r="I1364" s="11" t="s">
        <v>2002</v>
      </c>
      <c r="J1364" s="12">
        <v>1.96</v>
      </c>
    </row>
    <row r="1365" spans="7:10" hidden="1" x14ac:dyDescent="0.3">
      <c r="G1365" s="7" t="s">
        <v>1339</v>
      </c>
      <c r="H1365" s="8" t="s">
        <v>2034</v>
      </c>
      <c r="I1365" s="8" t="s">
        <v>2015</v>
      </c>
      <c r="J1365" s="9">
        <v>4.09</v>
      </c>
    </row>
    <row r="1366" spans="7:10" hidden="1" x14ac:dyDescent="0.3">
      <c r="G1366" s="10" t="s">
        <v>1340</v>
      </c>
      <c r="H1366" s="11" t="s">
        <v>2038</v>
      </c>
      <c r="I1366" s="11" t="s">
        <v>2030</v>
      </c>
      <c r="J1366" s="12">
        <v>7.38</v>
      </c>
    </row>
    <row r="1367" spans="7:10" hidden="1" x14ac:dyDescent="0.3">
      <c r="G1367" s="7" t="s">
        <v>1341</v>
      </c>
      <c r="H1367" s="8" t="s">
        <v>2038</v>
      </c>
      <c r="I1367" s="8" t="s">
        <v>2015</v>
      </c>
      <c r="J1367" s="9">
        <v>6.53</v>
      </c>
    </row>
    <row r="1368" spans="7:10" hidden="1" x14ac:dyDescent="0.3">
      <c r="G1368" s="10" t="s">
        <v>1342</v>
      </c>
      <c r="H1368" s="11" t="s">
        <v>2042</v>
      </c>
      <c r="I1368" s="11" t="s">
        <v>1979</v>
      </c>
      <c r="J1368" s="12">
        <v>1.58</v>
      </c>
    </row>
    <row r="1369" spans="7:10" hidden="1" x14ac:dyDescent="0.3">
      <c r="G1369" s="7" t="s">
        <v>1343</v>
      </c>
      <c r="H1369" s="8" t="s">
        <v>2034</v>
      </c>
      <c r="I1369" s="8" t="s">
        <v>2017</v>
      </c>
      <c r="J1369" s="9">
        <v>5.19</v>
      </c>
    </row>
    <row r="1370" spans="7:10" hidden="1" x14ac:dyDescent="0.3">
      <c r="G1370" s="10" t="s">
        <v>1344</v>
      </c>
      <c r="H1370" s="11" t="s">
        <v>2034</v>
      </c>
      <c r="I1370" s="11" t="s">
        <v>2026</v>
      </c>
      <c r="J1370" s="12">
        <v>2.1800000000000002</v>
      </c>
    </row>
    <row r="1371" spans="7:10" hidden="1" x14ac:dyDescent="0.3">
      <c r="G1371" s="7" t="s">
        <v>1345</v>
      </c>
      <c r="H1371" s="8" t="s">
        <v>2034</v>
      </c>
      <c r="I1371" s="8" t="s">
        <v>2015</v>
      </c>
      <c r="J1371" s="9">
        <v>3.54</v>
      </c>
    </row>
    <row r="1372" spans="7:10" hidden="1" x14ac:dyDescent="0.3">
      <c r="G1372" s="10" t="s">
        <v>1346</v>
      </c>
      <c r="H1372" s="11" t="s">
        <v>2064</v>
      </c>
      <c r="I1372" s="11" t="s">
        <v>1979</v>
      </c>
      <c r="J1372" s="12">
        <v>1.36</v>
      </c>
    </row>
    <row r="1373" spans="7:10" hidden="1" x14ac:dyDescent="0.3">
      <c r="G1373" s="7" t="s">
        <v>1347</v>
      </c>
      <c r="H1373" s="8" t="s">
        <v>2038</v>
      </c>
      <c r="I1373" s="8" t="s">
        <v>2029</v>
      </c>
      <c r="J1373" s="9">
        <v>14.72</v>
      </c>
    </row>
    <row r="1374" spans="7:10" hidden="1" x14ac:dyDescent="0.3">
      <c r="G1374" s="10" t="s">
        <v>1348</v>
      </c>
      <c r="H1374" s="11" t="s">
        <v>2042</v>
      </c>
      <c r="I1374" s="11" t="s">
        <v>2031</v>
      </c>
      <c r="J1374" s="12">
        <v>1.34</v>
      </c>
    </row>
    <row r="1375" spans="7:10" hidden="1" x14ac:dyDescent="0.3">
      <c r="G1375" s="7" t="s">
        <v>1990</v>
      </c>
      <c r="H1375" s="8" t="s">
        <v>2037</v>
      </c>
      <c r="I1375" s="8" t="s">
        <v>1988</v>
      </c>
      <c r="J1375" s="9">
        <v>5.63</v>
      </c>
    </row>
    <row r="1376" spans="7:10" hidden="1" x14ac:dyDescent="0.3">
      <c r="G1376" s="10" t="s">
        <v>1349</v>
      </c>
      <c r="H1376" s="11" t="s">
        <v>2034</v>
      </c>
      <c r="I1376" s="11" t="s">
        <v>1998</v>
      </c>
      <c r="J1376" s="12">
        <v>1.63</v>
      </c>
    </row>
    <row r="1377" spans="7:10" hidden="1" x14ac:dyDescent="0.3">
      <c r="G1377" s="7" t="s">
        <v>1350</v>
      </c>
      <c r="H1377" s="8" t="s">
        <v>2034</v>
      </c>
      <c r="I1377" s="8" t="s">
        <v>2023</v>
      </c>
      <c r="J1377" s="9">
        <v>11.16</v>
      </c>
    </row>
    <row r="1378" spans="7:10" hidden="1" x14ac:dyDescent="0.3">
      <c r="G1378" s="10" t="s">
        <v>1351</v>
      </c>
      <c r="H1378" s="11" t="s">
        <v>2038</v>
      </c>
      <c r="I1378" s="11" t="s">
        <v>1979</v>
      </c>
      <c r="J1378" s="12">
        <v>1.1100000000000001</v>
      </c>
    </row>
    <row r="1379" spans="7:10" hidden="1" x14ac:dyDescent="0.3">
      <c r="G1379" s="7" t="s">
        <v>1352</v>
      </c>
      <c r="H1379" s="8" t="s">
        <v>2034</v>
      </c>
      <c r="I1379" s="8" t="s">
        <v>1998</v>
      </c>
      <c r="J1379" s="9">
        <v>0.79</v>
      </c>
    </row>
    <row r="1380" spans="7:10" hidden="1" x14ac:dyDescent="0.3">
      <c r="G1380" s="10" t="s">
        <v>1353</v>
      </c>
      <c r="H1380" s="11" t="s">
        <v>2062</v>
      </c>
      <c r="I1380" s="11" t="s">
        <v>2030</v>
      </c>
      <c r="J1380" s="12">
        <v>1.73</v>
      </c>
    </row>
    <row r="1381" spans="7:10" hidden="1" x14ac:dyDescent="0.3">
      <c r="G1381" s="7" t="s">
        <v>1354</v>
      </c>
      <c r="H1381" s="8" t="s">
        <v>2034</v>
      </c>
      <c r="I1381" s="8" t="s">
        <v>2004</v>
      </c>
      <c r="J1381" s="9">
        <v>3.68</v>
      </c>
    </row>
    <row r="1382" spans="7:10" hidden="1" x14ac:dyDescent="0.3">
      <c r="G1382" s="10" t="s">
        <v>1355</v>
      </c>
      <c r="H1382" s="11" t="s">
        <v>2038</v>
      </c>
      <c r="I1382" s="11" t="s">
        <v>1988</v>
      </c>
      <c r="J1382" s="12">
        <v>5.49</v>
      </c>
    </row>
    <row r="1383" spans="7:10" hidden="1" x14ac:dyDescent="0.3">
      <c r="G1383" s="7" t="s">
        <v>1356</v>
      </c>
      <c r="H1383" s="8" t="s">
        <v>2052</v>
      </c>
      <c r="I1383" s="8" t="s">
        <v>1998</v>
      </c>
      <c r="J1383" s="9">
        <v>0.56999999999999995</v>
      </c>
    </row>
    <row r="1384" spans="7:10" hidden="1" x14ac:dyDescent="0.3">
      <c r="G1384" s="10" t="s">
        <v>1357</v>
      </c>
      <c r="H1384" s="11" t="s">
        <v>2035</v>
      </c>
      <c r="I1384" s="11" t="s">
        <v>1998</v>
      </c>
      <c r="J1384" s="12">
        <v>1.43</v>
      </c>
    </row>
    <row r="1385" spans="7:10" hidden="1" x14ac:dyDescent="0.3">
      <c r="G1385" s="7" t="s">
        <v>1358</v>
      </c>
      <c r="H1385" s="8" t="s">
        <v>2034</v>
      </c>
      <c r="I1385" s="8" t="s">
        <v>2001</v>
      </c>
      <c r="J1385" s="9">
        <v>1.85</v>
      </c>
    </row>
    <row r="1386" spans="7:10" hidden="1" x14ac:dyDescent="0.3">
      <c r="G1386" s="10" t="s">
        <v>1359</v>
      </c>
      <c r="H1386" s="11" t="s">
        <v>2038</v>
      </c>
      <c r="I1386" s="11" t="s">
        <v>2002</v>
      </c>
      <c r="J1386" s="12">
        <v>12.42</v>
      </c>
    </row>
    <row r="1387" spans="7:10" hidden="1" x14ac:dyDescent="0.3">
      <c r="G1387" s="7" t="s">
        <v>1360</v>
      </c>
      <c r="H1387" s="8" t="s">
        <v>2073</v>
      </c>
      <c r="I1387" s="8" t="s">
        <v>2022</v>
      </c>
      <c r="J1387" s="9">
        <v>1.38</v>
      </c>
    </row>
    <row r="1388" spans="7:10" hidden="1" x14ac:dyDescent="0.3">
      <c r="G1388" s="10" t="s">
        <v>1361</v>
      </c>
      <c r="H1388" s="11" t="s">
        <v>2034</v>
      </c>
      <c r="I1388" s="11" t="s">
        <v>2004</v>
      </c>
      <c r="J1388" s="12">
        <v>4.8499999999999996</v>
      </c>
    </row>
    <row r="1389" spans="7:10" hidden="1" x14ac:dyDescent="0.3">
      <c r="G1389" s="7" t="s">
        <v>1362</v>
      </c>
      <c r="H1389" s="8" t="s">
        <v>2035</v>
      </c>
      <c r="I1389" s="8" t="s">
        <v>2030</v>
      </c>
      <c r="J1389" s="9">
        <v>4.5999999999999996</v>
      </c>
    </row>
    <row r="1390" spans="7:10" hidden="1" x14ac:dyDescent="0.3">
      <c r="G1390" s="10" t="s">
        <v>1363</v>
      </c>
      <c r="H1390" s="11" t="s">
        <v>2039</v>
      </c>
      <c r="I1390" s="11" t="s">
        <v>2015</v>
      </c>
      <c r="J1390" s="12">
        <v>4.12</v>
      </c>
    </row>
    <row r="1391" spans="7:10" hidden="1" x14ac:dyDescent="0.3">
      <c r="G1391" s="7" t="s">
        <v>1364</v>
      </c>
      <c r="H1391" s="8" t="s">
        <v>2080</v>
      </c>
      <c r="I1391" s="8" t="s">
        <v>2023</v>
      </c>
      <c r="J1391" s="9">
        <v>4.88</v>
      </c>
    </row>
    <row r="1392" spans="7:10" hidden="1" x14ac:dyDescent="0.3">
      <c r="G1392" s="10" t="s">
        <v>1365</v>
      </c>
      <c r="H1392" s="11" t="s">
        <v>2034</v>
      </c>
      <c r="I1392" s="11" t="s">
        <v>1986</v>
      </c>
      <c r="J1392" s="12">
        <v>2.12</v>
      </c>
    </row>
    <row r="1393" spans="7:10" hidden="1" x14ac:dyDescent="0.3">
      <c r="G1393" s="7" t="s">
        <v>1366</v>
      </c>
      <c r="H1393" s="8" t="s">
        <v>2035</v>
      </c>
      <c r="I1393" s="8" t="s">
        <v>2003</v>
      </c>
      <c r="J1393" s="9">
        <v>0.63</v>
      </c>
    </row>
    <row r="1394" spans="7:10" hidden="1" x14ac:dyDescent="0.3">
      <c r="G1394" s="10" t="s">
        <v>1367</v>
      </c>
      <c r="H1394" s="11" t="s">
        <v>2038</v>
      </c>
      <c r="I1394" s="11" t="s">
        <v>1979</v>
      </c>
      <c r="J1394" s="12">
        <v>1.25</v>
      </c>
    </row>
    <row r="1395" spans="7:10" hidden="1" x14ac:dyDescent="0.3">
      <c r="G1395" s="7" t="s">
        <v>1368</v>
      </c>
      <c r="H1395" s="8" t="s">
        <v>2034</v>
      </c>
      <c r="I1395" s="8" t="s">
        <v>1998</v>
      </c>
      <c r="J1395" s="9">
        <v>1.58</v>
      </c>
    </row>
    <row r="1396" spans="7:10" hidden="1" x14ac:dyDescent="0.3">
      <c r="G1396" s="10" t="s">
        <v>1369</v>
      </c>
      <c r="H1396" s="11" t="s">
        <v>2060</v>
      </c>
      <c r="I1396" s="11" t="s">
        <v>2001</v>
      </c>
      <c r="J1396" s="12">
        <v>5.29</v>
      </c>
    </row>
    <row r="1397" spans="7:10" hidden="1" x14ac:dyDescent="0.3">
      <c r="G1397" s="7" t="s">
        <v>1370</v>
      </c>
      <c r="H1397" s="8" t="s">
        <v>2034</v>
      </c>
      <c r="I1397" s="8" t="s">
        <v>1997</v>
      </c>
      <c r="J1397" s="9">
        <v>5.3</v>
      </c>
    </row>
    <row r="1398" spans="7:10" hidden="1" x14ac:dyDescent="0.3">
      <c r="G1398" s="10" t="s">
        <v>1371</v>
      </c>
      <c r="H1398" s="11" t="s">
        <v>2034</v>
      </c>
      <c r="I1398" s="11" t="s">
        <v>2001</v>
      </c>
      <c r="J1398" s="12">
        <v>2.02</v>
      </c>
    </row>
    <row r="1399" spans="7:10" x14ac:dyDescent="0.3">
      <c r="G1399" s="10" t="s">
        <v>744</v>
      </c>
      <c r="H1399" s="11" t="s">
        <v>2047</v>
      </c>
      <c r="I1399" s="11" t="s">
        <v>2015</v>
      </c>
      <c r="J1399" s="12">
        <v>3.83</v>
      </c>
    </row>
    <row r="1400" spans="7:10" hidden="1" x14ac:dyDescent="0.3">
      <c r="G1400" s="10" t="s">
        <v>1373</v>
      </c>
      <c r="H1400" s="11" t="s">
        <v>2065</v>
      </c>
      <c r="I1400" s="11" t="s">
        <v>2005</v>
      </c>
      <c r="J1400" s="12">
        <v>2.64</v>
      </c>
    </row>
    <row r="1401" spans="7:10" hidden="1" x14ac:dyDescent="0.3">
      <c r="G1401" s="7" t="s">
        <v>1374</v>
      </c>
      <c r="H1401" s="8" t="s">
        <v>2034</v>
      </c>
      <c r="I1401" s="8" t="s">
        <v>1998</v>
      </c>
      <c r="J1401" s="9">
        <v>0.73</v>
      </c>
    </row>
    <row r="1402" spans="7:10" hidden="1" x14ac:dyDescent="0.3">
      <c r="G1402" s="10" t="s">
        <v>1375</v>
      </c>
      <c r="H1402" s="11" t="s">
        <v>2034</v>
      </c>
      <c r="I1402" s="11" t="s">
        <v>1979</v>
      </c>
      <c r="J1402" s="12">
        <v>0.93</v>
      </c>
    </row>
    <row r="1403" spans="7:10" hidden="1" x14ac:dyDescent="0.3">
      <c r="G1403" s="7" t="s">
        <v>1376</v>
      </c>
      <c r="H1403" s="8" t="s">
        <v>1975</v>
      </c>
      <c r="I1403" s="8" t="s">
        <v>2022</v>
      </c>
      <c r="J1403" s="9">
        <v>1.81</v>
      </c>
    </row>
    <row r="1404" spans="7:10" hidden="1" x14ac:dyDescent="0.3">
      <c r="G1404" s="10" t="s">
        <v>1377</v>
      </c>
      <c r="H1404" s="11" t="s">
        <v>2042</v>
      </c>
      <c r="I1404" s="11" t="s">
        <v>1979</v>
      </c>
      <c r="J1404" s="12">
        <v>1.71</v>
      </c>
    </row>
    <row r="1405" spans="7:10" hidden="1" x14ac:dyDescent="0.3">
      <c r="G1405" s="7" t="s">
        <v>1378</v>
      </c>
      <c r="H1405" s="8" t="s">
        <v>2043</v>
      </c>
      <c r="I1405" s="8" t="s">
        <v>2030</v>
      </c>
      <c r="J1405" s="9">
        <v>5.56</v>
      </c>
    </row>
    <row r="1406" spans="7:10" hidden="1" x14ac:dyDescent="0.3">
      <c r="G1406" s="10" t="s">
        <v>1379</v>
      </c>
      <c r="H1406" s="11" t="s">
        <v>2034</v>
      </c>
      <c r="I1406" s="11" t="s">
        <v>1993</v>
      </c>
      <c r="J1406" s="12">
        <v>4.82</v>
      </c>
    </row>
    <row r="1407" spans="7:10" hidden="1" x14ac:dyDescent="0.3">
      <c r="G1407" s="7" t="s">
        <v>1380</v>
      </c>
      <c r="H1407" s="8" t="s">
        <v>2035</v>
      </c>
      <c r="I1407" s="8" t="s">
        <v>1998</v>
      </c>
      <c r="J1407" s="9">
        <v>2.06</v>
      </c>
    </row>
    <row r="1408" spans="7:10" hidden="1" x14ac:dyDescent="0.3">
      <c r="G1408" s="10" t="s">
        <v>1381</v>
      </c>
      <c r="H1408" s="11" t="s">
        <v>2035</v>
      </c>
      <c r="I1408" s="11" t="s">
        <v>2015</v>
      </c>
      <c r="J1408" s="12">
        <v>1.31</v>
      </c>
    </row>
    <row r="1409" spans="7:10" hidden="1" x14ac:dyDescent="0.3">
      <c r="G1409" s="7" t="s">
        <v>1382</v>
      </c>
      <c r="H1409" s="8" t="s">
        <v>2052</v>
      </c>
      <c r="I1409" s="8" t="s">
        <v>2030</v>
      </c>
      <c r="J1409" s="9">
        <v>4.1500000000000004</v>
      </c>
    </row>
    <row r="1410" spans="7:10" hidden="1" x14ac:dyDescent="0.3">
      <c r="G1410" s="10" t="s">
        <v>1383</v>
      </c>
      <c r="H1410" s="11" t="s">
        <v>2034</v>
      </c>
      <c r="I1410" s="11" t="s">
        <v>1997</v>
      </c>
      <c r="J1410" s="12">
        <v>9.76</v>
      </c>
    </row>
    <row r="1411" spans="7:10" hidden="1" x14ac:dyDescent="0.3">
      <c r="G1411" s="7" t="s">
        <v>1384</v>
      </c>
      <c r="H1411" s="8" t="s">
        <v>2052</v>
      </c>
      <c r="I1411" s="8" t="s">
        <v>2030</v>
      </c>
      <c r="J1411" s="9">
        <v>8.64</v>
      </c>
    </row>
    <row r="1412" spans="7:10" hidden="1" x14ac:dyDescent="0.3">
      <c r="G1412" s="10" t="s">
        <v>1385</v>
      </c>
      <c r="H1412" s="11" t="s">
        <v>2034</v>
      </c>
      <c r="I1412" s="11" t="s">
        <v>2003</v>
      </c>
      <c r="J1412" s="12">
        <v>3.78</v>
      </c>
    </row>
    <row r="1413" spans="7:10" hidden="1" x14ac:dyDescent="0.3">
      <c r="G1413" s="7" t="s">
        <v>1386</v>
      </c>
      <c r="H1413" s="8" t="s">
        <v>2076</v>
      </c>
      <c r="I1413" s="8" t="s">
        <v>1988</v>
      </c>
      <c r="J1413" s="9">
        <v>5.44</v>
      </c>
    </row>
    <row r="1414" spans="7:10" hidden="1" x14ac:dyDescent="0.3">
      <c r="G1414" s="10" t="s">
        <v>1387</v>
      </c>
      <c r="H1414" s="11" t="s">
        <v>2034</v>
      </c>
      <c r="I1414" s="11" t="s">
        <v>2027</v>
      </c>
      <c r="J1414" s="12">
        <v>3.99</v>
      </c>
    </row>
    <row r="1415" spans="7:10" hidden="1" x14ac:dyDescent="0.3">
      <c r="G1415" s="7" t="s">
        <v>1388</v>
      </c>
      <c r="H1415" s="8" t="s">
        <v>2038</v>
      </c>
      <c r="I1415" s="8" t="s">
        <v>1979</v>
      </c>
      <c r="J1415" s="9">
        <v>1.24</v>
      </c>
    </row>
    <row r="1416" spans="7:10" hidden="1" x14ac:dyDescent="0.3">
      <c r="G1416" s="10" t="s">
        <v>1389</v>
      </c>
      <c r="H1416" s="11" t="s">
        <v>2034</v>
      </c>
      <c r="I1416" s="11" t="s">
        <v>2027</v>
      </c>
      <c r="J1416" s="12">
        <v>1.92</v>
      </c>
    </row>
    <row r="1417" spans="7:10" hidden="1" x14ac:dyDescent="0.3">
      <c r="G1417" s="7" t="s">
        <v>1390</v>
      </c>
      <c r="H1417" s="8" t="s">
        <v>2042</v>
      </c>
      <c r="I1417" s="8" t="s">
        <v>2005</v>
      </c>
      <c r="J1417" s="9">
        <v>3.87</v>
      </c>
    </row>
    <row r="1418" spans="7:10" hidden="1" x14ac:dyDescent="0.3">
      <c r="G1418" s="10" t="s">
        <v>1391</v>
      </c>
      <c r="H1418" s="11" t="s">
        <v>2057</v>
      </c>
      <c r="I1418" s="11" t="s">
        <v>2015</v>
      </c>
      <c r="J1418" s="12">
        <v>3.49</v>
      </c>
    </row>
    <row r="1419" spans="7:10" hidden="1" x14ac:dyDescent="0.3">
      <c r="G1419" s="7" t="s">
        <v>1392</v>
      </c>
      <c r="H1419" s="8" t="s">
        <v>2034</v>
      </c>
      <c r="I1419" s="8" t="s">
        <v>2000</v>
      </c>
      <c r="J1419" s="9">
        <v>5</v>
      </c>
    </row>
    <row r="1420" spans="7:10" hidden="1" x14ac:dyDescent="0.3">
      <c r="G1420" s="10" t="s">
        <v>1393</v>
      </c>
      <c r="H1420" s="11" t="s">
        <v>2060</v>
      </c>
      <c r="I1420" s="11" t="s">
        <v>1979</v>
      </c>
      <c r="J1420" s="12">
        <v>1.76</v>
      </c>
    </row>
    <row r="1421" spans="7:10" hidden="1" x14ac:dyDescent="0.3">
      <c r="G1421" s="7" t="s">
        <v>1394</v>
      </c>
      <c r="H1421" s="8" t="s">
        <v>2064</v>
      </c>
      <c r="I1421" s="8" t="s">
        <v>2015</v>
      </c>
      <c r="J1421" s="9">
        <v>3.25</v>
      </c>
    </row>
    <row r="1422" spans="7:10" hidden="1" x14ac:dyDescent="0.3">
      <c r="G1422" s="10" t="s">
        <v>1395</v>
      </c>
      <c r="H1422" s="11" t="s">
        <v>2044</v>
      </c>
      <c r="I1422" s="11" t="s">
        <v>1988</v>
      </c>
      <c r="J1422" s="12">
        <v>4.7699999999999996</v>
      </c>
    </row>
    <row r="1423" spans="7:10" hidden="1" x14ac:dyDescent="0.3">
      <c r="G1423" s="7" t="s">
        <v>1396</v>
      </c>
      <c r="H1423" s="8" t="s">
        <v>2067</v>
      </c>
      <c r="I1423" s="8" t="s">
        <v>1988</v>
      </c>
      <c r="J1423" s="9">
        <v>3.97</v>
      </c>
    </row>
    <row r="1424" spans="7:10" hidden="1" x14ac:dyDescent="0.3">
      <c r="G1424" s="10" t="s">
        <v>1397</v>
      </c>
      <c r="H1424" s="11" t="s">
        <v>2034</v>
      </c>
      <c r="I1424" s="11" t="s">
        <v>1993</v>
      </c>
      <c r="J1424" s="12">
        <v>4.88</v>
      </c>
    </row>
    <row r="1425" spans="7:10" hidden="1" x14ac:dyDescent="0.3">
      <c r="G1425" s="7" t="s">
        <v>1398</v>
      </c>
      <c r="H1425" s="8" t="s">
        <v>2034</v>
      </c>
      <c r="I1425" s="8" t="s">
        <v>2017</v>
      </c>
      <c r="J1425" s="9">
        <v>3</v>
      </c>
    </row>
    <row r="1426" spans="7:10" hidden="1" x14ac:dyDescent="0.3">
      <c r="G1426" s="10" t="s">
        <v>1399</v>
      </c>
      <c r="H1426" s="11" t="s">
        <v>2034</v>
      </c>
      <c r="I1426" s="11" t="s">
        <v>2031</v>
      </c>
      <c r="J1426" s="12">
        <v>2.99</v>
      </c>
    </row>
    <row r="1427" spans="7:10" hidden="1" x14ac:dyDescent="0.3">
      <c r="G1427" s="7" t="s">
        <v>1400</v>
      </c>
      <c r="H1427" s="8" t="s">
        <v>2034</v>
      </c>
      <c r="I1427" s="8" t="s">
        <v>2028</v>
      </c>
      <c r="J1427" s="9">
        <v>3.81</v>
      </c>
    </row>
    <row r="1428" spans="7:10" hidden="1" x14ac:dyDescent="0.3">
      <c r="G1428" s="10" t="s">
        <v>1401</v>
      </c>
      <c r="H1428" s="11" t="s">
        <v>2038</v>
      </c>
      <c r="I1428" s="11" t="s">
        <v>1979</v>
      </c>
      <c r="J1428" s="12">
        <v>1.26</v>
      </c>
    </row>
    <row r="1429" spans="7:10" x14ac:dyDescent="0.3">
      <c r="G1429" s="10" t="s">
        <v>986</v>
      </c>
      <c r="H1429" s="11" t="s">
        <v>2047</v>
      </c>
      <c r="I1429" s="11" t="s">
        <v>2015</v>
      </c>
      <c r="J1429" s="12">
        <v>2.44</v>
      </c>
    </row>
    <row r="1430" spans="7:10" hidden="1" x14ac:dyDescent="0.3">
      <c r="G1430" s="10" t="s">
        <v>1403</v>
      </c>
      <c r="H1430" s="11" t="s">
        <v>2034</v>
      </c>
      <c r="I1430" s="11" t="s">
        <v>2027</v>
      </c>
      <c r="J1430" s="12">
        <v>3.14</v>
      </c>
    </row>
    <row r="1431" spans="7:10" hidden="1" x14ac:dyDescent="0.3">
      <c r="G1431" s="7" t="s">
        <v>1404</v>
      </c>
      <c r="H1431" s="8" t="s">
        <v>2034</v>
      </c>
      <c r="I1431" s="8" t="s">
        <v>1988</v>
      </c>
      <c r="J1431" s="9">
        <v>4.5999999999999996</v>
      </c>
    </row>
    <row r="1432" spans="7:10" hidden="1" x14ac:dyDescent="0.3">
      <c r="G1432" s="10" t="s">
        <v>1405</v>
      </c>
      <c r="H1432" s="11" t="s">
        <v>2038</v>
      </c>
      <c r="I1432" s="11" t="s">
        <v>1987</v>
      </c>
      <c r="J1432" s="12">
        <v>5.32</v>
      </c>
    </row>
    <row r="1433" spans="7:10" hidden="1" x14ac:dyDescent="0.3">
      <c r="G1433" s="7" t="s">
        <v>1406</v>
      </c>
      <c r="H1433" s="8" t="s">
        <v>2034</v>
      </c>
      <c r="I1433" s="8" t="s">
        <v>2002</v>
      </c>
      <c r="J1433" s="9">
        <v>4.7</v>
      </c>
    </row>
    <row r="1434" spans="7:10" hidden="1" x14ac:dyDescent="0.3">
      <c r="G1434" s="10" t="s">
        <v>1407</v>
      </c>
      <c r="H1434" s="11" t="s">
        <v>2081</v>
      </c>
      <c r="I1434" s="11" t="s">
        <v>1979</v>
      </c>
      <c r="J1434" s="12">
        <v>0.89</v>
      </c>
    </row>
    <row r="1435" spans="7:10" hidden="1" x14ac:dyDescent="0.3">
      <c r="G1435" s="7" t="s">
        <v>1408</v>
      </c>
      <c r="H1435" s="8" t="s">
        <v>2070</v>
      </c>
      <c r="I1435" s="8" t="s">
        <v>1979</v>
      </c>
      <c r="J1435" s="9">
        <v>1.57</v>
      </c>
    </row>
    <row r="1436" spans="7:10" hidden="1" x14ac:dyDescent="0.3">
      <c r="G1436" s="10" t="s">
        <v>1409</v>
      </c>
      <c r="H1436" s="11" t="s">
        <v>2034</v>
      </c>
      <c r="I1436" s="11" t="s">
        <v>1979</v>
      </c>
      <c r="J1436" s="12">
        <v>1.19</v>
      </c>
    </row>
    <row r="1437" spans="7:10" hidden="1" x14ac:dyDescent="0.3">
      <c r="G1437" s="7" t="s">
        <v>1410</v>
      </c>
      <c r="H1437" s="8" t="s">
        <v>2034</v>
      </c>
      <c r="I1437" s="8" t="s">
        <v>1986</v>
      </c>
      <c r="J1437" s="9">
        <v>5.74</v>
      </c>
    </row>
    <row r="1438" spans="7:10" hidden="1" x14ac:dyDescent="0.3">
      <c r="G1438" s="10" t="s">
        <v>1411</v>
      </c>
      <c r="H1438" s="11" t="s">
        <v>2034</v>
      </c>
      <c r="I1438" s="11" t="s">
        <v>1998</v>
      </c>
      <c r="J1438" s="12">
        <v>1.1299999999999999</v>
      </c>
    </row>
    <row r="1439" spans="7:10" hidden="1" x14ac:dyDescent="0.3">
      <c r="G1439" s="7" t="s">
        <v>1412</v>
      </c>
      <c r="H1439" s="8" t="s">
        <v>2065</v>
      </c>
      <c r="I1439" s="8" t="s">
        <v>1987</v>
      </c>
      <c r="J1439" s="9">
        <v>3.82</v>
      </c>
    </row>
    <row r="1440" spans="7:10" hidden="1" x14ac:dyDescent="0.3">
      <c r="G1440" s="10" t="s">
        <v>1413</v>
      </c>
      <c r="H1440" s="11" t="s">
        <v>2034</v>
      </c>
      <c r="I1440" s="11" t="s">
        <v>2031</v>
      </c>
      <c r="J1440" s="12">
        <v>2.72</v>
      </c>
    </row>
    <row r="1441" spans="7:10" hidden="1" x14ac:dyDescent="0.3">
      <c r="G1441" s="7" t="s">
        <v>1414</v>
      </c>
      <c r="H1441" s="8" t="s">
        <v>1975</v>
      </c>
      <c r="I1441" s="8" t="s">
        <v>2003</v>
      </c>
      <c r="J1441" s="9">
        <v>2.86</v>
      </c>
    </row>
    <row r="1442" spans="7:10" hidden="1" x14ac:dyDescent="0.3">
      <c r="G1442" s="10" t="s">
        <v>1415</v>
      </c>
      <c r="H1442" s="11" t="s">
        <v>1975</v>
      </c>
      <c r="I1442" s="11" t="s">
        <v>1999</v>
      </c>
      <c r="J1442" s="12">
        <v>2.09</v>
      </c>
    </row>
    <row r="1443" spans="7:10" hidden="1" x14ac:dyDescent="0.3">
      <c r="G1443" s="7" t="s">
        <v>1416</v>
      </c>
      <c r="H1443" s="8" t="s">
        <v>2034</v>
      </c>
      <c r="I1443" s="8" t="s">
        <v>2015</v>
      </c>
      <c r="J1443" s="9">
        <v>7.19</v>
      </c>
    </row>
    <row r="1444" spans="7:10" hidden="1" x14ac:dyDescent="0.3">
      <c r="G1444" s="10" t="s">
        <v>1417</v>
      </c>
      <c r="H1444" s="11" t="s">
        <v>2061</v>
      </c>
      <c r="I1444" s="11" t="s">
        <v>1987</v>
      </c>
      <c r="J1444" s="12">
        <v>3.29</v>
      </c>
    </row>
    <row r="1445" spans="7:10" hidden="1" x14ac:dyDescent="0.3">
      <c r="G1445" s="7" t="s">
        <v>1418</v>
      </c>
      <c r="H1445" s="8" t="s">
        <v>2038</v>
      </c>
      <c r="I1445" s="8" t="s">
        <v>1998</v>
      </c>
      <c r="J1445" s="9">
        <v>1.05</v>
      </c>
    </row>
    <row r="1446" spans="7:10" hidden="1" x14ac:dyDescent="0.3">
      <c r="G1446" s="10" t="s">
        <v>1419</v>
      </c>
      <c r="H1446" s="11" t="s">
        <v>2034</v>
      </c>
      <c r="I1446" s="11" t="s">
        <v>2025</v>
      </c>
      <c r="J1446" s="12">
        <v>1.64</v>
      </c>
    </row>
    <row r="1447" spans="7:10" hidden="1" x14ac:dyDescent="0.3">
      <c r="G1447" s="7" t="s">
        <v>1420</v>
      </c>
      <c r="H1447" s="8" t="s">
        <v>2034</v>
      </c>
      <c r="I1447" s="8" t="s">
        <v>1979</v>
      </c>
      <c r="J1447" s="9">
        <v>0.96</v>
      </c>
    </row>
    <row r="1448" spans="7:10" hidden="1" x14ac:dyDescent="0.3">
      <c r="G1448" s="10" t="s">
        <v>1421</v>
      </c>
      <c r="H1448" s="11" t="s">
        <v>2038</v>
      </c>
      <c r="I1448" s="11" t="s">
        <v>2015</v>
      </c>
      <c r="J1448" s="12">
        <v>5</v>
      </c>
    </row>
    <row r="1449" spans="7:10" hidden="1" x14ac:dyDescent="0.3">
      <c r="G1449" s="7" t="s">
        <v>1422</v>
      </c>
      <c r="H1449" s="8" t="s">
        <v>2087</v>
      </c>
      <c r="I1449" s="8" t="s">
        <v>1979</v>
      </c>
      <c r="J1449" s="9">
        <v>0.99</v>
      </c>
    </row>
    <row r="1450" spans="7:10" hidden="1" x14ac:dyDescent="0.3">
      <c r="G1450" s="10" t="s">
        <v>1423</v>
      </c>
      <c r="H1450" s="11" t="s">
        <v>2038</v>
      </c>
      <c r="I1450" s="11" t="s">
        <v>1988</v>
      </c>
      <c r="J1450" s="12">
        <v>3.63</v>
      </c>
    </row>
    <row r="1451" spans="7:10" hidden="1" x14ac:dyDescent="0.3">
      <c r="G1451" s="7" t="s">
        <v>1424</v>
      </c>
      <c r="H1451" s="8" t="s">
        <v>2043</v>
      </c>
      <c r="I1451" s="8" t="s">
        <v>1998</v>
      </c>
      <c r="J1451" s="9">
        <v>3.22</v>
      </c>
    </row>
    <row r="1452" spans="7:10" hidden="1" x14ac:dyDescent="0.3">
      <c r="G1452" s="10" t="s">
        <v>1425</v>
      </c>
      <c r="H1452" s="11" t="s">
        <v>2038</v>
      </c>
      <c r="I1452" s="11" t="s">
        <v>1979</v>
      </c>
      <c r="J1452" s="12">
        <v>0.95</v>
      </c>
    </row>
    <row r="1453" spans="7:10" hidden="1" x14ac:dyDescent="0.3">
      <c r="G1453" s="7" t="s">
        <v>1426</v>
      </c>
      <c r="H1453" s="8" t="s">
        <v>2062</v>
      </c>
      <c r="I1453" s="8" t="s">
        <v>2001</v>
      </c>
      <c r="J1453" s="9">
        <v>5.6</v>
      </c>
    </row>
    <row r="1454" spans="7:10" hidden="1" x14ac:dyDescent="0.3">
      <c r="G1454" s="10" t="s">
        <v>1427</v>
      </c>
      <c r="H1454" s="11" t="s">
        <v>2038</v>
      </c>
      <c r="I1454" s="11" t="s">
        <v>2027</v>
      </c>
      <c r="J1454" s="12">
        <v>5.22</v>
      </c>
    </row>
    <row r="1455" spans="7:10" hidden="1" x14ac:dyDescent="0.3">
      <c r="G1455" s="7" t="s">
        <v>1428</v>
      </c>
      <c r="H1455" s="8" t="s">
        <v>2065</v>
      </c>
      <c r="I1455" s="8" t="s">
        <v>2027</v>
      </c>
      <c r="J1455" s="9">
        <v>6.75</v>
      </c>
    </row>
    <row r="1456" spans="7:10" hidden="1" x14ac:dyDescent="0.3">
      <c r="G1456" s="10" t="s">
        <v>1429</v>
      </c>
      <c r="H1456" s="11" t="s">
        <v>2051</v>
      </c>
      <c r="I1456" s="11" t="s">
        <v>2005</v>
      </c>
      <c r="J1456" s="12">
        <v>4.21</v>
      </c>
    </row>
    <row r="1457" spans="7:10" hidden="1" x14ac:dyDescent="0.3">
      <c r="G1457" s="7" t="s">
        <v>1430</v>
      </c>
      <c r="H1457" s="8" t="s">
        <v>2052</v>
      </c>
      <c r="I1457" s="8" t="s">
        <v>1998</v>
      </c>
      <c r="J1457" s="9">
        <v>0.96</v>
      </c>
    </row>
    <row r="1458" spans="7:10" hidden="1" x14ac:dyDescent="0.3">
      <c r="G1458" s="10" t="s">
        <v>1431</v>
      </c>
      <c r="H1458" s="11" t="s">
        <v>2034</v>
      </c>
      <c r="I1458" s="11" t="s">
        <v>1979</v>
      </c>
      <c r="J1458" s="12">
        <v>1.21</v>
      </c>
    </row>
    <row r="1459" spans="7:10" hidden="1" x14ac:dyDescent="0.3">
      <c r="G1459" s="7" t="s">
        <v>1432</v>
      </c>
      <c r="H1459" s="8" t="s">
        <v>2034</v>
      </c>
      <c r="I1459" s="8" t="s">
        <v>2005</v>
      </c>
      <c r="J1459" s="9">
        <v>3.05</v>
      </c>
    </row>
    <row r="1460" spans="7:10" hidden="1" x14ac:dyDescent="0.3">
      <c r="G1460" s="10" t="s">
        <v>1433</v>
      </c>
      <c r="H1460" s="11" t="s">
        <v>2035</v>
      </c>
      <c r="I1460" s="11" t="s">
        <v>2002</v>
      </c>
      <c r="J1460" s="12">
        <v>2.42</v>
      </c>
    </row>
    <row r="1461" spans="7:10" hidden="1" x14ac:dyDescent="0.3">
      <c r="G1461" s="7" t="s">
        <v>1434</v>
      </c>
      <c r="H1461" s="8" t="s">
        <v>2037</v>
      </c>
      <c r="I1461" s="8" t="s">
        <v>1988</v>
      </c>
      <c r="J1461" s="9">
        <v>7.48</v>
      </c>
    </row>
    <row r="1462" spans="7:10" hidden="1" x14ac:dyDescent="0.3">
      <c r="G1462" s="10" t="s">
        <v>1435</v>
      </c>
      <c r="H1462" s="11" t="s">
        <v>2065</v>
      </c>
      <c r="I1462" s="11" t="s">
        <v>2027</v>
      </c>
      <c r="J1462" s="12">
        <v>3.68</v>
      </c>
    </row>
    <row r="1463" spans="7:10" hidden="1" x14ac:dyDescent="0.3">
      <c r="G1463" s="7" t="s">
        <v>1436</v>
      </c>
      <c r="H1463" s="8" t="s">
        <v>2070</v>
      </c>
      <c r="I1463" s="8" t="s">
        <v>1979</v>
      </c>
      <c r="J1463" s="9">
        <v>0.81</v>
      </c>
    </row>
    <row r="1464" spans="7:10" hidden="1" x14ac:dyDescent="0.3">
      <c r="G1464" s="10" t="s">
        <v>1437</v>
      </c>
      <c r="H1464" s="11" t="s">
        <v>2053</v>
      </c>
      <c r="I1464" s="11" t="s">
        <v>2000</v>
      </c>
      <c r="J1464" s="12">
        <v>9.84</v>
      </c>
    </row>
    <row r="1465" spans="7:10" hidden="1" x14ac:dyDescent="0.3">
      <c r="G1465" s="7" t="s">
        <v>1438</v>
      </c>
      <c r="H1465" s="8" t="s">
        <v>2034</v>
      </c>
      <c r="I1465" s="8" t="s">
        <v>2027</v>
      </c>
      <c r="J1465" s="9">
        <v>11.34</v>
      </c>
    </row>
    <row r="1466" spans="7:10" hidden="1" x14ac:dyDescent="0.3">
      <c r="G1466" s="10" t="s">
        <v>1439</v>
      </c>
      <c r="H1466" s="11" t="s">
        <v>2034</v>
      </c>
      <c r="I1466" s="11" t="s">
        <v>2026</v>
      </c>
      <c r="J1466" s="12">
        <v>1.46</v>
      </c>
    </row>
    <row r="1467" spans="7:10" hidden="1" x14ac:dyDescent="0.3">
      <c r="G1467" s="7" t="s">
        <v>1440</v>
      </c>
      <c r="H1467" s="8" t="s">
        <v>2034</v>
      </c>
      <c r="I1467" s="8" t="s">
        <v>2023</v>
      </c>
      <c r="J1467" s="9">
        <v>5.96</v>
      </c>
    </row>
    <row r="1468" spans="7:10" hidden="1" x14ac:dyDescent="0.3">
      <c r="G1468" s="10" t="s">
        <v>1441</v>
      </c>
      <c r="H1468" s="11" t="s">
        <v>2034</v>
      </c>
      <c r="I1468" s="11" t="s">
        <v>2004</v>
      </c>
      <c r="J1468" s="12">
        <v>5.07</v>
      </c>
    </row>
    <row r="1469" spans="7:10" hidden="1" x14ac:dyDescent="0.3">
      <c r="G1469" s="7" t="s">
        <v>1442</v>
      </c>
      <c r="H1469" s="8" t="s">
        <v>2080</v>
      </c>
      <c r="I1469" s="8" t="s">
        <v>2015</v>
      </c>
      <c r="J1469" s="9">
        <v>1.94</v>
      </c>
    </row>
    <row r="1470" spans="7:10" hidden="1" x14ac:dyDescent="0.3">
      <c r="G1470" s="10" t="s">
        <v>1443</v>
      </c>
      <c r="H1470" s="11" t="s">
        <v>2034</v>
      </c>
      <c r="I1470" s="11" t="s">
        <v>2023</v>
      </c>
      <c r="J1470" s="12">
        <v>2.78</v>
      </c>
    </row>
    <row r="1471" spans="7:10" hidden="1" x14ac:dyDescent="0.3">
      <c r="G1471" s="7" t="s">
        <v>1444</v>
      </c>
      <c r="H1471" s="8" t="s">
        <v>2034</v>
      </c>
      <c r="I1471" s="8" t="s">
        <v>2023</v>
      </c>
      <c r="J1471" s="9">
        <v>5.62</v>
      </c>
    </row>
    <row r="1472" spans="7:10" hidden="1" x14ac:dyDescent="0.3">
      <c r="G1472" s="10" t="s">
        <v>1445</v>
      </c>
      <c r="H1472" s="11" t="s">
        <v>2034</v>
      </c>
      <c r="I1472" s="11" t="s">
        <v>2028</v>
      </c>
      <c r="J1472" s="12">
        <v>2.83</v>
      </c>
    </row>
    <row r="1473" spans="7:10" hidden="1" x14ac:dyDescent="0.3">
      <c r="G1473" s="7" t="s">
        <v>1446</v>
      </c>
      <c r="H1473" s="8" t="s">
        <v>2042</v>
      </c>
      <c r="I1473" s="8" t="s">
        <v>1979</v>
      </c>
      <c r="J1473" s="9">
        <v>2.09</v>
      </c>
    </row>
    <row r="1474" spans="7:10" hidden="1" x14ac:dyDescent="0.3">
      <c r="G1474" s="10" t="s">
        <v>1447</v>
      </c>
      <c r="H1474" s="11" t="s">
        <v>2057</v>
      </c>
      <c r="I1474" s="11" t="s">
        <v>2002</v>
      </c>
      <c r="J1474" s="12">
        <v>1.85</v>
      </c>
    </row>
    <row r="1475" spans="7:10" hidden="1" x14ac:dyDescent="0.3">
      <c r="G1475" s="7" t="s">
        <v>1448</v>
      </c>
      <c r="H1475" s="8" t="s">
        <v>2034</v>
      </c>
      <c r="I1475" s="8" t="s">
        <v>2031</v>
      </c>
      <c r="J1475" s="9">
        <v>3.04</v>
      </c>
    </row>
    <row r="1476" spans="7:10" hidden="1" x14ac:dyDescent="0.3">
      <c r="G1476" s="10" t="s">
        <v>1449</v>
      </c>
      <c r="H1476" s="11" t="s">
        <v>2045</v>
      </c>
      <c r="I1476" s="11" t="s">
        <v>2031</v>
      </c>
      <c r="J1476" s="12">
        <v>0.73</v>
      </c>
    </row>
    <row r="1477" spans="7:10" hidden="1" x14ac:dyDescent="0.3">
      <c r="G1477" s="7" t="s">
        <v>1450</v>
      </c>
      <c r="H1477" s="8" t="s">
        <v>2074</v>
      </c>
      <c r="I1477" s="8" t="s">
        <v>2028</v>
      </c>
      <c r="J1477" s="9">
        <v>1.68</v>
      </c>
    </row>
    <row r="1478" spans="7:10" hidden="1" x14ac:dyDescent="0.3">
      <c r="G1478" s="10" t="s">
        <v>1451</v>
      </c>
      <c r="H1478" s="11" t="s">
        <v>2039</v>
      </c>
      <c r="I1478" s="11" t="s">
        <v>1988</v>
      </c>
      <c r="J1478" s="12">
        <v>7.17</v>
      </c>
    </row>
    <row r="1479" spans="7:10" hidden="1" x14ac:dyDescent="0.3">
      <c r="G1479" s="7" t="s">
        <v>1452</v>
      </c>
      <c r="H1479" s="8" t="s">
        <v>2038</v>
      </c>
      <c r="I1479" s="8" t="s">
        <v>1997</v>
      </c>
      <c r="J1479" s="9">
        <v>2.1800000000000002</v>
      </c>
    </row>
    <row r="1480" spans="7:10" hidden="1" x14ac:dyDescent="0.3">
      <c r="G1480" s="10" t="s">
        <v>1453</v>
      </c>
      <c r="H1480" s="11" t="s">
        <v>2034</v>
      </c>
      <c r="I1480" s="11" t="s">
        <v>1979</v>
      </c>
      <c r="J1480" s="12">
        <v>1.04</v>
      </c>
    </row>
    <row r="1481" spans="7:10" hidden="1" x14ac:dyDescent="0.3">
      <c r="G1481" s="7" t="s">
        <v>1454</v>
      </c>
      <c r="H1481" s="8" t="s">
        <v>2050</v>
      </c>
      <c r="I1481" s="8" t="s">
        <v>2015</v>
      </c>
      <c r="J1481" s="9">
        <v>7.76</v>
      </c>
    </row>
    <row r="1482" spans="7:10" x14ac:dyDescent="0.3">
      <c r="G1482" s="7" t="s">
        <v>1282</v>
      </c>
      <c r="H1482" s="8" t="s">
        <v>2047</v>
      </c>
      <c r="I1482" s="8" t="s">
        <v>2015</v>
      </c>
      <c r="J1482" s="9">
        <v>3.15</v>
      </c>
    </row>
    <row r="1483" spans="7:10" hidden="1" x14ac:dyDescent="0.3">
      <c r="G1483" s="7" t="s">
        <v>1456</v>
      </c>
      <c r="H1483" s="8" t="s">
        <v>2038</v>
      </c>
      <c r="I1483" s="8" t="s">
        <v>1988</v>
      </c>
      <c r="J1483" s="9">
        <v>2.85</v>
      </c>
    </row>
    <row r="1484" spans="7:10" hidden="1" x14ac:dyDescent="0.3">
      <c r="G1484" s="10" t="s">
        <v>1457</v>
      </c>
      <c r="H1484" s="11" t="s">
        <v>2034</v>
      </c>
      <c r="I1484" s="11" t="s">
        <v>1986</v>
      </c>
      <c r="J1484" s="12">
        <v>3.34</v>
      </c>
    </row>
    <row r="1485" spans="7:10" hidden="1" x14ac:dyDescent="0.3">
      <c r="G1485" s="7" t="s">
        <v>1458</v>
      </c>
      <c r="H1485" s="8" t="s">
        <v>2034</v>
      </c>
      <c r="I1485" s="8" t="s">
        <v>2031</v>
      </c>
      <c r="J1485" s="9">
        <v>3.01</v>
      </c>
    </row>
    <row r="1486" spans="7:10" hidden="1" x14ac:dyDescent="0.3">
      <c r="G1486" s="10" t="s">
        <v>1459</v>
      </c>
      <c r="H1486" s="11" t="s">
        <v>2034</v>
      </c>
      <c r="I1486" s="11" t="s">
        <v>1998</v>
      </c>
      <c r="J1486" s="12">
        <v>1.27</v>
      </c>
    </row>
    <row r="1487" spans="7:10" hidden="1" x14ac:dyDescent="0.3">
      <c r="G1487" s="7" t="s">
        <v>1460</v>
      </c>
      <c r="H1487" s="8" t="s">
        <v>2039</v>
      </c>
      <c r="I1487" s="8" t="s">
        <v>2004</v>
      </c>
      <c r="J1487" s="9">
        <v>1.81</v>
      </c>
    </row>
    <row r="1488" spans="7:10" hidden="1" x14ac:dyDescent="0.3">
      <c r="G1488" s="10" t="s">
        <v>1461</v>
      </c>
      <c r="H1488" s="11" t="s">
        <v>2043</v>
      </c>
      <c r="I1488" s="11" t="s">
        <v>1993</v>
      </c>
      <c r="J1488" s="12">
        <v>5.09</v>
      </c>
    </row>
    <row r="1489" spans="7:10" hidden="1" x14ac:dyDescent="0.3">
      <c r="G1489" s="7" t="s">
        <v>1462</v>
      </c>
      <c r="H1489" s="8" t="s">
        <v>2035</v>
      </c>
      <c r="I1489" s="8" t="s">
        <v>2029</v>
      </c>
      <c r="J1489" s="9">
        <v>7.91</v>
      </c>
    </row>
    <row r="1490" spans="7:10" hidden="1" x14ac:dyDescent="0.3">
      <c r="G1490" s="10" t="s">
        <v>1463</v>
      </c>
      <c r="H1490" s="11" t="s">
        <v>2038</v>
      </c>
      <c r="I1490" s="11" t="s">
        <v>1998</v>
      </c>
      <c r="J1490" s="12">
        <v>2.9</v>
      </c>
    </row>
    <row r="1491" spans="7:10" hidden="1" x14ac:dyDescent="0.3">
      <c r="G1491" s="7" t="s">
        <v>1464</v>
      </c>
      <c r="H1491" s="8" t="s">
        <v>1975</v>
      </c>
      <c r="I1491" s="8" t="s">
        <v>2031</v>
      </c>
      <c r="J1491" s="9">
        <v>3.7</v>
      </c>
    </row>
    <row r="1492" spans="7:10" hidden="1" x14ac:dyDescent="0.3">
      <c r="G1492" s="10" t="s">
        <v>1465</v>
      </c>
      <c r="H1492" s="11" t="s">
        <v>2035</v>
      </c>
      <c r="I1492" s="11" t="s">
        <v>2005</v>
      </c>
      <c r="J1492" s="12">
        <v>1.88</v>
      </c>
    </row>
    <row r="1493" spans="7:10" hidden="1" x14ac:dyDescent="0.3">
      <c r="G1493" s="7" t="s">
        <v>1466</v>
      </c>
      <c r="H1493" s="8" t="s">
        <v>2034</v>
      </c>
      <c r="I1493" s="8" t="s">
        <v>1993</v>
      </c>
      <c r="J1493" s="9">
        <v>6.04</v>
      </c>
    </row>
    <row r="1494" spans="7:10" hidden="1" x14ac:dyDescent="0.3">
      <c r="G1494" s="10" t="s">
        <v>1467</v>
      </c>
      <c r="H1494" s="11" t="s">
        <v>2049</v>
      </c>
      <c r="I1494" s="11" t="s">
        <v>2022</v>
      </c>
      <c r="J1494" s="12">
        <v>8.52</v>
      </c>
    </row>
    <row r="1495" spans="7:10" hidden="1" x14ac:dyDescent="0.3">
      <c r="G1495" s="7" t="s">
        <v>1468</v>
      </c>
      <c r="H1495" s="8" t="s">
        <v>2041</v>
      </c>
      <c r="I1495" s="8" t="s">
        <v>1998</v>
      </c>
      <c r="J1495" s="9">
        <v>2.69</v>
      </c>
    </row>
    <row r="1496" spans="7:10" hidden="1" x14ac:dyDescent="0.3">
      <c r="G1496" s="10" t="s">
        <v>1469</v>
      </c>
      <c r="H1496" s="11" t="s">
        <v>2037</v>
      </c>
      <c r="I1496" s="11" t="s">
        <v>1979</v>
      </c>
      <c r="J1496" s="12">
        <v>0.82</v>
      </c>
    </row>
    <row r="1497" spans="7:10" hidden="1" x14ac:dyDescent="0.3">
      <c r="G1497" s="7" t="s">
        <v>1470</v>
      </c>
      <c r="H1497" s="8" t="s">
        <v>2034</v>
      </c>
      <c r="I1497" s="8" t="s">
        <v>2025</v>
      </c>
      <c r="J1497" s="9">
        <v>1.1200000000000001</v>
      </c>
    </row>
    <row r="1498" spans="7:10" hidden="1" x14ac:dyDescent="0.3">
      <c r="G1498" s="10" t="s">
        <v>1471</v>
      </c>
      <c r="H1498" s="11" t="s">
        <v>2034</v>
      </c>
      <c r="I1498" s="11" t="s">
        <v>2025</v>
      </c>
      <c r="J1498" s="12">
        <v>2.38</v>
      </c>
    </row>
    <row r="1499" spans="7:10" hidden="1" x14ac:dyDescent="0.3">
      <c r="G1499" s="7" t="s">
        <v>1472</v>
      </c>
      <c r="H1499" s="8" t="s">
        <v>2034</v>
      </c>
      <c r="I1499" s="8" t="s">
        <v>2015</v>
      </c>
      <c r="J1499" s="9">
        <v>6.71</v>
      </c>
    </row>
    <row r="1500" spans="7:10" hidden="1" x14ac:dyDescent="0.3">
      <c r="G1500" s="10" t="s">
        <v>1473</v>
      </c>
      <c r="H1500" s="11" t="s">
        <v>2043</v>
      </c>
      <c r="I1500" s="11" t="s">
        <v>2029</v>
      </c>
      <c r="J1500" s="12">
        <v>6.59</v>
      </c>
    </row>
    <row r="1501" spans="7:10" hidden="1" x14ac:dyDescent="0.3">
      <c r="G1501" s="7" t="s">
        <v>1474</v>
      </c>
      <c r="H1501" s="8" t="s">
        <v>2034</v>
      </c>
      <c r="I1501" s="8" t="s">
        <v>2023</v>
      </c>
      <c r="J1501" s="9">
        <v>4.26</v>
      </c>
    </row>
    <row r="1502" spans="7:10" hidden="1" x14ac:dyDescent="0.3">
      <c r="G1502" s="10" t="s">
        <v>1475</v>
      </c>
      <c r="H1502" s="11" t="s">
        <v>2043</v>
      </c>
      <c r="I1502" s="11" t="s">
        <v>1993</v>
      </c>
      <c r="J1502" s="12">
        <v>4.6900000000000004</v>
      </c>
    </row>
    <row r="1503" spans="7:10" hidden="1" x14ac:dyDescent="0.3">
      <c r="G1503" s="7" t="s">
        <v>1476</v>
      </c>
      <c r="H1503" s="8" t="s">
        <v>2034</v>
      </c>
      <c r="I1503" s="8" t="s">
        <v>2022</v>
      </c>
      <c r="J1503" s="9">
        <v>1.76</v>
      </c>
    </row>
    <row r="1504" spans="7:10" hidden="1" x14ac:dyDescent="0.3">
      <c r="G1504" s="10" t="s">
        <v>1477</v>
      </c>
      <c r="H1504" s="11" t="s">
        <v>2039</v>
      </c>
      <c r="I1504" s="11" t="s">
        <v>2005</v>
      </c>
      <c r="J1504" s="12">
        <v>3.77</v>
      </c>
    </row>
    <row r="1505" spans="7:10" hidden="1" x14ac:dyDescent="0.3">
      <c r="G1505" s="7" t="s">
        <v>1478</v>
      </c>
      <c r="H1505" s="8" t="s">
        <v>2038</v>
      </c>
      <c r="I1505" s="8" t="s">
        <v>2029</v>
      </c>
      <c r="J1505" s="9">
        <v>14.21</v>
      </c>
    </row>
    <row r="1506" spans="7:10" hidden="1" x14ac:dyDescent="0.3">
      <c r="G1506" s="10" t="s">
        <v>1479</v>
      </c>
      <c r="H1506" s="11" t="s">
        <v>2034</v>
      </c>
      <c r="I1506" s="11" t="s">
        <v>2027</v>
      </c>
      <c r="J1506" s="12">
        <v>10.210000000000001</v>
      </c>
    </row>
    <row r="1507" spans="7:10" hidden="1" x14ac:dyDescent="0.3">
      <c r="G1507" s="7" t="s">
        <v>1480</v>
      </c>
      <c r="H1507" s="8" t="s">
        <v>2057</v>
      </c>
      <c r="I1507" s="8" t="s">
        <v>2030</v>
      </c>
      <c r="J1507" s="9">
        <v>7.78</v>
      </c>
    </row>
    <row r="1508" spans="7:10" hidden="1" x14ac:dyDescent="0.3">
      <c r="G1508" s="10" t="s">
        <v>1481</v>
      </c>
      <c r="H1508" s="11" t="s">
        <v>2034</v>
      </c>
      <c r="I1508" s="11" t="s">
        <v>2026</v>
      </c>
      <c r="J1508" s="12">
        <v>1.61</v>
      </c>
    </row>
    <row r="1509" spans="7:10" hidden="1" x14ac:dyDescent="0.3">
      <c r="G1509" s="7" t="s">
        <v>1482</v>
      </c>
      <c r="H1509" s="8" t="s">
        <v>2034</v>
      </c>
      <c r="I1509" s="8" t="s">
        <v>2002</v>
      </c>
      <c r="J1509" s="9">
        <v>1.77</v>
      </c>
    </row>
    <row r="1510" spans="7:10" hidden="1" x14ac:dyDescent="0.3">
      <c r="G1510" s="10" t="s">
        <v>1483</v>
      </c>
      <c r="H1510" s="11" t="s">
        <v>2038</v>
      </c>
      <c r="I1510" s="11" t="s">
        <v>1998</v>
      </c>
      <c r="J1510" s="12">
        <v>4.7300000000000004</v>
      </c>
    </row>
    <row r="1511" spans="7:10" hidden="1" x14ac:dyDescent="0.3">
      <c r="G1511" s="7" t="s">
        <v>1484</v>
      </c>
      <c r="H1511" s="8" t="s">
        <v>1975</v>
      </c>
      <c r="I1511" s="8" t="s">
        <v>1998</v>
      </c>
      <c r="J1511" s="9">
        <v>6.5</v>
      </c>
    </row>
    <row r="1512" spans="7:10" hidden="1" x14ac:dyDescent="0.3">
      <c r="G1512" s="10" t="s">
        <v>1485</v>
      </c>
      <c r="H1512" s="11" t="s">
        <v>2063</v>
      </c>
      <c r="I1512" s="11" t="s">
        <v>2017</v>
      </c>
      <c r="J1512" s="12">
        <v>2.23</v>
      </c>
    </row>
    <row r="1513" spans="7:10" hidden="1" x14ac:dyDescent="0.3">
      <c r="G1513" s="7" t="s">
        <v>1486</v>
      </c>
      <c r="H1513" s="8" t="s">
        <v>2037</v>
      </c>
      <c r="I1513" s="8" t="s">
        <v>2005</v>
      </c>
      <c r="J1513" s="9">
        <v>4.41</v>
      </c>
    </row>
    <row r="1514" spans="7:10" hidden="1" x14ac:dyDescent="0.3">
      <c r="G1514" s="10" t="s">
        <v>1487</v>
      </c>
      <c r="H1514" s="11" t="s">
        <v>2042</v>
      </c>
      <c r="I1514" s="11" t="s">
        <v>2022</v>
      </c>
      <c r="J1514" s="12">
        <v>9.0299999999999994</v>
      </c>
    </row>
    <row r="1515" spans="7:10" hidden="1" x14ac:dyDescent="0.3">
      <c r="G1515" s="7" t="s">
        <v>1488</v>
      </c>
      <c r="H1515" s="8" t="s">
        <v>2073</v>
      </c>
      <c r="I1515" s="8" t="s">
        <v>2027</v>
      </c>
      <c r="J1515" s="9">
        <v>1.03</v>
      </c>
    </row>
    <row r="1516" spans="7:10" hidden="1" x14ac:dyDescent="0.3">
      <c r="G1516" s="10" t="s">
        <v>1489</v>
      </c>
      <c r="H1516" s="11" t="s">
        <v>2070</v>
      </c>
      <c r="I1516" s="11" t="s">
        <v>2022</v>
      </c>
      <c r="J1516" s="12">
        <v>7.27</v>
      </c>
    </row>
    <row r="1517" spans="7:10" hidden="1" x14ac:dyDescent="0.3">
      <c r="G1517" s="7" t="s">
        <v>1490</v>
      </c>
      <c r="H1517" s="8" t="s">
        <v>2038</v>
      </c>
      <c r="I1517" s="8" t="s">
        <v>1988</v>
      </c>
      <c r="J1517" s="9">
        <v>4.09</v>
      </c>
    </row>
    <row r="1518" spans="7:10" hidden="1" x14ac:dyDescent="0.3">
      <c r="G1518" s="10" t="s">
        <v>1491</v>
      </c>
      <c r="H1518" s="11" t="s">
        <v>2034</v>
      </c>
      <c r="I1518" s="11" t="s">
        <v>2005</v>
      </c>
      <c r="J1518" s="12">
        <v>1.62</v>
      </c>
    </row>
    <row r="1519" spans="7:10" hidden="1" x14ac:dyDescent="0.3">
      <c r="G1519" s="7" t="s">
        <v>1492</v>
      </c>
      <c r="H1519" s="8" t="s">
        <v>2051</v>
      </c>
      <c r="I1519" s="8" t="s">
        <v>1979</v>
      </c>
      <c r="J1519" s="9">
        <v>1.91</v>
      </c>
    </row>
    <row r="1520" spans="7:10" hidden="1" x14ac:dyDescent="0.3">
      <c r="G1520" s="10" t="s">
        <v>1493</v>
      </c>
      <c r="H1520" s="11" t="s">
        <v>2038</v>
      </c>
      <c r="I1520" s="11" t="s">
        <v>2002</v>
      </c>
      <c r="J1520" s="12">
        <v>11.15</v>
      </c>
    </row>
    <row r="1521" spans="7:10" hidden="1" x14ac:dyDescent="0.3">
      <c r="G1521" s="7" t="s">
        <v>1494</v>
      </c>
      <c r="H1521" s="8" t="s">
        <v>2034</v>
      </c>
      <c r="I1521" s="8" t="s">
        <v>2031</v>
      </c>
      <c r="J1521" s="9">
        <v>3.46</v>
      </c>
    </row>
    <row r="1522" spans="7:10" hidden="1" x14ac:dyDescent="0.3">
      <c r="G1522" s="10" t="s">
        <v>1495</v>
      </c>
      <c r="H1522" s="11" t="s">
        <v>2035</v>
      </c>
      <c r="I1522" s="11" t="s">
        <v>2003</v>
      </c>
      <c r="J1522" s="12">
        <v>1.39</v>
      </c>
    </row>
    <row r="1523" spans="7:10" hidden="1" x14ac:dyDescent="0.3">
      <c r="G1523" s="7" t="s">
        <v>1496</v>
      </c>
      <c r="H1523" s="8" t="s">
        <v>2034</v>
      </c>
      <c r="I1523" s="8" t="s">
        <v>1998</v>
      </c>
      <c r="J1523" s="9">
        <v>0.93</v>
      </c>
    </row>
    <row r="1524" spans="7:10" hidden="1" x14ac:dyDescent="0.3">
      <c r="G1524" s="10" t="s">
        <v>1497</v>
      </c>
      <c r="H1524" s="11" t="s">
        <v>2034</v>
      </c>
      <c r="I1524" s="11" t="s">
        <v>1998</v>
      </c>
      <c r="J1524" s="12">
        <v>0.68</v>
      </c>
    </row>
    <row r="1525" spans="7:10" hidden="1" x14ac:dyDescent="0.3">
      <c r="G1525" s="7" t="s">
        <v>1498</v>
      </c>
      <c r="H1525" s="8" t="s">
        <v>2034</v>
      </c>
      <c r="I1525" s="8" t="s">
        <v>1993</v>
      </c>
      <c r="J1525" s="9">
        <v>4.01</v>
      </c>
    </row>
    <row r="1526" spans="7:10" hidden="1" x14ac:dyDescent="0.3">
      <c r="G1526" s="10" t="s">
        <v>1499</v>
      </c>
      <c r="H1526" s="11" t="s">
        <v>2034</v>
      </c>
      <c r="I1526" s="11" t="s">
        <v>2027</v>
      </c>
      <c r="J1526" s="12">
        <v>20.61</v>
      </c>
    </row>
    <row r="1527" spans="7:10" hidden="1" x14ac:dyDescent="0.3">
      <c r="G1527" s="7" t="s">
        <v>1500</v>
      </c>
      <c r="H1527" s="8" t="s">
        <v>2038</v>
      </c>
      <c r="I1527" s="8" t="s">
        <v>1998</v>
      </c>
      <c r="J1527" s="9">
        <v>0.34</v>
      </c>
    </row>
    <row r="1528" spans="7:10" hidden="1" x14ac:dyDescent="0.3">
      <c r="G1528" s="10" t="s">
        <v>1501</v>
      </c>
      <c r="H1528" s="11" t="s">
        <v>2061</v>
      </c>
      <c r="I1528" s="11" t="s">
        <v>1987</v>
      </c>
      <c r="J1528" s="12">
        <v>2.1800000000000002</v>
      </c>
    </row>
    <row r="1529" spans="7:10" hidden="1" x14ac:dyDescent="0.3">
      <c r="G1529" s="7" t="s">
        <v>1502</v>
      </c>
      <c r="H1529" s="8" t="s">
        <v>2063</v>
      </c>
      <c r="I1529" s="8" t="s">
        <v>1998</v>
      </c>
      <c r="J1529" s="9">
        <v>3.02</v>
      </c>
    </row>
    <row r="1530" spans="7:10" hidden="1" x14ac:dyDescent="0.3">
      <c r="G1530" s="10" t="s">
        <v>1503</v>
      </c>
      <c r="H1530" s="11" t="s">
        <v>2074</v>
      </c>
      <c r="I1530" s="11" t="s">
        <v>1992</v>
      </c>
      <c r="J1530" s="12">
        <v>4.91</v>
      </c>
    </row>
    <row r="1531" spans="7:10" hidden="1" x14ac:dyDescent="0.3">
      <c r="G1531" s="7" t="s">
        <v>1504</v>
      </c>
      <c r="H1531" s="8" t="s">
        <v>2034</v>
      </c>
      <c r="I1531" s="8" t="s">
        <v>2023</v>
      </c>
      <c r="J1531" s="9">
        <v>9.16</v>
      </c>
    </row>
    <row r="1532" spans="7:10" hidden="1" x14ac:dyDescent="0.3">
      <c r="G1532" s="10" t="s">
        <v>1505</v>
      </c>
      <c r="H1532" s="11" t="s">
        <v>2043</v>
      </c>
      <c r="I1532" s="11" t="s">
        <v>1987</v>
      </c>
      <c r="J1532" s="12">
        <v>4.5</v>
      </c>
    </row>
    <row r="1533" spans="7:10" hidden="1" x14ac:dyDescent="0.3">
      <c r="G1533" s="7" t="s">
        <v>1506</v>
      </c>
      <c r="H1533" s="8" t="s">
        <v>2053</v>
      </c>
      <c r="I1533" s="8" t="s">
        <v>2015</v>
      </c>
      <c r="J1533" s="9">
        <v>6.56</v>
      </c>
    </row>
    <row r="1534" spans="7:10" hidden="1" x14ac:dyDescent="0.3">
      <c r="G1534" s="10" t="s">
        <v>1507</v>
      </c>
      <c r="H1534" s="11" t="s">
        <v>2061</v>
      </c>
      <c r="I1534" s="11" t="s">
        <v>1979</v>
      </c>
      <c r="J1534" s="12">
        <v>0.86</v>
      </c>
    </row>
    <row r="1535" spans="7:10" hidden="1" x14ac:dyDescent="0.3">
      <c r="G1535" s="7" t="s">
        <v>1508</v>
      </c>
      <c r="H1535" s="8" t="s">
        <v>2065</v>
      </c>
      <c r="I1535" s="8" t="s">
        <v>2028</v>
      </c>
      <c r="J1535" s="9">
        <v>1.74</v>
      </c>
    </row>
    <row r="1536" spans="7:10" hidden="1" x14ac:dyDescent="0.3">
      <c r="G1536" s="10" t="s">
        <v>1509</v>
      </c>
      <c r="H1536" s="11" t="s">
        <v>2034</v>
      </c>
      <c r="I1536" s="11" t="s">
        <v>2017</v>
      </c>
      <c r="J1536" s="12">
        <v>4.32</v>
      </c>
    </row>
    <row r="1537" spans="7:10" hidden="1" x14ac:dyDescent="0.3">
      <c r="G1537" s="7" t="s">
        <v>1510</v>
      </c>
      <c r="H1537" s="8" t="s">
        <v>2034</v>
      </c>
      <c r="I1537" s="8" t="s">
        <v>1993</v>
      </c>
      <c r="J1537" s="9">
        <v>6.09</v>
      </c>
    </row>
    <row r="1538" spans="7:10" hidden="1" x14ac:dyDescent="0.3">
      <c r="G1538" s="10" t="s">
        <v>1511</v>
      </c>
      <c r="H1538" s="11" t="s">
        <v>2034</v>
      </c>
      <c r="I1538" s="11" t="s">
        <v>1979</v>
      </c>
      <c r="J1538" s="12">
        <v>0.74</v>
      </c>
    </row>
    <row r="1539" spans="7:10" hidden="1" x14ac:dyDescent="0.3">
      <c r="G1539" s="7" t="s">
        <v>1512</v>
      </c>
      <c r="H1539" s="8" t="s">
        <v>2034</v>
      </c>
      <c r="I1539" s="8" t="s">
        <v>1979</v>
      </c>
      <c r="J1539" s="9">
        <v>0.9</v>
      </c>
    </row>
    <row r="1540" spans="7:10" hidden="1" x14ac:dyDescent="0.3">
      <c r="G1540" s="10" t="s">
        <v>1513</v>
      </c>
      <c r="H1540" s="11" t="s">
        <v>2069</v>
      </c>
      <c r="I1540" s="11" t="s">
        <v>2030</v>
      </c>
      <c r="J1540" s="12">
        <v>0.76</v>
      </c>
    </row>
    <row r="1541" spans="7:10" hidden="1" x14ac:dyDescent="0.3">
      <c r="G1541" s="7" t="s">
        <v>1514</v>
      </c>
      <c r="H1541" s="8" t="s">
        <v>2034</v>
      </c>
      <c r="I1541" s="8" t="s">
        <v>2031</v>
      </c>
      <c r="J1541" s="9">
        <v>6.98</v>
      </c>
    </row>
    <row r="1542" spans="7:10" hidden="1" x14ac:dyDescent="0.3">
      <c r="G1542" s="10" t="s">
        <v>1515</v>
      </c>
      <c r="H1542" s="11" t="s">
        <v>2040</v>
      </c>
      <c r="I1542" s="11" t="s">
        <v>1979</v>
      </c>
      <c r="J1542" s="12">
        <v>1.05</v>
      </c>
    </row>
    <row r="1543" spans="7:10" x14ac:dyDescent="0.3">
      <c r="G1543" s="7" t="s">
        <v>1530</v>
      </c>
      <c r="H1543" s="8" t="s">
        <v>2047</v>
      </c>
      <c r="I1543" s="8" t="s">
        <v>2015</v>
      </c>
      <c r="J1543" s="9">
        <v>1.1299999999999999</v>
      </c>
    </row>
    <row r="1544" spans="7:10" hidden="1" x14ac:dyDescent="0.3">
      <c r="G1544" s="10" t="s">
        <v>1517</v>
      </c>
      <c r="H1544" s="11" t="s">
        <v>2065</v>
      </c>
      <c r="I1544" s="11" t="s">
        <v>2027</v>
      </c>
      <c r="J1544" s="12">
        <v>7.23</v>
      </c>
    </row>
    <row r="1545" spans="7:10" hidden="1" x14ac:dyDescent="0.3">
      <c r="G1545" s="7" t="s">
        <v>1518</v>
      </c>
      <c r="H1545" s="8" t="s">
        <v>2034</v>
      </c>
      <c r="I1545" s="8" t="s">
        <v>2022</v>
      </c>
      <c r="J1545" s="9">
        <v>1.23</v>
      </c>
    </row>
    <row r="1546" spans="7:10" hidden="1" x14ac:dyDescent="0.3">
      <c r="G1546" s="10" t="s">
        <v>1519</v>
      </c>
      <c r="H1546" s="11" t="s">
        <v>2034</v>
      </c>
      <c r="I1546" s="11" t="s">
        <v>1986</v>
      </c>
      <c r="J1546" s="12">
        <v>2.86</v>
      </c>
    </row>
    <row r="1547" spans="7:10" hidden="1" x14ac:dyDescent="0.3">
      <c r="G1547" s="7" t="s">
        <v>1520</v>
      </c>
      <c r="H1547" s="8" t="s">
        <v>2041</v>
      </c>
      <c r="I1547" s="8" t="s">
        <v>1988</v>
      </c>
      <c r="J1547" s="9">
        <v>9.19</v>
      </c>
    </row>
    <row r="1548" spans="7:10" hidden="1" x14ac:dyDescent="0.3">
      <c r="G1548" s="10" t="s">
        <v>1521</v>
      </c>
      <c r="H1548" s="11" t="s">
        <v>2034</v>
      </c>
      <c r="I1548" s="11" t="s">
        <v>1979</v>
      </c>
      <c r="J1548" s="12">
        <v>1.03</v>
      </c>
    </row>
    <row r="1549" spans="7:10" hidden="1" x14ac:dyDescent="0.3">
      <c r="G1549" s="7" t="s">
        <v>1522</v>
      </c>
      <c r="H1549" s="8" t="s">
        <v>2039</v>
      </c>
      <c r="I1549" s="8" t="s">
        <v>2030</v>
      </c>
      <c r="J1549" s="9">
        <v>7.61</v>
      </c>
    </row>
    <row r="1550" spans="7:10" hidden="1" x14ac:dyDescent="0.3">
      <c r="G1550" s="10" t="s">
        <v>1523</v>
      </c>
      <c r="H1550" s="11" t="s">
        <v>2065</v>
      </c>
      <c r="I1550" s="11" t="s">
        <v>1979</v>
      </c>
      <c r="J1550" s="12">
        <v>1.46</v>
      </c>
    </row>
    <row r="1551" spans="7:10" hidden="1" x14ac:dyDescent="0.3">
      <c r="G1551" s="7" t="s">
        <v>1524</v>
      </c>
      <c r="H1551" s="8" t="s">
        <v>2045</v>
      </c>
      <c r="I1551" s="8" t="s">
        <v>1997</v>
      </c>
      <c r="J1551" s="9">
        <v>3.95</v>
      </c>
    </row>
    <row r="1552" spans="7:10" hidden="1" x14ac:dyDescent="0.3">
      <c r="G1552" s="10" t="s">
        <v>1525</v>
      </c>
      <c r="H1552" s="11" t="s">
        <v>2037</v>
      </c>
      <c r="I1552" s="11" t="s">
        <v>1986</v>
      </c>
      <c r="J1552" s="12">
        <v>2.5099999999999998</v>
      </c>
    </row>
    <row r="1553" spans="7:10" hidden="1" x14ac:dyDescent="0.3">
      <c r="G1553" s="7" t="s">
        <v>1526</v>
      </c>
      <c r="H1553" s="8" t="s">
        <v>2034</v>
      </c>
      <c r="I1553" s="8" t="s">
        <v>2023</v>
      </c>
      <c r="J1553" s="9">
        <v>3.59</v>
      </c>
    </row>
    <row r="1554" spans="7:10" hidden="1" x14ac:dyDescent="0.3">
      <c r="G1554" s="10" t="s">
        <v>1527</v>
      </c>
      <c r="H1554" s="11" t="s">
        <v>2051</v>
      </c>
      <c r="I1554" s="11" t="s">
        <v>2005</v>
      </c>
      <c r="J1554" s="12">
        <v>2.79</v>
      </c>
    </row>
    <row r="1555" spans="7:10" hidden="1" x14ac:dyDescent="0.3">
      <c r="G1555" s="7" t="s">
        <v>1528</v>
      </c>
      <c r="H1555" s="8" t="s">
        <v>2034</v>
      </c>
      <c r="I1555" s="8" t="s">
        <v>1997</v>
      </c>
      <c r="J1555" s="9">
        <v>6.29</v>
      </c>
    </row>
    <row r="1556" spans="7:10" hidden="1" x14ac:dyDescent="0.3">
      <c r="G1556" s="10" t="s">
        <v>1529</v>
      </c>
      <c r="H1556" s="11" t="s">
        <v>2052</v>
      </c>
      <c r="I1556" s="11" t="s">
        <v>2028</v>
      </c>
      <c r="J1556" s="12">
        <v>2.95</v>
      </c>
    </row>
    <row r="1557" spans="7:10" x14ac:dyDescent="0.3">
      <c r="G1557" s="10" t="s">
        <v>1551</v>
      </c>
      <c r="H1557" s="11" t="s">
        <v>2047</v>
      </c>
      <c r="I1557" s="11" t="s">
        <v>2015</v>
      </c>
      <c r="J1557" s="12">
        <v>8.35</v>
      </c>
    </row>
    <row r="1558" spans="7:10" hidden="1" x14ac:dyDescent="0.3">
      <c r="G1558" s="10" t="s">
        <v>1531</v>
      </c>
      <c r="H1558" s="11" t="s">
        <v>2080</v>
      </c>
      <c r="I1558" s="11" t="s">
        <v>2023</v>
      </c>
      <c r="J1558" s="12">
        <v>2.89</v>
      </c>
    </row>
    <row r="1559" spans="7:10" x14ac:dyDescent="0.3">
      <c r="G1559" s="7" t="s">
        <v>1749</v>
      </c>
      <c r="H1559" s="8" t="s">
        <v>2047</v>
      </c>
      <c r="I1559" s="8" t="s">
        <v>2015</v>
      </c>
      <c r="J1559" s="9">
        <v>4.59</v>
      </c>
    </row>
    <row r="1560" spans="7:10" hidden="1" x14ac:dyDescent="0.3">
      <c r="G1560" s="10" t="s">
        <v>1533</v>
      </c>
      <c r="H1560" s="11" t="s">
        <v>2039</v>
      </c>
      <c r="I1560" s="11" t="s">
        <v>2005</v>
      </c>
      <c r="J1560" s="12">
        <v>1.81</v>
      </c>
    </row>
    <row r="1561" spans="7:10" hidden="1" x14ac:dyDescent="0.3">
      <c r="G1561" s="7" t="s">
        <v>1534</v>
      </c>
      <c r="H1561" s="8" t="s">
        <v>2038</v>
      </c>
      <c r="I1561" s="8" t="s">
        <v>2017</v>
      </c>
      <c r="J1561" s="9">
        <v>3.09</v>
      </c>
    </row>
    <row r="1562" spans="7:10" hidden="1" x14ac:dyDescent="0.3">
      <c r="G1562" s="10" t="s">
        <v>1535</v>
      </c>
      <c r="H1562" s="11" t="s">
        <v>2038</v>
      </c>
      <c r="I1562" s="11" t="s">
        <v>2023</v>
      </c>
      <c r="J1562" s="12">
        <v>8.5</v>
      </c>
    </row>
    <row r="1563" spans="7:10" hidden="1" x14ac:dyDescent="0.3">
      <c r="G1563" s="7" t="s">
        <v>1536</v>
      </c>
      <c r="H1563" s="8" t="s">
        <v>2034</v>
      </c>
      <c r="I1563" s="8" t="s">
        <v>2017</v>
      </c>
      <c r="J1563" s="9">
        <v>2.5099999999999998</v>
      </c>
    </row>
    <row r="1564" spans="7:10" hidden="1" x14ac:dyDescent="0.3">
      <c r="G1564" s="10" t="s">
        <v>1537</v>
      </c>
      <c r="H1564" s="11" t="s">
        <v>2034</v>
      </c>
      <c r="I1564" s="11" t="s">
        <v>2017</v>
      </c>
      <c r="J1564" s="12">
        <v>3.37</v>
      </c>
    </row>
    <row r="1565" spans="7:10" hidden="1" x14ac:dyDescent="0.3">
      <c r="G1565" s="7" t="s">
        <v>1538</v>
      </c>
      <c r="H1565" s="8" t="s">
        <v>2035</v>
      </c>
      <c r="I1565" s="8" t="s">
        <v>2015</v>
      </c>
      <c r="J1565" s="9">
        <v>5.0199999999999996</v>
      </c>
    </row>
    <row r="1566" spans="7:10" hidden="1" x14ac:dyDescent="0.3">
      <c r="G1566" s="10" t="s">
        <v>1539</v>
      </c>
      <c r="H1566" s="11" t="s">
        <v>2081</v>
      </c>
      <c r="I1566" s="11" t="s">
        <v>1979</v>
      </c>
      <c r="J1566" s="12">
        <v>0.9</v>
      </c>
    </row>
    <row r="1567" spans="7:10" hidden="1" x14ac:dyDescent="0.3">
      <c r="G1567" s="7" t="s">
        <v>1540</v>
      </c>
      <c r="H1567" s="8" t="s">
        <v>2034</v>
      </c>
      <c r="I1567" s="8" t="s">
        <v>2022</v>
      </c>
      <c r="J1567" s="9">
        <v>1.05</v>
      </c>
    </row>
    <row r="1568" spans="7:10" hidden="1" x14ac:dyDescent="0.3">
      <c r="G1568" s="10" t="s">
        <v>1541</v>
      </c>
      <c r="H1568" s="11" t="s">
        <v>2034</v>
      </c>
      <c r="I1568" s="11" t="s">
        <v>2025</v>
      </c>
      <c r="J1568" s="12">
        <v>1.1200000000000001</v>
      </c>
    </row>
    <row r="1569" spans="7:10" hidden="1" x14ac:dyDescent="0.3">
      <c r="G1569" s="7" t="s">
        <v>1542</v>
      </c>
      <c r="H1569" s="8" t="s">
        <v>2065</v>
      </c>
      <c r="I1569" s="8" t="s">
        <v>2030</v>
      </c>
      <c r="J1569" s="9">
        <v>4.1100000000000003</v>
      </c>
    </row>
    <row r="1570" spans="7:10" hidden="1" x14ac:dyDescent="0.3">
      <c r="G1570" s="10" t="s">
        <v>1543</v>
      </c>
      <c r="H1570" s="11" t="s">
        <v>2034</v>
      </c>
      <c r="I1570" s="11" t="s">
        <v>1998</v>
      </c>
      <c r="J1570" s="12">
        <v>0.95</v>
      </c>
    </row>
    <row r="1571" spans="7:10" hidden="1" x14ac:dyDescent="0.3">
      <c r="G1571" s="7" t="s">
        <v>1544</v>
      </c>
      <c r="H1571" s="8" t="s">
        <v>2041</v>
      </c>
      <c r="I1571" s="8" t="s">
        <v>2004</v>
      </c>
      <c r="J1571" s="9">
        <v>2.1</v>
      </c>
    </row>
    <row r="1572" spans="7:10" hidden="1" x14ac:dyDescent="0.3">
      <c r="G1572" s="10" t="s">
        <v>1545</v>
      </c>
      <c r="H1572" s="11" t="s">
        <v>2034</v>
      </c>
      <c r="I1572" s="11" t="s">
        <v>2005</v>
      </c>
      <c r="J1572" s="12">
        <v>1.1200000000000001</v>
      </c>
    </row>
    <row r="1573" spans="7:10" hidden="1" x14ac:dyDescent="0.3">
      <c r="G1573" s="7" t="s">
        <v>1546</v>
      </c>
      <c r="H1573" s="8" t="s">
        <v>2035</v>
      </c>
      <c r="I1573" s="8" t="s">
        <v>1986</v>
      </c>
      <c r="J1573" s="9">
        <v>2.16</v>
      </c>
    </row>
    <row r="1574" spans="7:10" hidden="1" x14ac:dyDescent="0.3">
      <c r="G1574" s="10" t="s">
        <v>1547</v>
      </c>
      <c r="H1574" s="11" t="s">
        <v>2038</v>
      </c>
      <c r="I1574" s="11" t="s">
        <v>1979</v>
      </c>
      <c r="J1574" s="12">
        <v>1.04</v>
      </c>
    </row>
    <row r="1575" spans="7:10" hidden="1" x14ac:dyDescent="0.3">
      <c r="G1575" s="7" t="s">
        <v>1548</v>
      </c>
      <c r="H1575" s="8" t="s">
        <v>2038</v>
      </c>
      <c r="I1575" s="8" t="s">
        <v>1979</v>
      </c>
      <c r="J1575" s="9">
        <v>0.83</v>
      </c>
    </row>
    <row r="1576" spans="7:10" hidden="1" x14ac:dyDescent="0.3">
      <c r="G1576" s="10" t="s">
        <v>1549</v>
      </c>
      <c r="H1576" s="11" t="s">
        <v>2034</v>
      </c>
      <c r="I1576" s="11" t="s">
        <v>1997</v>
      </c>
      <c r="J1576" s="12">
        <v>8.9</v>
      </c>
    </row>
    <row r="1577" spans="7:10" hidden="1" x14ac:dyDescent="0.3">
      <c r="G1577" s="7" t="s">
        <v>1550</v>
      </c>
      <c r="H1577" s="8" t="s">
        <v>2053</v>
      </c>
      <c r="I1577" s="8" t="s">
        <v>2015</v>
      </c>
      <c r="J1577" s="9">
        <v>6.2</v>
      </c>
    </row>
    <row r="1578" spans="7:10" x14ac:dyDescent="0.3">
      <c r="G1578" s="10" t="s">
        <v>1910</v>
      </c>
      <c r="H1578" s="11" t="s">
        <v>2047</v>
      </c>
      <c r="I1578" s="11" t="s">
        <v>2015</v>
      </c>
      <c r="J1578" s="12">
        <v>0.21</v>
      </c>
    </row>
    <row r="1579" spans="7:10" hidden="1" x14ac:dyDescent="0.3">
      <c r="G1579" s="7" t="s">
        <v>1552</v>
      </c>
      <c r="H1579" s="8" t="s">
        <v>2034</v>
      </c>
      <c r="I1579" s="8" t="s">
        <v>1999</v>
      </c>
      <c r="J1579" s="9">
        <v>1.18</v>
      </c>
    </row>
    <row r="1580" spans="7:10" hidden="1" x14ac:dyDescent="0.3">
      <c r="G1580" s="10" t="s">
        <v>1553</v>
      </c>
      <c r="H1580" s="11" t="s">
        <v>2065</v>
      </c>
      <c r="I1580" s="11" t="s">
        <v>2028</v>
      </c>
      <c r="J1580" s="12">
        <v>2.06</v>
      </c>
    </row>
    <row r="1581" spans="7:10" hidden="1" x14ac:dyDescent="0.3">
      <c r="G1581" s="7" t="s">
        <v>1554</v>
      </c>
      <c r="H1581" s="8" t="s">
        <v>2035</v>
      </c>
      <c r="I1581" s="8" t="s">
        <v>2023</v>
      </c>
      <c r="J1581" s="9">
        <v>7.46</v>
      </c>
    </row>
    <row r="1582" spans="7:10" hidden="1" x14ac:dyDescent="0.3">
      <c r="G1582" s="10" t="s">
        <v>1555</v>
      </c>
      <c r="H1582" s="11" t="s">
        <v>2065</v>
      </c>
      <c r="I1582" s="11" t="s">
        <v>1979</v>
      </c>
      <c r="J1582" s="12">
        <v>0.98</v>
      </c>
    </row>
    <row r="1583" spans="7:10" hidden="1" x14ac:dyDescent="0.3">
      <c r="G1583" s="7" t="s">
        <v>1556</v>
      </c>
      <c r="H1583" s="8" t="s">
        <v>2075</v>
      </c>
      <c r="I1583" s="8" t="s">
        <v>2015</v>
      </c>
      <c r="J1583" s="9">
        <v>2.37</v>
      </c>
    </row>
    <row r="1584" spans="7:10" hidden="1" x14ac:dyDescent="0.3">
      <c r="G1584" s="10" t="s">
        <v>1557</v>
      </c>
      <c r="H1584" s="11" t="s">
        <v>2038</v>
      </c>
      <c r="I1584" s="11" t="s">
        <v>1999</v>
      </c>
      <c r="J1584" s="12">
        <v>1.36</v>
      </c>
    </row>
    <row r="1585" spans="7:10" hidden="1" x14ac:dyDescent="0.3">
      <c r="G1585" s="7" t="s">
        <v>1558</v>
      </c>
      <c r="H1585" s="8" t="s">
        <v>2034</v>
      </c>
      <c r="I1585" s="8" t="s">
        <v>2015</v>
      </c>
      <c r="J1585" s="9">
        <v>6.91</v>
      </c>
    </row>
    <row r="1586" spans="7:10" hidden="1" x14ac:dyDescent="0.3">
      <c r="G1586" s="10" t="s">
        <v>1559</v>
      </c>
      <c r="H1586" s="11" t="s">
        <v>2035</v>
      </c>
      <c r="I1586" s="11" t="s">
        <v>1993</v>
      </c>
      <c r="J1586" s="12">
        <v>8.94</v>
      </c>
    </row>
    <row r="1587" spans="7:10" hidden="1" x14ac:dyDescent="0.3">
      <c r="G1587" s="7" t="s">
        <v>1560</v>
      </c>
      <c r="H1587" s="8" t="s">
        <v>2041</v>
      </c>
      <c r="I1587" s="8" t="s">
        <v>2030</v>
      </c>
      <c r="J1587" s="9">
        <v>2.71</v>
      </c>
    </row>
    <row r="1588" spans="7:10" hidden="1" x14ac:dyDescent="0.3">
      <c r="G1588" s="10" t="s">
        <v>1561</v>
      </c>
      <c r="H1588" s="11" t="s">
        <v>2074</v>
      </c>
      <c r="I1588" s="11" t="s">
        <v>2003</v>
      </c>
      <c r="J1588" s="12">
        <v>1.44</v>
      </c>
    </row>
    <row r="1589" spans="7:10" hidden="1" x14ac:dyDescent="0.3">
      <c r="G1589" s="7" t="s">
        <v>1562</v>
      </c>
      <c r="H1589" s="8" t="s">
        <v>2042</v>
      </c>
      <c r="I1589" s="8" t="s">
        <v>2001</v>
      </c>
      <c r="J1589" s="9">
        <v>5.17</v>
      </c>
    </row>
    <row r="1590" spans="7:10" hidden="1" x14ac:dyDescent="0.3">
      <c r="G1590" s="10" t="s">
        <v>1563</v>
      </c>
      <c r="H1590" s="11" t="s">
        <v>2035</v>
      </c>
      <c r="I1590" s="11" t="s">
        <v>1986</v>
      </c>
      <c r="J1590" s="12">
        <v>6.09</v>
      </c>
    </row>
    <row r="1591" spans="7:10" hidden="1" x14ac:dyDescent="0.3">
      <c r="G1591" s="7" t="s">
        <v>1564</v>
      </c>
      <c r="H1591" s="8" t="s">
        <v>2035</v>
      </c>
      <c r="I1591" s="8" t="s">
        <v>1993</v>
      </c>
      <c r="J1591" s="9">
        <v>4.53</v>
      </c>
    </row>
    <row r="1592" spans="7:10" hidden="1" x14ac:dyDescent="0.3">
      <c r="G1592" s="10" t="s">
        <v>1565</v>
      </c>
      <c r="H1592" s="11" t="s">
        <v>2034</v>
      </c>
      <c r="I1592" s="11" t="s">
        <v>1979</v>
      </c>
      <c r="J1592" s="12">
        <v>1.1200000000000001</v>
      </c>
    </row>
    <row r="1593" spans="7:10" hidden="1" x14ac:dyDescent="0.3">
      <c r="G1593" s="7" t="s">
        <v>1566</v>
      </c>
      <c r="H1593" s="8" t="s">
        <v>2034</v>
      </c>
      <c r="I1593" s="8" t="s">
        <v>1993</v>
      </c>
      <c r="J1593" s="9">
        <v>5.14</v>
      </c>
    </row>
    <row r="1594" spans="7:10" hidden="1" x14ac:dyDescent="0.3">
      <c r="G1594" s="10" t="s">
        <v>1567</v>
      </c>
      <c r="H1594" s="11" t="s">
        <v>1975</v>
      </c>
      <c r="I1594" s="11" t="s">
        <v>1988</v>
      </c>
      <c r="J1594" s="12">
        <v>3.91</v>
      </c>
    </row>
    <row r="1595" spans="7:10" hidden="1" x14ac:dyDescent="0.3">
      <c r="G1595" s="7" t="s">
        <v>1568</v>
      </c>
      <c r="H1595" s="8" t="s">
        <v>2038</v>
      </c>
      <c r="I1595" s="8" t="s">
        <v>1997</v>
      </c>
      <c r="J1595" s="9">
        <v>6.84</v>
      </c>
    </row>
    <row r="1596" spans="7:10" hidden="1" x14ac:dyDescent="0.3">
      <c r="G1596" s="10" t="s">
        <v>1569</v>
      </c>
      <c r="H1596" s="11" t="s">
        <v>2036</v>
      </c>
      <c r="I1596" s="11" t="s">
        <v>2001</v>
      </c>
      <c r="J1596" s="12">
        <v>2.35</v>
      </c>
    </row>
    <row r="1597" spans="7:10" hidden="1" x14ac:dyDescent="0.3">
      <c r="G1597" s="7" t="s">
        <v>1570</v>
      </c>
      <c r="H1597" s="8" t="s">
        <v>2040</v>
      </c>
      <c r="I1597" s="8" t="s">
        <v>2015</v>
      </c>
      <c r="J1597" s="9">
        <v>4.9800000000000004</v>
      </c>
    </row>
    <row r="1598" spans="7:10" hidden="1" x14ac:dyDescent="0.3">
      <c r="G1598" s="10" t="s">
        <v>1571</v>
      </c>
      <c r="H1598" s="11" t="s">
        <v>2051</v>
      </c>
      <c r="I1598" s="11" t="s">
        <v>2030</v>
      </c>
      <c r="J1598" s="12">
        <v>1.74</v>
      </c>
    </row>
    <row r="1599" spans="7:10" hidden="1" x14ac:dyDescent="0.3">
      <c r="G1599" s="7" t="s">
        <v>1572</v>
      </c>
      <c r="H1599" s="8" t="s">
        <v>2038</v>
      </c>
      <c r="I1599" s="8" t="s">
        <v>2001</v>
      </c>
      <c r="J1599" s="9">
        <v>8.7200000000000006</v>
      </c>
    </row>
    <row r="1600" spans="7:10" hidden="1" x14ac:dyDescent="0.3">
      <c r="G1600" s="10" t="s">
        <v>1573</v>
      </c>
      <c r="H1600" s="11" t="s">
        <v>2038</v>
      </c>
      <c r="I1600" s="11" t="s">
        <v>1979</v>
      </c>
      <c r="J1600" s="12">
        <v>0.8</v>
      </c>
    </row>
    <row r="1601" spans="7:10" hidden="1" x14ac:dyDescent="0.3">
      <c r="G1601" s="7" t="s">
        <v>1574</v>
      </c>
      <c r="H1601" s="8" t="s">
        <v>2034</v>
      </c>
      <c r="I1601" s="8" t="s">
        <v>1993</v>
      </c>
      <c r="J1601" s="9">
        <v>5.19</v>
      </c>
    </row>
    <row r="1602" spans="7:10" hidden="1" x14ac:dyDescent="0.3">
      <c r="G1602" s="10" t="s">
        <v>1575</v>
      </c>
      <c r="H1602" s="11" t="s">
        <v>2034</v>
      </c>
      <c r="I1602" s="11" t="s">
        <v>2023</v>
      </c>
      <c r="J1602" s="12">
        <v>7.75</v>
      </c>
    </row>
    <row r="1603" spans="7:10" hidden="1" x14ac:dyDescent="0.3">
      <c r="G1603" s="7" t="s">
        <v>1576</v>
      </c>
      <c r="H1603" s="8" t="s">
        <v>2034</v>
      </c>
      <c r="I1603" s="8" t="s">
        <v>2031</v>
      </c>
      <c r="J1603" s="9">
        <v>6.96</v>
      </c>
    </row>
    <row r="1604" spans="7:10" hidden="1" x14ac:dyDescent="0.3">
      <c r="G1604" s="10" t="s">
        <v>1577</v>
      </c>
      <c r="H1604" s="11" t="s">
        <v>2065</v>
      </c>
      <c r="I1604" s="11" t="s">
        <v>1979</v>
      </c>
      <c r="J1604" s="12">
        <v>1.07</v>
      </c>
    </row>
    <row r="1605" spans="7:10" hidden="1" x14ac:dyDescent="0.3">
      <c r="G1605" s="7" t="s">
        <v>1578</v>
      </c>
      <c r="H1605" s="8" t="s">
        <v>2061</v>
      </c>
      <c r="I1605" s="8" t="s">
        <v>1979</v>
      </c>
      <c r="J1605" s="9">
        <v>1.84</v>
      </c>
    </row>
    <row r="1606" spans="7:10" hidden="1" x14ac:dyDescent="0.3">
      <c r="G1606" s="10" t="s">
        <v>1579</v>
      </c>
      <c r="H1606" s="11" t="s">
        <v>2035</v>
      </c>
      <c r="I1606" s="11" t="s">
        <v>2003</v>
      </c>
      <c r="J1606" s="12">
        <v>2.93</v>
      </c>
    </row>
    <row r="1607" spans="7:10" hidden="1" x14ac:dyDescent="0.3">
      <c r="G1607" s="7" t="s">
        <v>1580</v>
      </c>
      <c r="H1607" s="8" t="s">
        <v>2046</v>
      </c>
      <c r="I1607" s="8" t="s">
        <v>2022</v>
      </c>
      <c r="J1607" s="9">
        <v>0.89</v>
      </c>
    </row>
    <row r="1608" spans="7:10" hidden="1" x14ac:dyDescent="0.3">
      <c r="G1608" s="10" t="s">
        <v>1581</v>
      </c>
      <c r="H1608" s="11" t="s">
        <v>2038</v>
      </c>
      <c r="I1608" s="11" t="s">
        <v>2017</v>
      </c>
      <c r="J1608" s="12">
        <v>10.17</v>
      </c>
    </row>
    <row r="1609" spans="7:10" hidden="1" x14ac:dyDescent="0.3">
      <c r="G1609" s="7" t="s">
        <v>1582</v>
      </c>
      <c r="H1609" s="8" t="s">
        <v>2039</v>
      </c>
      <c r="I1609" s="8" t="s">
        <v>2015</v>
      </c>
      <c r="J1609" s="9">
        <v>3.42</v>
      </c>
    </row>
    <row r="1610" spans="7:10" hidden="1" x14ac:dyDescent="0.3">
      <c r="G1610" s="10" t="s">
        <v>1583</v>
      </c>
      <c r="H1610" s="11" t="s">
        <v>2034</v>
      </c>
      <c r="I1610" s="11" t="s">
        <v>2027</v>
      </c>
      <c r="J1610" s="12">
        <v>3.2</v>
      </c>
    </row>
    <row r="1611" spans="7:10" hidden="1" x14ac:dyDescent="0.3">
      <c r="G1611" s="7" t="s">
        <v>1584</v>
      </c>
      <c r="H1611" s="8" t="s">
        <v>2044</v>
      </c>
      <c r="I1611" s="8" t="s">
        <v>2028</v>
      </c>
      <c r="J1611" s="9">
        <v>3.41</v>
      </c>
    </row>
    <row r="1612" spans="7:10" hidden="1" x14ac:dyDescent="0.3">
      <c r="G1612" s="10" t="s">
        <v>1585</v>
      </c>
      <c r="H1612" s="11" t="s">
        <v>2034</v>
      </c>
      <c r="I1612" s="11" t="s">
        <v>2005</v>
      </c>
      <c r="J1612" s="12">
        <v>2.61</v>
      </c>
    </row>
    <row r="1613" spans="7:10" hidden="1" x14ac:dyDescent="0.3">
      <c r="G1613" s="7" t="s">
        <v>1586</v>
      </c>
      <c r="H1613" s="8" t="s">
        <v>2038</v>
      </c>
      <c r="I1613" s="8" t="s">
        <v>1979</v>
      </c>
      <c r="J1613" s="9">
        <v>0.92</v>
      </c>
    </row>
    <row r="1614" spans="7:10" hidden="1" x14ac:dyDescent="0.3">
      <c r="G1614" s="10" t="s">
        <v>1587</v>
      </c>
      <c r="H1614" s="11" t="s">
        <v>2036</v>
      </c>
      <c r="I1614" s="11" t="s">
        <v>1986</v>
      </c>
      <c r="J1614" s="12">
        <v>8.1</v>
      </c>
    </row>
    <row r="1615" spans="7:10" hidden="1" x14ac:dyDescent="0.3">
      <c r="G1615" s="7" t="s">
        <v>1588</v>
      </c>
      <c r="H1615" s="8" t="s">
        <v>2034</v>
      </c>
      <c r="I1615" s="8" t="s">
        <v>1998</v>
      </c>
      <c r="J1615" s="9">
        <v>0.72</v>
      </c>
    </row>
    <row r="1616" spans="7:10" hidden="1" x14ac:dyDescent="0.3">
      <c r="G1616" s="10" t="s">
        <v>1589</v>
      </c>
      <c r="H1616" s="11" t="s">
        <v>2038</v>
      </c>
      <c r="I1616" s="11" t="s">
        <v>1979</v>
      </c>
      <c r="J1616" s="12">
        <v>0.75</v>
      </c>
    </row>
    <row r="1617" spans="7:10" hidden="1" x14ac:dyDescent="0.3">
      <c r="G1617" s="7" t="s">
        <v>1590</v>
      </c>
      <c r="H1617" s="8" t="s">
        <v>2034</v>
      </c>
      <c r="I1617" s="8" t="s">
        <v>1999</v>
      </c>
      <c r="J1617" s="9">
        <v>1.92</v>
      </c>
    </row>
    <row r="1618" spans="7:10" hidden="1" x14ac:dyDescent="0.3">
      <c r="G1618" s="10" t="s">
        <v>1591</v>
      </c>
      <c r="H1618" s="11" t="s">
        <v>2038</v>
      </c>
      <c r="I1618" s="11" t="s">
        <v>1979</v>
      </c>
      <c r="J1618" s="12">
        <v>0.77</v>
      </c>
    </row>
    <row r="1619" spans="7:10" hidden="1" x14ac:dyDescent="0.3">
      <c r="G1619" s="7" t="s">
        <v>1592</v>
      </c>
      <c r="H1619" s="8" t="s">
        <v>2038</v>
      </c>
      <c r="I1619" s="8" t="s">
        <v>1979</v>
      </c>
      <c r="J1619" s="9">
        <v>0.94</v>
      </c>
    </row>
    <row r="1620" spans="7:10" hidden="1" x14ac:dyDescent="0.3">
      <c r="G1620" s="10" t="s">
        <v>1593</v>
      </c>
      <c r="H1620" s="11" t="s">
        <v>2034</v>
      </c>
      <c r="I1620" s="11" t="s">
        <v>2023</v>
      </c>
      <c r="J1620" s="12">
        <v>2.35</v>
      </c>
    </row>
    <row r="1621" spans="7:10" hidden="1" x14ac:dyDescent="0.3">
      <c r="G1621" s="7" t="s">
        <v>1594</v>
      </c>
      <c r="H1621" s="8" t="s">
        <v>2034</v>
      </c>
      <c r="I1621" s="8" t="s">
        <v>2022</v>
      </c>
      <c r="J1621" s="9">
        <v>0.51</v>
      </c>
    </row>
    <row r="1622" spans="7:10" hidden="1" x14ac:dyDescent="0.3">
      <c r="G1622" s="10" t="s">
        <v>1595</v>
      </c>
      <c r="H1622" s="11" t="s">
        <v>2034</v>
      </c>
      <c r="I1622" s="11" t="s">
        <v>2000</v>
      </c>
      <c r="J1622" s="12">
        <v>5.72</v>
      </c>
    </row>
    <row r="1623" spans="7:10" hidden="1" x14ac:dyDescent="0.3">
      <c r="G1623" s="7" t="s">
        <v>1596</v>
      </c>
      <c r="H1623" s="8" t="s">
        <v>2034</v>
      </c>
      <c r="I1623" s="8" t="s">
        <v>1979</v>
      </c>
      <c r="J1623" s="9">
        <v>1.0900000000000001</v>
      </c>
    </row>
    <row r="1624" spans="7:10" hidden="1" x14ac:dyDescent="0.3">
      <c r="G1624" s="10" t="s">
        <v>1597</v>
      </c>
      <c r="H1624" s="11" t="s">
        <v>2038</v>
      </c>
      <c r="I1624" s="11" t="s">
        <v>1998</v>
      </c>
      <c r="J1624" s="12">
        <v>4.0199999999999996</v>
      </c>
    </row>
    <row r="1625" spans="7:10" hidden="1" x14ac:dyDescent="0.3">
      <c r="G1625" s="7" t="s">
        <v>1598</v>
      </c>
      <c r="H1625" s="8" t="s">
        <v>2080</v>
      </c>
      <c r="I1625" s="8" t="s">
        <v>1979</v>
      </c>
      <c r="J1625" s="9">
        <v>1.1499999999999999</v>
      </c>
    </row>
    <row r="1626" spans="7:10" hidden="1" x14ac:dyDescent="0.3">
      <c r="G1626" s="10" t="s">
        <v>1599</v>
      </c>
      <c r="H1626" s="11" t="s">
        <v>2034</v>
      </c>
      <c r="I1626" s="11" t="s">
        <v>2002</v>
      </c>
      <c r="J1626" s="12">
        <v>2.63</v>
      </c>
    </row>
    <row r="1627" spans="7:10" hidden="1" x14ac:dyDescent="0.3">
      <c r="G1627" s="7" t="s">
        <v>1600</v>
      </c>
      <c r="H1627" s="8" t="s">
        <v>2044</v>
      </c>
      <c r="I1627" s="8" t="s">
        <v>2015</v>
      </c>
      <c r="J1627" s="9">
        <v>1.35</v>
      </c>
    </row>
    <row r="1628" spans="7:10" hidden="1" x14ac:dyDescent="0.3">
      <c r="G1628" s="10" t="s">
        <v>1601</v>
      </c>
      <c r="H1628" s="11" t="s">
        <v>2034</v>
      </c>
      <c r="I1628" s="11" t="s">
        <v>2031</v>
      </c>
      <c r="J1628" s="12">
        <v>5.89</v>
      </c>
    </row>
    <row r="1629" spans="7:10" hidden="1" x14ac:dyDescent="0.3">
      <c r="G1629" s="7" t="s">
        <v>1602</v>
      </c>
      <c r="H1629" s="8" t="s">
        <v>2038</v>
      </c>
      <c r="I1629" s="8" t="s">
        <v>2030</v>
      </c>
      <c r="J1629" s="9">
        <v>4.04</v>
      </c>
    </row>
    <row r="1630" spans="7:10" hidden="1" x14ac:dyDescent="0.3">
      <c r="G1630" s="10" t="s">
        <v>1603</v>
      </c>
      <c r="H1630" s="11" t="s">
        <v>2038</v>
      </c>
      <c r="I1630" s="11" t="s">
        <v>1979</v>
      </c>
      <c r="J1630" s="12">
        <v>0.8</v>
      </c>
    </row>
    <row r="1631" spans="7:10" hidden="1" x14ac:dyDescent="0.3">
      <c r="G1631" s="7" t="s">
        <v>1604</v>
      </c>
      <c r="H1631" s="8" t="s">
        <v>2034</v>
      </c>
      <c r="I1631" s="8" t="s">
        <v>1997</v>
      </c>
      <c r="J1631" s="9">
        <v>3.29</v>
      </c>
    </row>
    <row r="1632" spans="7:10" hidden="1" x14ac:dyDescent="0.3">
      <c r="G1632" s="10" t="s">
        <v>1605</v>
      </c>
      <c r="H1632" s="11" t="s">
        <v>2038</v>
      </c>
      <c r="I1632" s="11" t="s">
        <v>2004</v>
      </c>
      <c r="J1632" s="12">
        <v>4.99</v>
      </c>
    </row>
    <row r="1633" spans="7:10" hidden="1" x14ac:dyDescent="0.3">
      <c r="G1633" s="7" t="s">
        <v>1606</v>
      </c>
      <c r="H1633" s="8" t="s">
        <v>2042</v>
      </c>
      <c r="I1633" s="8" t="s">
        <v>1987</v>
      </c>
      <c r="J1633" s="9">
        <v>4.1500000000000004</v>
      </c>
    </row>
    <row r="1634" spans="7:10" hidden="1" x14ac:dyDescent="0.3">
      <c r="G1634" s="10" t="s">
        <v>1607</v>
      </c>
      <c r="H1634" s="11" t="s">
        <v>2034</v>
      </c>
      <c r="I1634" s="11" t="s">
        <v>2001</v>
      </c>
      <c r="J1634" s="12">
        <v>5.64</v>
      </c>
    </row>
    <row r="1635" spans="7:10" hidden="1" x14ac:dyDescent="0.3">
      <c r="G1635" s="7" t="s">
        <v>1608</v>
      </c>
      <c r="H1635" s="8" t="s">
        <v>2034</v>
      </c>
      <c r="I1635" s="8" t="s">
        <v>2005</v>
      </c>
      <c r="J1635" s="9">
        <v>2.34</v>
      </c>
    </row>
    <row r="1636" spans="7:10" hidden="1" x14ac:dyDescent="0.3">
      <c r="G1636" s="10" t="s">
        <v>1609</v>
      </c>
      <c r="H1636" s="11" t="s">
        <v>2088</v>
      </c>
      <c r="I1636" s="11" t="s">
        <v>2030</v>
      </c>
      <c r="J1636" s="12">
        <v>1.95</v>
      </c>
    </row>
    <row r="1637" spans="7:10" hidden="1" x14ac:dyDescent="0.3">
      <c r="G1637" s="7" t="s">
        <v>1610</v>
      </c>
      <c r="H1637" s="8" t="s">
        <v>2065</v>
      </c>
      <c r="I1637" s="8" t="s">
        <v>2025</v>
      </c>
      <c r="J1637" s="9">
        <v>1.81</v>
      </c>
    </row>
    <row r="1638" spans="7:10" hidden="1" x14ac:dyDescent="0.3">
      <c r="G1638" s="10" t="s">
        <v>1611</v>
      </c>
      <c r="H1638" s="11" t="s">
        <v>2076</v>
      </c>
      <c r="I1638" s="11" t="s">
        <v>2026</v>
      </c>
      <c r="J1638" s="12">
        <v>0.57999999999999996</v>
      </c>
    </row>
    <row r="1639" spans="7:10" hidden="1" x14ac:dyDescent="0.3">
      <c r="G1639" s="7" t="s">
        <v>1612</v>
      </c>
      <c r="H1639" s="8" t="s">
        <v>2038</v>
      </c>
      <c r="I1639" s="8" t="s">
        <v>1979</v>
      </c>
      <c r="J1639" s="9">
        <v>0.91</v>
      </c>
    </row>
    <row r="1640" spans="7:10" hidden="1" x14ac:dyDescent="0.3">
      <c r="G1640" s="10" t="s">
        <v>1613</v>
      </c>
      <c r="H1640" s="11" t="s">
        <v>2034</v>
      </c>
      <c r="I1640" s="11" t="s">
        <v>2023</v>
      </c>
      <c r="J1640" s="12">
        <v>4.74</v>
      </c>
    </row>
    <row r="1641" spans="7:10" hidden="1" x14ac:dyDescent="0.3">
      <c r="G1641" s="7" t="s">
        <v>1614</v>
      </c>
      <c r="H1641" s="8" t="s">
        <v>2034</v>
      </c>
      <c r="I1641" s="8" t="s">
        <v>2023</v>
      </c>
      <c r="J1641" s="9">
        <v>5.08</v>
      </c>
    </row>
    <row r="1642" spans="7:10" hidden="1" x14ac:dyDescent="0.3">
      <c r="G1642" s="10" t="s">
        <v>1615</v>
      </c>
      <c r="H1642" s="11" t="s">
        <v>2076</v>
      </c>
      <c r="I1642" s="11" t="s">
        <v>1979</v>
      </c>
      <c r="J1642" s="12">
        <v>2.12</v>
      </c>
    </row>
    <row r="1643" spans="7:10" hidden="1" x14ac:dyDescent="0.3">
      <c r="G1643" s="7" t="s">
        <v>1616</v>
      </c>
      <c r="H1643" s="8" t="s">
        <v>2066</v>
      </c>
      <c r="I1643" s="8" t="s">
        <v>1987</v>
      </c>
      <c r="J1643" s="9">
        <v>3.64</v>
      </c>
    </row>
    <row r="1644" spans="7:10" hidden="1" x14ac:dyDescent="0.3">
      <c r="G1644" s="10" t="s">
        <v>1617</v>
      </c>
      <c r="H1644" s="11" t="s">
        <v>2038</v>
      </c>
      <c r="I1644" s="11" t="s">
        <v>1979</v>
      </c>
      <c r="J1644" s="12">
        <v>0.64</v>
      </c>
    </row>
    <row r="1645" spans="7:10" hidden="1" x14ac:dyDescent="0.3">
      <c r="G1645" s="7" t="s">
        <v>1618</v>
      </c>
      <c r="H1645" s="8" t="s">
        <v>2052</v>
      </c>
      <c r="I1645" s="8" t="s">
        <v>1998</v>
      </c>
      <c r="J1645" s="9">
        <v>0.47</v>
      </c>
    </row>
    <row r="1646" spans="7:10" hidden="1" x14ac:dyDescent="0.3">
      <c r="G1646" s="10" t="s">
        <v>1619</v>
      </c>
      <c r="H1646" s="11" t="s">
        <v>2034</v>
      </c>
      <c r="I1646" s="11" t="s">
        <v>1987</v>
      </c>
      <c r="J1646" s="12">
        <v>5.17</v>
      </c>
    </row>
    <row r="1647" spans="7:10" hidden="1" x14ac:dyDescent="0.3">
      <c r="G1647" s="7" t="s">
        <v>1620</v>
      </c>
      <c r="H1647" s="8" t="s">
        <v>2065</v>
      </c>
      <c r="I1647" s="8" t="s">
        <v>1979</v>
      </c>
      <c r="J1647" s="9">
        <v>0.9</v>
      </c>
    </row>
    <row r="1648" spans="7:10" hidden="1" x14ac:dyDescent="0.3">
      <c r="G1648" s="10" t="s">
        <v>1621</v>
      </c>
      <c r="H1648" s="11" t="s">
        <v>2034</v>
      </c>
      <c r="I1648" s="11" t="s">
        <v>2026</v>
      </c>
      <c r="J1648" s="12">
        <v>2.52</v>
      </c>
    </row>
    <row r="1649" spans="7:10" hidden="1" x14ac:dyDescent="0.3">
      <c r="G1649" s="7" t="s">
        <v>1622</v>
      </c>
      <c r="H1649" s="8" t="s">
        <v>2038</v>
      </c>
      <c r="I1649" s="8" t="s">
        <v>1979</v>
      </c>
      <c r="J1649" s="9">
        <v>0.62</v>
      </c>
    </row>
    <row r="1650" spans="7:10" hidden="1" x14ac:dyDescent="0.3">
      <c r="G1650" s="10" t="s">
        <v>1623</v>
      </c>
      <c r="H1650" s="11" t="s">
        <v>2038</v>
      </c>
      <c r="I1650" s="11" t="s">
        <v>1979</v>
      </c>
      <c r="J1650" s="12">
        <v>0.61</v>
      </c>
    </row>
    <row r="1651" spans="7:10" hidden="1" x14ac:dyDescent="0.3">
      <c r="G1651" s="7" t="s">
        <v>1624</v>
      </c>
      <c r="H1651" s="8" t="s">
        <v>2065</v>
      </c>
      <c r="I1651" s="8" t="s">
        <v>2027</v>
      </c>
      <c r="J1651" s="9">
        <v>5.5</v>
      </c>
    </row>
    <row r="1652" spans="7:10" hidden="1" x14ac:dyDescent="0.3">
      <c r="G1652" s="10" t="s">
        <v>1625</v>
      </c>
      <c r="H1652" s="11" t="s">
        <v>2052</v>
      </c>
      <c r="I1652" s="11" t="s">
        <v>1998</v>
      </c>
      <c r="J1652" s="12">
        <v>0.54</v>
      </c>
    </row>
    <row r="1653" spans="7:10" hidden="1" x14ac:dyDescent="0.3">
      <c r="G1653" s="7" t="s">
        <v>1626</v>
      </c>
      <c r="H1653" s="8" t="s">
        <v>2084</v>
      </c>
      <c r="I1653" s="8" t="s">
        <v>2028</v>
      </c>
      <c r="J1653" s="9">
        <v>1.41</v>
      </c>
    </row>
    <row r="1654" spans="7:10" hidden="1" x14ac:dyDescent="0.3">
      <c r="G1654" s="10" t="s">
        <v>1627</v>
      </c>
      <c r="H1654" s="11" t="s">
        <v>1975</v>
      </c>
      <c r="I1654" s="11" t="s">
        <v>1993</v>
      </c>
      <c r="J1654" s="12">
        <v>3.27</v>
      </c>
    </row>
    <row r="1655" spans="7:10" hidden="1" x14ac:dyDescent="0.3">
      <c r="G1655" s="7" t="s">
        <v>1628</v>
      </c>
      <c r="H1655" s="8" t="s">
        <v>2038</v>
      </c>
      <c r="I1655" s="8" t="s">
        <v>2023</v>
      </c>
      <c r="J1655" s="9">
        <v>5.87</v>
      </c>
    </row>
    <row r="1656" spans="7:10" hidden="1" x14ac:dyDescent="0.3">
      <c r="G1656" s="10" t="s">
        <v>1629</v>
      </c>
      <c r="H1656" s="11" t="s">
        <v>2038</v>
      </c>
      <c r="I1656" s="11" t="s">
        <v>2005</v>
      </c>
      <c r="J1656" s="12">
        <v>3.72</v>
      </c>
    </row>
    <row r="1657" spans="7:10" hidden="1" x14ac:dyDescent="0.3">
      <c r="G1657" s="7" t="s">
        <v>1630</v>
      </c>
      <c r="H1657" s="8" t="s">
        <v>2046</v>
      </c>
      <c r="I1657" s="8" t="s">
        <v>1997</v>
      </c>
      <c r="J1657" s="9">
        <v>5.79</v>
      </c>
    </row>
    <row r="1658" spans="7:10" hidden="1" x14ac:dyDescent="0.3">
      <c r="G1658" s="10" t="s">
        <v>1631</v>
      </c>
      <c r="H1658" s="11" t="s">
        <v>2052</v>
      </c>
      <c r="I1658" s="11" t="s">
        <v>2030</v>
      </c>
      <c r="J1658" s="12">
        <v>0.31</v>
      </c>
    </row>
    <row r="1659" spans="7:10" hidden="1" x14ac:dyDescent="0.3">
      <c r="G1659" s="7" t="s">
        <v>1632</v>
      </c>
      <c r="H1659" s="8" t="s">
        <v>2034</v>
      </c>
      <c r="I1659" s="8" t="s">
        <v>2031</v>
      </c>
      <c r="J1659" s="9">
        <v>3.24</v>
      </c>
    </row>
    <row r="1660" spans="7:10" hidden="1" x14ac:dyDescent="0.3">
      <c r="G1660" s="10" t="s">
        <v>1633</v>
      </c>
      <c r="H1660" s="11" t="s">
        <v>2034</v>
      </c>
      <c r="I1660" s="11" t="s">
        <v>2030</v>
      </c>
      <c r="J1660" s="12">
        <v>5.08</v>
      </c>
    </row>
    <row r="1661" spans="7:10" hidden="1" x14ac:dyDescent="0.3">
      <c r="G1661" s="7" t="s">
        <v>1634</v>
      </c>
      <c r="H1661" s="8" t="s">
        <v>2087</v>
      </c>
      <c r="I1661" s="8" t="s">
        <v>1998</v>
      </c>
      <c r="J1661" s="9">
        <v>0.81</v>
      </c>
    </row>
    <row r="1662" spans="7:10" hidden="1" x14ac:dyDescent="0.3">
      <c r="G1662" s="10" t="s">
        <v>1635</v>
      </c>
      <c r="H1662" s="11" t="s">
        <v>2064</v>
      </c>
      <c r="I1662" s="11" t="s">
        <v>2022</v>
      </c>
      <c r="J1662" s="12">
        <v>7.67</v>
      </c>
    </row>
    <row r="1663" spans="7:10" hidden="1" x14ac:dyDescent="0.3">
      <c r="G1663" s="7" t="s">
        <v>1636</v>
      </c>
      <c r="H1663" s="8" t="s">
        <v>2034</v>
      </c>
      <c r="I1663" s="8" t="s">
        <v>2023</v>
      </c>
      <c r="J1663" s="9">
        <v>3.41</v>
      </c>
    </row>
    <row r="1664" spans="7:10" hidden="1" x14ac:dyDescent="0.3">
      <c r="G1664" s="10" t="s">
        <v>1637</v>
      </c>
      <c r="H1664" s="11" t="s">
        <v>2034</v>
      </c>
      <c r="I1664" s="11" t="s">
        <v>2025</v>
      </c>
      <c r="J1664" s="12">
        <v>0.89</v>
      </c>
    </row>
    <row r="1665" spans="7:10" hidden="1" x14ac:dyDescent="0.3">
      <c r="G1665" s="7" t="s">
        <v>1638</v>
      </c>
      <c r="H1665" s="8" t="s">
        <v>2042</v>
      </c>
      <c r="I1665" s="8" t="s">
        <v>1979</v>
      </c>
      <c r="J1665" s="9">
        <v>0.82</v>
      </c>
    </row>
    <row r="1666" spans="7:10" hidden="1" x14ac:dyDescent="0.3">
      <c r="G1666" s="10" t="s">
        <v>1639</v>
      </c>
      <c r="H1666" s="11" t="s">
        <v>2038</v>
      </c>
      <c r="I1666" s="11" t="s">
        <v>1979</v>
      </c>
      <c r="J1666" s="12">
        <v>0.68</v>
      </c>
    </row>
    <row r="1667" spans="7:10" hidden="1" x14ac:dyDescent="0.3">
      <c r="G1667" s="7" t="s">
        <v>1640</v>
      </c>
      <c r="H1667" s="8" t="s">
        <v>2038</v>
      </c>
      <c r="I1667" s="8" t="s">
        <v>1997</v>
      </c>
      <c r="J1667" s="9">
        <v>4.34</v>
      </c>
    </row>
    <row r="1668" spans="7:10" hidden="1" x14ac:dyDescent="0.3">
      <c r="G1668" s="10" t="s">
        <v>1641</v>
      </c>
      <c r="H1668" s="11" t="s">
        <v>2034</v>
      </c>
      <c r="I1668" s="11" t="s">
        <v>1979</v>
      </c>
      <c r="J1668" s="12">
        <v>1.04</v>
      </c>
    </row>
    <row r="1669" spans="7:10" hidden="1" x14ac:dyDescent="0.3">
      <c r="G1669" s="7" t="s">
        <v>1642</v>
      </c>
      <c r="H1669" s="8" t="s">
        <v>2038</v>
      </c>
      <c r="I1669" s="8" t="s">
        <v>1979</v>
      </c>
      <c r="J1669" s="9">
        <v>0.57999999999999996</v>
      </c>
    </row>
    <row r="1670" spans="7:10" hidden="1" x14ac:dyDescent="0.3">
      <c r="G1670" s="10" t="s">
        <v>1643</v>
      </c>
      <c r="H1670" s="11" t="s">
        <v>2038</v>
      </c>
      <c r="I1670" s="11" t="s">
        <v>2002</v>
      </c>
      <c r="J1670" s="12">
        <v>2.15</v>
      </c>
    </row>
    <row r="1671" spans="7:10" hidden="1" x14ac:dyDescent="0.3">
      <c r="G1671" s="7" t="s">
        <v>1644</v>
      </c>
      <c r="H1671" s="8" t="s">
        <v>2034</v>
      </c>
      <c r="I1671" s="8" t="s">
        <v>2002</v>
      </c>
      <c r="J1671" s="9">
        <v>2.63</v>
      </c>
    </row>
    <row r="1672" spans="7:10" hidden="1" x14ac:dyDescent="0.3">
      <c r="G1672" s="10" t="s">
        <v>1645</v>
      </c>
      <c r="H1672" s="11" t="s">
        <v>2035</v>
      </c>
      <c r="I1672" s="11" t="s">
        <v>2026</v>
      </c>
      <c r="J1672" s="12">
        <v>1.37</v>
      </c>
    </row>
    <row r="1673" spans="7:10" hidden="1" x14ac:dyDescent="0.3">
      <c r="G1673" s="7" t="s">
        <v>1646</v>
      </c>
      <c r="H1673" s="8" t="s">
        <v>2034</v>
      </c>
      <c r="I1673" s="8" t="s">
        <v>2004</v>
      </c>
      <c r="J1673" s="9">
        <v>3.58</v>
      </c>
    </row>
    <row r="1674" spans="7:10" hidden="1" x14ac:dyDescent="0.3">
      <c r="G1674" s="10" t="s">
        <v>1647</v>
      </c>
      <c r="H1674" s="11" t="s">
        <v>2037</v>
      </c>
      <c r="I1674" s="11" t="s">
        <v>2004</v>
      </c>
      <c r="J1674" s="12">
        <v>2.35</v>
      </c>
    </row>
    <row r="1675" spans="7:10" x14ac:dyDescent="0.3">
      <c r="G1675" s="10" t="s">
        <v>221</v>
      </c>
      <c r="H1675" s="11" t="s">
        <v>2047</v>
      </c>
      <c r="I1675" s="11" t="s">
        <v>2028</v>
      </c>
      <c r="J1675" s="12">
        <v>16.43</v>
      </c>
    </row>
    <row r="1676" spans="7:10" hidden="1" x14ac:dyDescent="0.3">
      <c r="G1676" s="10" t="s">
        <v>1649</v>
      </c>
      <c r="H1676" s="11" t="s">
        <v>2052</v>
      </c>
      <c r="I1676" s="11" t="s">
        <v>1979</v>
      </c>
      <c r="J1676" s="12">
        <v>0.39</v>
      </c>
    </row>
    <row r="1677" spans="7:10" hidden="1" x14ac:dyDescent="0.3">
      <c r="G1677" s="7" t="s">
        <v>1650</v>
      </c>
      <c r="H1677" s="8" t="s">
        <v>2038</v>
      </c>
      <c r="I1677" s="8" t="s">
        <v>1979</v>
      </c>
      <c r="J1677" s="9">
        <v>0.63</v>
      </c>
    </row>
    <row r="1678" spans="7:10" hidden="1" x14ac:dyDescent="0.3">
      <c r="G1678" s="10" t="s">
        <v>1651</v>
      </c>
      <c r="H1678" s="11" t="s">
        <v>2034</v>
      </c>
      <c r="I1678" s="11" t="s">
        <v>1979</v>
      </c>
      <c r="J1678" s="12">
        <v>0.78</v>
      </c>
    </row>
    <row r="1679" spans="7:10" hidden="1" x14ac:dyDescent="0.3">
      <c r="G1679" s="7" t="s">
        <v>1652</v>
      </c>
      <c r="H1679" s="8" t="s">
        <v>2045</v>
      </c>
      <c r="I1679" s="8" t="s">
        <v>2015</v>
      </c>
      <c r="J1679" s="9">
        <v>2.91</v>
      </c>
    </row>
    <row r="1680" spans="7:10" hidden="1" x14ac:dyDescent="0.3">
      <c r="G1680" s="10" t="s">
        <v>1653</v>
      </c>
      <c r="H1680" s="11" t="s">
        <v>2038</v>
      </c>
      <c r="I1680" s="11" t="s">
        <v>1979</v>
      </c>
      <c r="J1680" s="12">
        <v>0.66</v>
      </c>
    </row>
    <row r="1681" spans="7:10" hidden="1" x14ac:dyDescent="0.3">
      <c r="G1681" s="7" t="s">
        <v>1654</v>
      </c>
      <c r="H1681" s="8" t="s">
        <v>2041</v>
      </c>
      <c r="I1681" s="8" t="s">
        <v>1993</v>
      </c>
      <c r="J1681" s="9">
        <v>8.35</v>
      </c>
    </row>
    <row r="1682" spans="7:10" hidden="1" x14ac:dyDescent="0.3">
      <c r="G1682" s="10" t="s">
        <v>1655</v>
      </c>
      <c r="H1682" s="11" t="s">
        <v>2038</v>
      </c>
      <c r="I1682" s="11" t="s">
        <v>2023</v>
      </c>
      <c r="J1682" s="12">
        <v>7.76</v>
      </c>
    </row>
    <row r="1683" spans="7:10" hidden="1" x14ac:dyDescent="0.3">
      <c r="G1683" s="7" t="s">
        <v>1656</v>
      </c>
      <c r="H1683" s="8" t="s">
        <v>2041</v>
      </c>
      <c r="I1683" s="8" t="s">
        <v>1987</v>
      </c>
      <c r="J1683" s="9">
        <v>5.51</v>
      </c>
    </row>
    <row r="1684" spans="7:10" hidden="1" x14ac:dyDescent="0.3">
      <c r="G1684" s="10" t="s">
        <v>1657</v>
      </c>
      <c r="H1684" s="11" t="s">
        <v>2038</v>
      </c>
      <c r="I1684" s="11" t="s">
        <v>1979</v>
      </c>
      <c r="J1684" s="12">
        <v>0.61</v>
      </c>
    </row>
    <row r="1685" spans="7:10" hidden="1" x14ac:dyDescent="0.3">
      <c r="G1685" s="7" t="s">
        <v>1658</v>
      </c>
      <c r="H1685" s="8" t="s">
        <v>2038</v>
      </c>
      <c r="I1685" s="8" t="s">
        <v>1998</v>
      </c>
      <c r="J1685" s="9">
        <v>1.35</v>
      </c>
    </row>
    <row r="1686" spans="7:10" hidden="1" x14ac:dyDescent="0.3">
      <c r="G1686" s="10" t="s">
        <v>1659</v>
      </c>
      <c r="H1686" s="11" t="s">
        <v>2034</v>
      </c>
      <c r="I1686" s="11" t="s">
        <v>2031</v>
      </c>
      <c r="J1686" s="12">
        <v>3.28</v>
      </c>
    </row>
    <row r="1687" spans="7:10" hidden="1" x14ac:dyDescent="0.3">
      <c r="G1687" s="7" t="s">
        <v>1660</v>
      </c>
      <c r="H1687" s="8" t="s">
        <v>2038</v>
      </c>
      <c r="I1687" s="8" t="s">
        <v>1979</v>
      </c>
      <c r="J1687" s="9">
        <v>0.59</v>
      </c>
    </row>
    <row r="1688" spans="7:10" hidden="1" x14ac:dyDescent="0.3">
      <c r="G1688" s="10" t="s">
        <v>1661</v>
      </c>
      <c r="H1688" s="11" t="s">
        <v>2045</v>
      </c>
      <c r="I1688" s="11" t="s">
        <v>2015</v>
      </c>
      <c r="J1688" s="12">
        <v>3.23</v>
      </c>
    </row>
    <row r="1689" spans="7:10" hidden="1" x14ac:dyDescent="0.3">
      <c r="G1689" s="7" t="s">
        <v>1662</v>
      </c>
      <c r="H1689" s="8" t="s">
        <v>2045</v>
      </c>
      <c r="I1689" s="8" t="s">
        <v>2031</v>
      </c>
      <c r="J1689" s="9">
        <v>1.64</v>
      </c>
    </row>
    <row r="1690" spans="7:10" hidden="1" x14ac:dyDescent="0.3">
      <c r="G1690" s="10" t="s">
        <v>1663</v>
      </c>
      <c r="H1690" s="11" t="s">
        <v>2034</v>
      </c>
      <c r="I1690" s="11" t="s">
        <v>2028</v>
      </c>
      <c r="J1690" s="12">
        <v>2.16</v>
      </c>
    </row>
    <row r="1691" spans="7:10" hidden="1" x14ac:dyDescent="0.3">
      <c r="G1691" s="7" t="s">
        <v>1664</v>
      </c>
      <c r="H1691" s="8" t="s">
        <v>2038</v>
      </c>
      <c r="I1691" s="8" t="s">
        <v>1979</v>
      </c>
      <c r="J1691" s="9">
        <v>0.6</v>
      </c>
    </row>
    <row r="1692" spans="7:10" hidden="1" x14ac:dyDescent="0.3">
      <c r="G1692" s="10" t="s">
        <v>1665</v>
      </c>
      <c r="H1692" s="11" t="s">
        <v>2034</v>
      </c>
      <c r="I1692" s="11" t="s">
        <v>1979</v>
      </c>
      <c r="J1692" s="12">
        <v>0.68</v>
      </c>
    </row>
    <row r="1693" spans="7:10" hidden="1" x14ac:dyDescent="0.3">
      <c r="G1693" s="7" t="s">
        <v>1666</v>
      </c>
      <c r="H1693" s="8" t="s">
        <v>2034</v>
      </c>
      <c r="I1693" s="8" t="s">
        <v>2002</v>
      </c>
      <c r="J1693" s="9">
        <v>1.42</v>
      </c>
    </row>
    <row r="1694" spans="7:10" hidden="1" x14ac:dyDescent="0.3">
      <c r="G1694" s="10" t="s">
        <v>1667</v>
      </c>
      <c r="H1694" s="11" t="s">
        <v>2044</v>
      </c>
      <c r="I1694" s="11" t="s">
        <v>2000</v>
      </c>
      <c r="J1694" s="12">
        <v>4.7300000000000004</v>
      </c>
    </row>
    <row r="1695" spans="7:10" hidden="1" x14ac:dyDescent="0.3">
      <c r="G1695" s="7" t="s">
        <v>1668</v>
      </c>
      <c r="H1695" s="8" t="s">
        <v>2043</v>
      </c>
      <c r="I1695" s="8" t="s">
        <v>2029</v>
      </c>
      <c r="J1695" s="9">
        <v>11.41</v>
      </c>
    </row>
    <row r="1696" spans="7:10" hidden="1" x14ac:dyDescent="0.3">
      <c r="G1696" s="10" t="s">
        <v>1669</v>
      </c>
      <c r="H1696" s="11" t="s">
        <v>2038</v>
      </c>
      <c r="I1696" s="11" t="s">
        <v>1986</v>
      </c>
      <c r="J1696" s="12">
        <v>6.42</v>
      </c>
    </row>
    <row r="1697" spans="7:10" hidden="1" x14ac:dyDescent="0.3">
      <c r="G1697" s="7" t="s">
        <v>1670</v>
      </c>
      <c r="H1697" s="8" t="s">
        <v>2038</v>
      </c>
      <c r="I1697" s="8" t="s">
        <v>2005</v>
      </c>
      <c r="J1697" s="9">
        <v>3.68</v>
      </c>
    </row>
    <row r="1698" spans="7:10" hidden="1" x14ac:dyDescent="0.3">
      <c r="G1698" s="10" t="s">
        <v>1671</v>
      </c>
      <c r="H1698" s="11" t="s">
        <v>2038</v>
      </c>
      <c r="I1698" s="11" t="s">
        <v>2015</v>
      </c>
      <c r="J1698" s="12">
        <v>4.09</v>
      </c>
    </row>
    <row r="1699" spans="7:10" hidden="1" x14ac:dyDescent="0.3">
      <c r="G1699" s="7" t="s">
        <v>1672</v>
      </c>
      <c r="H1699" s="8" t="s">
        <v>2038</v>
      </c>
      <c r="I1699" s="8" t="s">
        <v>1979</v>
      </c>
      <c r="J1699" s="9">
        <v>0.75</v>
      </c>
    </row>
    <row r="1700" spans="7:10" hidden="1" x14ac:dyDescent="0.3">
      <c r="G1700" s="10" t="s">
        <v>1673</v>
      </c>
      <c r="H1700" s="11" t="s">
        <v>2034</v>
      </c>
      <c r="I1700" s="11" t="s">
        <v>1986</v>
      </c>
      <c r="J1700" s="12">
        <v>2.91</v>
      </c>
    </row>
    <row r="1701" spans="7:10" hidden="1" x14ac:dyDescent="0.3">
      <c r="G1701" s="7" t="s">
        <v>1674</v>
      </c>
      <c r="H1701" s="8" t="s">
        <v>2038</v>
      </c>
      <c r="I1701" s="8" t="s">
        <v>1997</v>
      </c>
      <c r="J1701" s="9">
        <v>4.3</v>
      </c>
    </row>
    <row r="1702" spans="7:10" hidden="1" x14ac:dyDescent="0.3">
      <c r="G1702" s="10" t="s">
        <v>1675</v>
      </c>
      <c r="H1702" s="11" t="s">
        <v>2039</v>
      </c>
      <c r="I1702" s="11" t="s">
        <v>2027</v>
      </c>
      <c r="J1702" s="12">
        <v>1.55</v>
      </c>
    </row>
    <row r="1703" spans="7:10" hidden="1" x14ac:dyDescent="0.3">
      <c r="G1703" s="7" t="s">
        <v>1676</v>
      </c>
      <c r="H1703" s="8" t="s">
        <v>2045</v>
      </c>
      <c r="I1703" s="8" t="s">
        <v>1979</v>
      </c>
      <c r="J1703" s="9">
        <v>1.1399999999999999</v>
      </c>
    </row>
    <row r="1704" spans="7:10" hidden="1" x14ac:dyDescent="0.3">
      <c r="G1704" s="10" t="s">
        <v>1677</v>
      </c>
      <c r="H1704" s="11" t="s">
        <v>2054</v>
      </c>
      <c r="I1704" s="11" t="s">
        <v>2001</v>
      </c>
      <c r="J1704" s="12">
        <v>3.08</v>
      </c>
    </row>
    <row r="1705" spans="7:10" hidden="1" x14ac:dyDescent="0.3">
      <c r="G1705" s="7" t="s">
        <v>1678</v>
      </c>
      <c r="H1705" s="8" t="s">
        <v>2038</v>
      </c>
      <c r="I1705" s="8" t="s">
        <v>2029</v>
      </c>
      <c r="J1705" s="9">
        <v>8.27</v>
      </c>
    </row>
    <row r="1706" spans="7:10" hidden="1" x14ac:dyDescent="0.3">
      <c r="G1706" s="10" t="s">
        <v>1679</v>
      </c>
      <c r="H1706" s="11" t="s">
        <v>2038</v>
      </c>
      <c r="I1706" s="11" t="s">
        <v>1979</v>
      </c>
      <c r="J1706" s="12">
        <v>0.56000000000000005</v>
      </c>
    </row>
    <row r="1707" spans="7:10" hidden="1" x14ac:dyDescent="0.3">
      <c r="G1707" s="7" t="s">
        <v>1680</v>
      </c>
      <c r="H1707" s="8" t="s">
        <v>2038</v>
      </c>
      <c r="I1707" s="8" t="s">
        <v>1993</v>
      </c>
      <c r="J1707" s="9">
        <v>4.0599999999999996</v>
      </c>
    </row>
    <row r="1708" spans="7:10" hidden="1" x14ac:dyDescent="0.3">
      <c r="G1708" s="10" t="s">
        <v>1681</v>
      </c>
      <c r="H1708" s="11" t="s">
        <v>2038</v>
      </c>
      <c r="I1708" s="11" t="s">
        <v>1979</v>
      </c>
      <c r="J1708" s="12">
        <v>0.48</v>
      </c>
    </row>
    <row r="1709" spans="7:10" hidden="1" x14ac:dyDescent="0.3">
      <c r="G1709" s="7" t="s">
        <v>1682</v>
      </c>
      <c r="H1709" s="8" t="s">
        <v>2038</v>
      </c>
      <c r="I1709" s="8" t="s">
        <v>1979</v>
      </c>
      <c r="J1709" s="9">
        <v>0.59</v>
      </c>
    </row>
    <row r="1710" spans="7:10" x14ac:dyDescent="0.3">
      <c r="G1710" s="7" t="s">
        <v>569</v>
      </c>
      <c r="H1710" s="8" t="s">
        <v>2047</v>
      </c>
      <c r="I1710" s="8" t="s">
        <v>2028</v>
      </c>
      <c r="J1710" s="9">
        <v>7</v>
      </c>
    </row>
    <row r="1711" spans="7:10" hidden="1" x14ac:dyDescent="0.3">
      <c r="G1711" s="7" t="s">
        <v>1684</v>
      </c>
      <c r="H1711" s="8" t="s">
        <v>2038</v>
      </c>
      <c r="I1711" s="8" t="s">
        <v>1988</v>
      </c>
      <c r="J1711" s="9">
        <v>5.25</v>
      </c>
    </row>
    <row r="1712" spans="7:10" hidden="1" x14ac:dyDescent="0.3">
      <c r="G1712" s="10" t="s">
        <v>1685</v>
      </c>
      <c r="H1712" s="11" t="s">
        <v>2038</v>
      </c>
      <c r="I1712" s="11" t="s">
        <v>1979</v>
      </c>
      <c r="J1712" s="12">
        <v>0.63</v>
      </c>
    </row>
    <row r="1713" spans="7:10" hidden="1" x14ac:dyDescent="0.3">
      <c r="G1713" s="7" t="s">
        <v>1686</v>
      </c>
      <c r="H1713" s="8" t="s">
        <v>2038</v>
      </c>
      <c r="I1713" s="8" t="s">
        <v>1979</v>
      </c>
      <c r="J1713" s="9">
        <v>0.49</v>
      </c>
    </row>
    <row r="1714" spans="7:10" hidden="1" x14ac:dyDescent="0.3">
      <c r="G1714" s="10" t="s">
        <v>1687</v>
      </c>
      <c r="H1714" s="11" t="s">
        <v>2061</v>
      </c>
      <c r="I1714" s="11" t="s">
        <v>1979</v>
      </c>
      <c r="J1714" s="12">
        <v>1.31</v>
      </c>
    </row>
    <row r="1715" spans="7:10" hidden="1" x14ac:dyDescent="0.3">
      <c r="G1715" s="7" t="s">
        <v>1688</v>
      </c>
      <c r="H1715" s="8" t="s">
        <v>2054</v>
      </c>
      <c r="I1715" s="8" t="s">
        <v>1999</v>
      </c>
      <c r="J1715" s="9">
        <v>1.78</v>
      </c>
    </row>
    <row r="1716" spans="7:10" hidden="1" x14ac:dyDescent="0.3">
      <c r="G1716" s="10" t="s">
        <v>1689</v>
      </c>
      <c r="H1716" s="11" t="s">
        <v>2038</v>
      </c>
      <c r="I1716" s="11" t="s">
        <v>1986</v>
      </c>
      <c r="J1716" s="12">
        <v>2.89</v>
      </c>
    </row>
    <row r="1717" spans="7:10" hidden="1" x14ac:dyDescent="0.3">
      <c r="G1717" s="7" t="s">
        <v>1690</v>
      </c>
      <c r="H1717" s="8" t="s">
        <v>2038</v>
      </c>
      <c r="I1717" s="8" t="s">
        <v>2023</v>
      </c>
      <c r="J1717" s="9">
        <v>3.72</v>
      </c>
    </row>
    <row r="1718" spans="7:10" hidden="1" x14ac:dyDescent="0.3">
      <c r="G1718" s="10" t="s">
        <v>1691</v>
      </c>
      <c r="H1718" s="11" t="s">
        <v>2034</v>
      </c>
      <c r="I1718" s="11" t="s">
        <v>1997</v>
      </c>
      <c r="J1718" s="12">
        <v>4.29</v>
      </c>
    </row>
    <row r="1719" spans="7:10" hidden="1" x14ac:dyDescent="0.3">
      <c r="G1719" s="7" t="s">
        <v>1692</v>
      </c>
      <c r="H1719" s="8" t="s">
        <v>2042</v>
      </c>
      <c r="I1719" s="8" t="s">
        <v>2030</v>
      </c>
      <c r="J1719" s="9">
        <v>5.52</v>
      </c>
    </row>
    <row r="1720" spans="7:10" hidden="1" x14ac:dyDescent="0.3">
      <c r="G1720" s="10" t="s">
        <v>1693</v>
      </c>
      <c r="H1720" s="11" t="s">
        <v>2040</v>
      </c>
      <c r="I1720" s="11" t="s">
        <v>1979</v>
      </c>
      <c r="J1720" s="12">
        <v>0.56999999999999995</v>
      </c>
    </row>
    <row r="1721" spans="7:10" hidden="1" x14ac:dyDescent="0.3">
      <c r="G1721" s="7" t="s">
        <v>1694</v>
      </c>
      <c r="H1721" s="8" t="s">
        <v>2085</v>
      </c>
      <c r="I1721" s="8" t="s">
        <v>2015</v>
      </c>
      <c r="J1721" s="9">
        <v>1.36</v>
      </c>
    </row>
    <row r="1722" spans="7:10" hidden="1" x14ac:dyDescent="0.3">
      <c r="G1722" s="10" t="s">
        <v>1695</v>
      </c>
      <c r="H1722" s="11" t="s">
        <v>2038</v>
      </c>
      <c r="I1722" s="11" t="s">
        <v>1979</v>
      </c>
      <c r="J1722" s="12">
        <v>0.48</v>
      </c>
    </row>
    <row r="1723" spans="7:10" hidden="1" x14ac:dyDescent="0.3">
      <c r="G1723" s="7" t="s">
        <v>1696</v>
      </c>
      <c r="H1723" s="8" t="s">
        <v>2038</v>
      </c>
      <c r="I1723" s="8" t="s">
        <v>1979</v>
      </c>
      <c r="J1723" s="9">
        <v>0.65</v>
      </c>
    </row>
    <row r="1724" spans="7:10" hidden="1" x14ac:dyDescent="0.3">
      <c r="G1724" s="10" t="s">
        <v>1697</v>
      </c>
      <c r="H1724" s="11" t="s">
        <v>2034</v>
      </c>
      <c r="I1724" s="11" t="s">
        <v>2023</v>
      </c>
      <c r="J1724" s="12">
        <v>1.31</v>
      </c>
    </row>
    <row r="1725" spans="7:10" hidden="1" x14ac:dyDescent="0.3">
      <c r="G1725" s="7" t="s">
        <v>1698</v>
      </c>
      <c r="H1725" s="8" t="s">
        <v>2054</v>
      </c>
      <c r="I1725" s="8" t="s">
        <v>1999</v>
      </c>
      <c r="J1725" s="9">
        <v>0.72</v>
      </c>
    </row>
    <row r="1726" spans="7:10" hidden="1" x14ac:dyDescent="0.3">
      <c r="G1726" s="10" t="s">
        <v>1699</v>
      </c>
      <c r="H1726" s="11" t="s">
        <v>2039</v>
      </c>
      <c r="I1726" s="11" t="s">
        <v>2026</v>
      </c>
      <c r="J1726" s="12">
        <v>1.1200000000000001</v>
      </c>
    </row>
    <row r="1727" spans="7:10" hidden="1" x14ac:dyDescent="0.3">
      <c r="G1727" s="7" t="s">
        <v>1700</v>
      </c>
      <c r="H1727" s="8" t="s">
        <v>2045</v>
      </c>
      <c r="I1727" s="8" t="s">
        <v>1987</v>
      </c>
      <c r="J1727" s="9">
        <v>2.94</v>
      </c>
    </row>
    <row r="1728" spans="7:10" hidden="1" x14ac:dyDescent="0.3">
      <c r="G1728" s="10" t="s">
        <v>1701</v>
      </c>
      <c r="H1728" s="11" t="s">
        <v>2034</v>
      </c>
      <c r="I1728" s="11" t="s">
        <v>2025</v>
      </c>
      <c r="J1728" s="12">
        <v>1.38</v>
      </c>
    </row>
    <row r="1729" spans="7:10" hidden="1" x14ac:dyDescent="0.3">
      <c r="G1729" s="7" t="s">
        <v>1702</v>
      </c>
      <c r="H1729" s="8" t="s">
        <v>2034</v>
      </c>
      <c r="I1729" s="8" t="s">
        <v>2023</v>
      </c>
      <c r="J1729" s="9">
        <v>10.19</v>
      </c>
    </row>
    <row r="1730" spans="7:10" hidden="1" x14ac:dyDescent="0.3">
      <c r="G1730" s="10" t="s">
        <v>1703</v>
      </c>
      <c r="H1730" s="11" t="s">
        <v>2066</v>
      </c>
      <c r="I1730" s="11" t="s">
        <v>1998</v>
      </c>
      <c r="J1730" s="12">
        <v>1.46</v>
      </c>
    </row>
    <row r="1731" spans="7:10" x14ac:dyDescent="0.3">
      <c r="G1731" s="10" t="s">
        <v>941</v>
      </c>
      <c r="H1731" s="11" t="s">
        <v>2047</v>
      </c>
      <c r="I1731" s="11" t="s">
        <v>2028</v>
      </c>
      <c r="J1731" s="12">
        <v>6.43</v>
      </c>
    </row>
    <row r="1732" spans="7:10" hidden="1" x14ac:dyDescent="0.3">
      <c r="G1732" s="10" t="s">
        <v>1705</v>
      </c>
      <c r="H1732" s="11" t="s">
        <v>2045</v>
      </c>
      <c r="I1732" s="11" t="s">
        <v>2015</v>
      </c>
      <c r="J1732" s="12">
        <v>1.28</v>
      </c>
    </row>
    <row r="1733" spans="7:10" hidden="1" x14ac:dyDescent="0.3">
      <c r="G1733" s="7" t="s">
        <v>1706</v>
      </c>
      <c r="H1733" s="8" t="s">
        <v>2038</v>
      </c>
      <c r="I1733" s="8" t="s">
        <v>1979</v>
      </c>
      <c r="J1733" s="9">
        <v>0.53</v>
      </c>
    </row>
    <row r="1734" spans="7:10" hidden="1" x14ac:dyDescent="0.3">
      <c r="G1734" s="10" t="s">
        <v>1707</v>
      </c>
      <c r="H1734" s="11" t="s">
        <v>2038</v>
      </c>
      <c r="I1734" s="11" t="s">
        <v>1979</v>
      </c>
      <c r="J1734" s="12">
        <v>0.41</v>
      </c>
    </row>
    <row r="1735" spans="7:10" hidden="1" x14ac:dyDescent="0.3">
      <c r="G1735" s="7" t="s">
        <v>1708</v>
      </c>
      <c r="H1735" s="8" t="s">
        <v>2034</v>
      </c>
      <c r="I1735" s="8" t="s">
        <v>2002</v>
      </c>
      <c r="J1735" s="9">
        <v>1.75</v>
      </c>
    </row>
    <row r="1736" spans="7:10" hidden="1" x14ac:dyDescent="0.3">
      <c r="G1736" s="10" t="s">
        <v>1709</v>
      </c>
      <c r="H1736" s="11" t="s">
        <v>2036</v>
      </c>
      <c r="I1736" s="11" t="s">
        <v>1998</v>
      </c>
      <c r="J1736" s="12">
        <v>1.19</v>
      </c>
    </row>
    <row r="1737" spans="7:10" hidden="1" x14ac:dyDescent="0.3">
      <c r="G1737" s="7" t="s">
        <v>1710</v>
      </c>
      <c r="H1737" s="8" t="s">
        <v>2043</v>
      </c>
      <c r="I1737" s="8" t="s">
        <v>2029</v>
      </c>
      <c r="J1737" s="9">
        <v>5.4</v>
      </c>
    </row>
    <row r="1738" spans="7:10" hidden="1" x14ac:dyDescent="0.3">
      <c r="G1738" s="10" t="s">
        <v>1711</v>
      </c>
      <c r="H1738" s="11" t="s">
        <v>2038</v>
      </c>
      <c r="I1738" s="11" t="s">
        <v>2030</v>
      </c>
      <c r="J1738" s="12">
        <v>2.95</v>
      </c>
    </row>
    <row r="1739" spans="7:10" hidden="1" x14ac:dyDescent="0.3">
      <c r="G1739" s="7" t="s">
        <v>1712</v>
      </c>
      <c r="H1739" s="8" t="s">
        <v>2034</v>
      </c>
      <c r="I1739" s="8" t="s">
        <v>2022</v>
      </c>
      <c r="J1739" s="9">
        <v>1.5</v>
      </c>
    </row>
    <row r="1740" spans="7:10" hidden="1" x14ac:dyDescent="0.3">
      <c r="G1740" s="10" t="s">
        <v>1713</v>
      </c>
      <c r="H1740" s="11" t="s">
        <v>2061</v>
      </c>
      <c r="I1740" s="11" t="s">
        <v>1979</v>
      </c>
      <c r="J1740" s="12">
        <v>1.64</v>
      </c>
    </row>
    <row r="1741" spans="7:10" hidden="1" x14ac:dyDescent="0.3">
      <c r="G1741" s="7" t="s">
        <v>1714</v>
      </c>
      <c r="H1741" s="8" t="s">
        <v>2074</v>
      </c>
      <c r="I1741" s="8" t="s">
        <v>1979</v>
      </c>
      <c r="J1741" s="9">
        <v>0.98</v>
      </c>
    </row>
    <row r="1742" spans="7:10" hidden="1" x14ac:dyDescent="0.3">
      <c r="G1742" s="10" t="s">
        <v>1715</v>
      </c>
      <c r="H1742" s="11" t="s">
        <v>2034</v>
      </c>
      <c r="I1742" s="11" t="s">
        <v>1999</v>
      </c>
      <c r="J1742" s="12">
        <v>0.54</v>
      </c>
    </row>
    <row r="1743" spans="7:10" hidden="1" x14ac:dyDescent="0.3">
      <c r="G1743" s="7" t="s">
        <v>1716</v>
      </c>
      <c r="H1743" s="8" t="s">
        <v>2066</v>
      </c>
      <c r="I1743" s="8" t="s">
        <v>2022</v>
      </c>
      <c r="J1743" s="9">
        <v>4.53</v>
      </c>
    </row>
    <row r="1744" spans="7:10" hidden="1" x14ac:dyDescent="0.3">
      <c r="G1744" s="10" t="s">
        <v>1717</v>
      </c>
      <c r="H1744" s="11" t="s">
        <v>2036</v>
      </c>
      <c r="I1744" s="11" t="s">
        <v>1993</v>
      </c>
      <c r="J1744" s="12">
        <v>8.61</v>
      </c>
    </row>
    <row r="1745" spans="7:10" hidden="1" x14ac:dyDescent="0.3">
      <c r="G1745" s="7" t="s">
        <v>1718</v>
      </c>
      <c r="H1745" s="8" t="s">
        <v>2034</v>
      </c>
      <c r="I1745" s="8" t="s">
        <v>1998</v>
      </c>
      <c r="J1745" s="9">
        <v>1.5</v>
      </c>
    </row>
    <row r="1746" spans="7:10" hidden="1" x14ac:dyDescent="0.3">
      <c r="G1746" s="10" t="s">
        <v>1719</v>
      </c>
      <c r="H1746" s="11" t="s">
        <v>2038</v>
      </c>
      <c r="I1746" s="11" t="s">
        <v>1979</v>
      </c>
      <c r="J1746" s="12">
        <v>0.43</v>
      </c>
    </row>
    <row r="1747" spans="7:10" hidden="1" x14ac:dyDescent="0.3">
      <c r="G1747" s="7" t="s">
        <v>1720</v>
      </c>
      <c r="H1747" s="8" t="s">
        <v>2035</v>
      </c>
      <c r="I1747" s="8" t="s">
        <v>2017</v>
      </c>
      <c r="J1747" s="9">
        <v>3.77</v>
      </c>
    </row>
    <row r="1748" spans="7:10" hidden="1" x14ac:dyDescent="0.3">
      <c r="G1748" s="10" t="s">
        <v>1721</v>
      </c>
      <c r="H1748" s="11" t="s">
        <v>2044</v>
      </c>
      <c r="I1748" s="11" t="s">
        <v>2022</v>
      </c>
      <c r="J1748" s="12">
        <v>9.73</v>
      </c>
    </row>
    <row r="1749" spans="7:10" hidden="1" x14ac:dyDescent="0.3">
      <c r="G1749" s="7" t="s">
        <v>1722</v>
      </c>
      <c r="H1749" s="8" t="s">
        <v>2034</v>
      </c>
      <c r="I1749" s="8" t="s">
        <v>2022</v>
      </c>
      <c r="J1749" s="9">
        <v>4</v>
      </c>
    </row>
    <row r="1750" spans="7:10" hidden="1" x14ac:dyDescent="0.3">
      <c r="G1750" s="10" t="s">
        <v>1723</v>
      </c>
      <c r="H1750" s="11" t="s">
        <v>2038</v>
      </c>
      <c r="I1750" s="11" t="s">
        <v>1979</v>
      </c>
      <c r="J1750" s="12">
        <v>0.56999999999999995</v>
      </c>
    </row>
    <row r="1751" spans="7:10" hidden="1" x14ac:dyDescent="0.3">
      <c r="G1751" s="7" t="s">
        <v>1724</v>
      </c>
      <c r="H1751" s="8" t="s">
        <v>2038</v>
      </c>
      <c r="I1751" s="8" t="s">
        <v>2026</v>
      </c>
      <c r="J1751" s="9">
        <v>2.99</v>
      </c>
    </row>
    <row r="1752" spans="7:10" hidden="1" x14ac:dyDescent="0.3">
      <c r="G1752" s="10" t="s">
        <v>1725</v>
      </c>
      <c r="H1752" s="11" t="s">
        <v>2035</v>
      </c>
      <c r="I1752" s="11" t="s">
        <v>2017</v>
      </c>
      <c r="J1752" s="12">
        <v>2.4300000000000002</v>
      </c>
    </row>
    <row r="1753" spans="7:10" hidden="1" x14ac:dyDescent="0.3">
      <c r="G1753" s="7" t="s">
        <v>1726</v>
      </c>
      <c r="H1753" s="8" t="s">
        <v>2036</v>
      </c>
      <c r="I1753" s="8" t="s">
        <v>1998</v>
      </c>
      <c r="J1753" s="9">
        <v>1.2</v>
      </c>
    </row>
    <row r="1754" spans="7:10" hidden="1" x14ac:dyDescent="0.3">
      <c r="G1754" s="10" t="s">
        <v>1727</v>
      </c>
      <c r="H1754" s="11" t="s">
        <v>1975</v>
      </c>
      <c r="I1754" s="11" t="s">
        <v>2001</v>
      </c>
      <c r="J1754" s="12">
        <v>1.96</v>
      </c>
    </row>
    <row r="1755" spans="7:10" hidden="1" x14ac:dyDescent="0.3">
      <c r="G1755" s="7" t="s">
        <v>1728</v>
      </c>
      <c r="H1755" s="8" t="s">
        <v>2066</v>
      </c>
      <c r="I1755" s="8" t="s">
        <v>1978</v>
      </c>
      <c r="J1755" s="9">
        <v>2.0099999999999998</v>
      </c>
    </row>
    <row r="1756" spans="7:10" hidden="1" x14ac:dyDescent="0.3">
      <c r="G1756" s="10" t="s">
        <v>1729</v>
      </c>
      <c r="H1756" s="11" t="s">
        <v>2038</v>
      </c>
      <c r="I1756" s="11" t="s">
        <v>2029</v>
      </c>
      <c r="J1756" s="12">
        <v>9.61</v>
      </c>
    </row>
    <row r="1757" spans="7:10" hidden="1" x14ac:dyDescent="0.3">
      <c r="G1757" s="7" t="s">
        <v>1730</v>
      </c>
      <c r="H1757" s="8" t="s">
        <v>2034</v>
      </c>
      <c r="I1757" s="8" t="s">
        <v>1998</v>
      </c>
      <c r="J1757" s="9">
        <v>1.52</v>
      </c>
    </row>
    <row r="1758" spans="7:10" hidden="1" x14ac:dyDescent="0.3">
      <c r="G1758" s="10" t="s">
        <v>1731</v>
      </c>
      <c r="H1758" s="11" t="s">
        <v>2038</v>
      </c>
      <c r="I1758" s="11" t="s">
        <v>1979</v>
      </c>
      <c r="J1758" s="12">
        <v>0.44</v>
      </c>
    </row>
    <row r="1759" spans="7:10" hidden="1" x14ac:dyDescent="0.3">
      <c r="G1759" s="7" t="s">
        <v>1732</v>
      </c>
      <c r="H1759" s="8" t="s">
        <v>2038</v>
      </c>
      <c r="I1759" s="8" t="s">
        <v>1979</v>
      </c>
      <c r="J1759" s="9">
        <v>0.39</v>
      </c>
    </row>
    <row r="1760" spans="7:10" hidden="1" x14ac:dyDescent="0.3">
      <c r="G1760" s="10" t="s">
        <v>1733</v>
      </c>
      <c r="H1760" s="11" t="s">
        <v>2064</v>
      </c>
      <c r="I1760" s="11" t="s">
        <v>1998</v>
      </c>
      <c r="J1760" s="12">
        <v>9.58</v>
      </c>
    </row>
    <row r="1761" spans="7:10" hidden="1" x14ac:dyDescent="0.3">
      <c r="G1761" s="7" t="s">
        <v>1734</v>
      </c>
      <c r="H1761" s="8" t="s">
        <v>2034</v>
      </c>
      <c r="I1761" s="8" t="s">
        <v>2031</v>
      </c>
      <c r="J1761" s="9">
        <v>5.0999999999999996</v>
      </c>
    </row>
    <row r="1762" spans="7:10" hidden="1" x14ac:dyDescent="0.3">
      <c r="G1762" s="10" t="s">
        <v>1735</v>
      </c>
      <c r="H1762" s="11" t="s">
        <v>2036</v>
      </c>
      <c r="I1762" s="11" t="s">
        <v>1986</v>
      </c>
      <c r="J1762" s="12">
        <v>6.96</v>
      </c>
    </row>
    <row r="1763" spans="7:10" hidden="1" x14ac:dyDescent="0.3">
      <c r="G1763" s="7" t="s">
        <v>1736</v>
      </c>
      <c r="H1763" s="8" t="s">
        <v>2061</v>
      </c>
      <c r="I1763" s="8" t="s">
        <v>1979</v>
      </c>
      <c r="J1763" s="9">
        <v>1.53</v>
      </c>
    </row>
    <row r="1764" spans="7:10" hidden="1" x14ac:dyDescent="0.3">
      <c r="G1764" s="10" t="s">
        <v>1737</v>
      </c>
      <c r="H1764" s="11" t="s">
        <v>2038</v>
      </c>
      <c r="I1764" s="11" t="s">
        <v>1979</v>
      </c>
      <c r="J1764" s="12">
        <v>0.44</v>
      </c>
    </row>
    <row r="1765" spans="7:10" hidden="1" x14ac:dyDescent="0.3">
      <c r="G1765" s="7" t="s">
        <v>1738</v>
      </c>
      <c r="H1765" s="8" t="s">
        <v>2038</v>
      </c>
      <c r="I1765" s="8" t="s">
        <v>2029</v>
      </c>
      <c r="J1765" s="9">
        <v>9.41</v>
      </c>
    </row>
    <row r="1766" spans="7:10" hidden="1" x14ac:dyDescent="0.3">
      <c r="G1766" s="10" t="s">
        <v>1739</v>
      </c>
      <c r="H1766" s="11" t="s">
        <v>2034</v>
      </c>
      <c r="I1766" s="11" t="s">
        <v>2022</v>
      </c>
      <c r="J1766" s="12">
        <v>3.1</v>
      </c>
    </row>
    <row r="1767" spans="7:10" hidden="1" x14ac:dyDescent="0.3">
      <c r="G1767" s="7" t="s">
        <v>1740</v>
      </c>
      <c r="H1767" s="8" t="s">
        <v>2034</v>
      </c>
      <c r="I1767" s="8" t="s">
        <v>2015</v>
      </c>
      <c r="J1767" s="9">
        <v>5.65</v>
      </c>
    </row>
    <row r="1768" spans="7:10" hidden="1" x14ac:dyDescent="0.3">
      <c r="G1768" s="10" t="s">
        <v>1995</v>
      </c>
      <c r="H1768" s="11" t="s">
        <v>2085</v>
      </c>
      <c r="I1768" s="11" t="s">
        <v>1993</v>
      </c>
      <c r="J1768" s="12">
        <v>1.41</v>
      </c>
    </row>
    <row r="1769" spans="7:10" hidden="1" x14ac:dyDescent="0.3">
      <c r="G1769" s="7" t="s">
        <v>1741</v>
      </c>
      <c r="H1769" s="8" t="s">
        <v>2053</v>
      </c>
      <c r="I1769" s="8" t="s">
        <v>1993</v>
      </c>
      <c r="J1769" s="9">
        <v>3.83</v>
      </c>
    </row>
    <row r="1770" spans="7:10" hidden="1" x14ac:dyDescent="0.3">
      <c r="G1770" s="10" t="s">
        <v>1742</v>
      </c>
      <c r="H1770" s="11" t="s">
        <v>2089</v>
      </c>
      <c r="I1770" s="11" t="s">
        <v>1979</v>
      </c>
      <c r="J1770" s="12">
        <v>0.93</v>
      </c>
    </row>
    <row r="1771" spans="7:10" x14ac:dyDescent="0.3">
      <c r="G1771" s="10" t="s">
        <v>835</v>
      </c>
      <c r="H1771" s="11" t="s">
        <v>2047</v>
      </c>
      <c r="I1771" s="11" t="s">
        <v>2027</v>
      </c>
      <c r="J1771" s="12">
        <v>10.59</v>
      </c>
    </row>
    <row r="1772" spans="7:10" hidden="1" x14ac:dyDescent="0.3">
      <c r="G1772" s="10" t="s">
        <v>1744</v>
      </c>
      <c r="H1772" s="11" t="s">
        <v>2034</v>
      </c>
      <c r="I1772" s="11" t="s">
        <v>2022</v>
      </c>
      <c r="J1772" s="12">
        <v>3.96</v>
      </c>
    </row>
    <row r="1773" spans="7:10" hidden="1" x14ac:dyDescent="0.3">
      <c r="G1773" s="7" t="s">
        <v>1745</v>
      </c>
      <c r="H1773" s="8" t="s">
        <v>2038</v>
      </c>
      <c r="I1773" s="8" t="s">
        <v>1979</v>
      </c>
      <c r="J1773" s="9">
        <v>0.43</v>
      </c>
    </row>
    <row r="1774" spans="7:10" hidden="1" x14ac:dyDescent="0.3">
      <c r="G1774" s="10" t="s">
        <v>1746</v>
      </c>
      <c r="H1774" s="11" t="s">
        <v>2034</v>
      </c>
      <c r="I1774" s="11" t="s">
        <v>2028</v>
      </c>
      <c r="J1774" s="12">
        <v>1.75</v>
      </c>
    </row>
    <row r="1775" spans="7:10" hidden="1" x14ac:dyDescent="0.3">
      <c r="G1775" s="7" t="s">
        <v>1747</v>
      </c>
      <c r="H1775" s="8" t="s">
        <v>2035</v>
      </c>
      <c r="I1775" s="8" t="s">
        <v>2031</v>
      </c>
      <c r="J1775" s="9">
        <v>3.19</v>
      </c>
    </row>
    <row r="1776" spans="7:10" hidden="1" x14ac:dyDescent="0.3">
      <c r="G1776" s="10" t="s">
        <v>1748</v>
      </c>
      <c r="H1776" s="11" t="s">
        <v>2076</v>
      </c>
      <c r="I1776" s="11" t="s">
        <v>1979</v>
      </c>
      <c r="J1776" s="12">
        <v>1.33</v>
      </c>
    </row>
    <row r="1777" spans="7:10" x14ac:dyDescent="0.3">
      <c r="G1777" s="10" t="s">
        <v>1455</v>
      </c>
      <c r="H1777" s="11" t="s">
        <v>2047</v>
      </c>
      <c r="I1777" s="11" t="s">
        <v>2027</v>
      </c>
      <c r="J1777" s="12">
        <v>1.4</v>
      </c>
    </row>
    <row r="1778" spans="7:10" hidden="1" x14ac:dyDescent="0.3">
      <c r="G1778" s="10" t="s">
        <v>1750</v>
      </c>
      <c r="H1778" s="11" t="s">
        <v>2045</v>
      </c>
      <c r="I1778" s="11" t="s">
        <v>2030</v>
      </c>
      <c r="J1778" s="12">
        <v>2.7</v>
      </c>
    </row>
    <row r="1779" spans="7:10" hidden="1" x14ac:dyDescent="0.3">
      <c r="G1779" s="7" t="s">
        <v>1751</v>
      </c>
      <c r="H1779" s="8" t="s">
        <v>2066</v>
      </c>
      <c r="I1779" s="8" t="s">
        <v>2017</v>
      </c>
      <c r="J1779" s="9">
        <v>0.6</v>
      </c>
    </row>
    <row r="1780" spans="7:10" hidden="1" x14ac:dyDescent="0.3">
      <c r="G1780" s="10" t="s">
        <v>1752</v>
      </c>
      <c r="H1780" s="11" t="s">
        <v>2038</v>
      </c>
      <c r="I1780" s="11" t="s">
        <v>1986</v>
      </c>
      <c r="J1780" s="12">
        <v>6.01</v>
      </c>
    </row>
    <row r="1781" spans="7:10" hidden="1" x14ac:dyDescent="0.3">
      <c r="G1781" s="7" t="s">
        <v>1753</v>
      </c>
      <c r="H1781" s="8" t="s">
        <v>2034</v>
      </c>
      <c r="I1781" s="8" t="s">
        <v>2002</v>
      </c>
      <c r="J1781" s="9">
        <v>4.6399999999999997</v>
      </c>
    </row>
    <row r="1782" spans="7:10" x14ac:dyDescent="0.3">
      <c r="G1782" s="10" t="s">
        <v>291</v>
      </c>
      <c r="H1782" s="11" t="s">
        <v>2047</v>
      </c>
      <c r="I1782" s="11" t="s">
        <v>1998</v>
      </c>
      <c r="J1782" s="12">
        <v>20.27</v>
      </c>
    </row>
    <row r="1783" spans="7:10" hidden="1" x14ac:dyDescent="0.3">
      <c r="G1783" s="7" t="s">
        <v>1754</v>
      </c>
      <c r="H1783" s="8" t="s">
        <v>2057</v>
      </c>
      <c r="I1783" s="8" t="s">
        <v>1998</v>
      </c>
      <c r="J1783" s="9">
        <v>0.57999999999999996</v>
      </c>
    </row>
    <row r="1784" spans="7:10" hidden="1" x14ac:dyDescent="0.3">
      <c r="G1784" s="10" t="s">
        <v>1755</v>
      </c>
      <c r="H1784" s="11" t="s">
        <v>2041</v>
      </c>
      <c r="I1784" s="11" t="s">
        <v>2017</v>
      </c>
      <c r="J1784" s="12">
        <v>2.83</v>
      </c>
    </row>
    <row r="1785" spans="7:10" hidden="1" x14ac:dyDescent="0.3">
      <c r="G1785" s="7" t="s">
        <v>1756</v>
      </c>
      <c r="H1785" s="8" t="s">
        <v>2043</v>
      </c>
      <c r="I1785" s="8" t="s">
        <v>1979</v>
      </c>
      <c r="J1785" s="9">
        <v>1.17</v>
      </c>
    </row>
    <row r="1786" spans="7:10" hidden="1" x14ac:dyDescent="0.3">
      <c r="G1786" s="10" t="s">
        <v>1757</v>
      </c>
      <c r="H1786" s="11" t="s">
        <v>2034</v>
      </c>
      <c r="I1786" s="11" t="s">
        <v>1998</v>
      </c>
      <c r="J1786" s="12">
        <v>1</v>
      </c>
    </row>
    <row r="1787" spans="7:10" hidden="1" x14ac:dyDescent="0.3">
      <c r="G1787" s="7" t="s">
        <v>1758</v>
      </c>
      <c r="H1787" s="8" t="s">
        <v>2034</v>
      </c>
      <c r="I1787" s="8" t="s">
        <v>2015</v>
      </c>
      <c r="J1787" s="9">
        <v>2.6</v>
      </c>
    </row>
    <row r="1788" spans="7:10" hidden="1" x14ac:dyDescent="0.3">
      <c r="G1788" s="10" t="s">
        <v>1759</v>
      </c>
      <c r="H1788" s="11" t="s">
        <v>2043</v>
      </c>
      <c r="I1788" s="11" t="s">
        <v>2004</v>
      </c>
      <c r="J1788" s="12">
        <v>5.5</v>
      </c>
    </row>
    <row r="1789" spans="7:10" hidden="1" x14ac:dyDescent="0.3">
      <c r="G1789" s="7" t="s">
        <v>1760</v>
      </c>
      <c r="H1789" s="8" t="s">
        <v>2034</v>
      </c>
      <c r="I1789" s="8" t="s">
        <v>2002</v>
      </c>
      <c r="J1789" s="9">
        <v>3.86</v>
      </c>
    </row>
    <row r="1790" spans="7:10" hidden="1" x14ac:dyDescent="0.3">
      <c r="G1790" s="10" t="s">
        <v>1761</v>
      </c>
      <c r="H1790" s="11" t="s">
        <v>2038</v>
      </c>
      <c r="I1790" s="11" t="s">
        <v>1979</v>
      </c>
      <c r="J1790" s="12">
        <v>0.43</v>
      </c>
    </row>
    <row r="1791" spans="7:10" hidden="1" x14ac:dyDescent="0.3">
      <c r="G1791" s="7" t="s">
        <v>1762</v>
      </c>
      <c r="H1791" s="8" t="s">
        <v>2038</v>
      </c>
      <c r="I1791" s="8" t="s">
        <v>2029</v>
      </c>
      <c r="J1791" s="9">
        <v>8.7100000000000009</v>
      </c>
    </row>
    <row r="1792" spans="7:10" hidden="1" x14ac:dyDescent="0.3">
      <c r="G1792" s="10" t="s">
        <v>1763</v>
      </c>
      <c r="H1792" s="11" t="s">
        <v>2079</v>
      </c>
      <c r="I1792" s="11" t="s">
        <v>2015</v>
      </c>
      <c r="J1792" s="12">
        <v>1.38</v>
      </c>
    </row>
    <row r="1793" spans="7:10" hidden="1" x14ac:dyDescent="0.3">
      <c r="G1793" s="7" t="s">
        <v>1764</v>
      </c>
      <c r="H1793" s="8" t="s">
        <v>2065</v>
      </c>
      <c r="I1793" s="8" t="s">
        <v>1979</v>
      </c>
      <c r="J1793" s="9">
        <v>0.43</v>
      </c>
    </row>
    <row r="1794" spans="7:10" hidden="1" x14ac:dyDescent="0.3">
      <c r="G1794" s="10" t="s">
        <v>1765</v>
      </c>
      <c r="H1794" s="11" t="s">
        <v>2038</v>
      </c>
      <c r="I1794" s="11" t="s">
        <v>1979</v>
      </c>
      <c r="J1794" s="12">
        <v>0.38</v>
      </c>
    </row>
    <row r="1795" spans="7:10" hidden="1" x14ac:dyDescent="0.3">
      <c r="G1795" s="7" t="s">
        <v>1766</v>
      </c>
      <c r="H1795" s="8" t="s">
        <v>2057</v>
      </c>
      <c r="I1795" s="8" t="s">
        <v>1993</v>
      </c>
      <c r="J1795" s="9">
        <v>0.65</v>
      </c>
    </row>
    <row r="1796" spans="7:10" hidden="1" x14ac:dyDescent="0.3">
      <c r="G1796" s="10" t="s">
        <v>1767</v>
      </c>
      <c r="H1796" s="11" t="s">
        <v>2040</v>
      </c>
      <c r="I1796" s="11" t="s">
        <v>1987</v>
      </c>
      <c r="J1796" s="12">
        <v>2.36</v>
      </c>
    </row>
    <row r="1797" spans="7:10" hidden="1" x14ac:dyDescent="0.3">
      <c r="G1797" s="7" t="s">
        <v>1768</v>
      </c>
      <c r="H1797" s="8" t="s">
        <v>2034</v>
      </c>
      <c r="I1797" s="8" t="s">
        <v>2000</v>
      </c>
      <c r="J1797" s="9">
        <v>8.58</v>
      </c>
    </row>
    <row r="1798" spans="7:10" hidden="1" x14ac:dyDescent="0.3">
      <c r="G1798" s="10" t="s">
        <v>1769</v>
      </c>
      <c r="H1798" s="11" t="s">
        <v>2061</v>
      </c>
      <c r="I1798" s="11" t="s">
        <v>1979</v>
      </c>
      <c r="J1798" s="12">
        <v>0.93</v>
      </c>
    </row>
    <row r="1799" spans="7:10" hidden="1" x14ac:dyDescent="0.3">
      <c r="G1799" s="7" t="s">
        <v>1770</v>
      </c>
      <c r="H1799" s="8" t="s">
        <v>2034</v>
      </c>
      <c r="I1799" s="8" t="s">
        <v>2022</v>
      </c>
      <c r="J1799" s="9">
        <v>8.5500000000000007</v>
      </c>
    </row>
    <row r="1800" spans="7:10" hidden="1" x14ac:dyDescent="0.3">
      <c r="G1800" s="10" t="s">
        <v>1771</v>
      </c>
      <c r="H1800" s="11" t="s">
        <v>2038</v>
      </c>
      <c r="I1800" s="11" t="s">
        <v>1988</v>
      </c>
      <c r="J1800" s="12">
        <v>3.31</v>
      </c>
    </row>
    <row r="1801" spans="7:10" hidden="1" x14ac:dyDescent="0.3">
      <c r="G1801" s="7" t="s">
        <v>1772</v>
      </c>
      <c r="H1801" s="8" t="s">
        <v>2034</v>
      </c>
      <c r="I1801" s="8" t="s">
        <v>2017</v>
      </c>
      <c r="J1801" s="9">
        <v>0.34</v>
      </c>
    </row>
    <row r="1802" spans="7:10" hidden="1" x14ac:dyDescent="0.3">
      <c r="G1802" s="10" t="s">
        <v>1773</v>
      </c>
      <c r="H1802" s="11" t="s">
        <v>2042</v>
      </c>
      <c r="I1802" s="11" t="s">
        <v>2031</v>
      </c>
      <c r="J1802" s="12">
        <v>2.4</v>
      </c>
    </row>
    <row r="1803" spans="7:10" x14ac:dyDescent="0.3">
      <c r="G1803" s="7" t="s">
        <v>400</v>
      </c>
      <c r="H1803" s="8" t="s">
        <v>2047</v>
      </c>
      <c r="I1803" s="8" t="s">
        <v>1998</v>
      </c>
      <c r="J1803" s="9">
        <v>5.99</v>
      </c>
    </row>
    <row r="1804" spans="7:10" hidden="1" x14ac:dyDescent="0.3">
      <c r="G1804" s="10" t="s">
        <v>1775</v>
      </c>
      <c r="H1804" s="11" t="s">
        <v>2065</v>
      </c>
      <c r="I1804" s="11" t="s">
        <v>1979</v>
      </c>
      <c r="J1804" s="12">
        <v>0.63</v>
      </c>
    </row>
    <row r="1805" spans="7:10" hidden="1" x14ac:dyDescent="0.3">
      <c r="G1805" s="7" t="s">
        <v>1776</v>
      </c>
      <c r="H1805" s="8" t="s">
        <v>2034</v>
      </c>
      <c r="I1805" s="8" t="s">
        <v>2027</v>
      </c>
      <c r="J1805" s="9">
        <v>1.2</v>
      </c>
    </row>
    <row r="1806" spans="7:10" hidden="1" x14ac:dyDescent="0.3">
      <c r="G1806" s="10" t="s">
        <v>1777</v>
      </c>
      <c r="H1806" s="11" t="s">
        <v>2037</v>
      </c>
      <c r="I1806" s="11" t="s">
        <v>1979</v>
      </c>
      <c r="J1806" s="12">
        <v>0.62</v>
      </c>
    </row>
    <row r="1807" spans="7:10" hidden="1" x14ac:dyDescent="0.3">
      <c r="G1807" s="7" t="s">
        <v>1778</v>
      </c>
      <c r="H1807" s="8" t="s">
        <v>2034</v>
      </c>
      <c r="I1807" s="8" t="s">
        <v>2004</v>
      </c>
      <c r="J1807" s="9">
        <v>3</v>
      </c>
    </row>
    <row r="1808" spans="7:10" hidden="1" x14ac:dyDescent="0.3">
      <c r="G1808" s="10" t="s">
        <v>1779</v>
      </c>
      <c r="H1808" s="11" t="s">
        <v>2037</v>
      </c>
      <c r="I1808" s="11" t="s">
        <v>1999</v>
      </c>
      <c r="J1808" s="12">
        <v>2.2200000000000002</v>
      </c>
    </row>
    <row r="1809" spans="7:10" hidden="1" x14ac:dyDescent="0.3">
      <c r="G1809" s="7" t="s">
        <v>1780</v>
      </c>
      <c r="H1809" s="8" t="s">
        <v>2035</v>
      </c>
      <c r="I1809" s="8" t="s">
        <v>2001</v>
      </c>
      <c r="J1809" s="9">
        <v>3.13</v>
      </c>
    </row>
    <row r="1810" spans="7:10" hidden="1" x14ac:dyDescent="0.3">
      <c r="G1810" s="10" t="s">
        <v>1781</v>
      </c>
      <c r="H1810" s="11" t="s">
        <v>2065</v>
      </c>
      <c r="I1810" s="11" t="s">
        <v>2025</v>
      </c>
      <c r="J1810" s="12">
        <v>1.42</v>
      </c>
    </row>
    <row r="1811" spans="7:10" hidden="1" x14ac:dyDescent="0.3">
      <c r="G1811" s="7" t="s">
        <v>2020</v>
      </c>
      <c r="H1811" s="8" t="s">
        <v>2034</v>
      </c>
      <c r="I1811" s="8" t="s">
        <v>2017</v>
      </c>
      <c r="J1811" s="9">
        <v>0.99</v>
      </c>
    </row>
    <row r="1812" spans="7:10" hidden="1" x14ac:dyDescent="0.3">
      <c r="G1812" s="10" t="s">
        <v>1782</v>
      </c>
      <c r="H1812" s="11" t="s">
        <v>2040</v>
      </c>
      <c r="I1812" s="11" t="s">
        <v>2031</v>
      </c>
      <c r="J1812" s="12">
        <v>1.02</v>
      </c>
    </row>
    <row r="1813" spans="7:10" hidden="1" x14ac:dyDescent="0.3">
      <c r="G1813" s="7" t="s">
        <v>1783</v>
      </c>
      <c r="H1813" s="8" t="s">
        <v>2038</v>
      </c>
      <c r="I1813" s="8" t="s">
        <v>1979</v>
      </c>
      <c r="J1813" s="9">
        <v>0.38</v>
      </c>
    </row>
    <row r="1814" spans="7:10" x14ac:dyDescent="0.3">
      <c r="G1814" s="7" t="s">
        <v>1648</v>
      </c>
      <c r="H1814" s="8" t="s">
        <v>2047</v>
      </c>
      <c r="I1814" s="8" t="s">
        <v>1998</v>
      </c>
      <c r="J1814" s="9">
        <v>0.86</v>
      </c>
    </row>
    <row r="1815" spans="7:10" hidden="1" x14ac:dyDescent="0.3">
      <c r="G1815" s="7" t="s">
        <v>1785</v>
      </c>
      <c r="H1815" s="8" t="s">
        <v>2034</v>
      </c>
      <c r="I1815" s="8" t="s">
        <v>2030</v>
      </c>
      <c r="J1815" s="9">
        <v>1</v>
      </c>
    </row>
    <row r="1816" spans="7:10" hidden="1" x14ac:dyDescent="0.3">
      <c r="G1816" s="10" t="s">
        <v>1786</v>
      </c>
      <c r="H1816" s="11" t="s">
        <v>2064</v>
      </c>
      <c r="I1816" s="11" t="s">
        <v>1993</v>
      </c>
      <c r="J1816" s="12">
        <v>1.98</v>
      </c>
    </row>
    <row r="1817" spans="7:10" hidden="1" x14ac:dyDescent="0.3">
      <c r="G1817" s="7" t="s">
        <v>1787</v>
      </c>
      <c r="H1817" s="8" t="s">
        <v>2063</v>
      </c>
      <c r="I1817" s="8" t="s">
        <v>2015</v>
      </c>
      <c r="J1817" s="9">
        <v>1.77</v>
      </c>
    </row>
    <row r="1818" spans="7:10" hidden="1" x14ac:dyDescent="0.3">
      <c r="G1818" s="10" t="s">
        <v>1788</v>
      </c>
      <c r="H1818" s="11" t="s">
        <v>2041</v>
      </c>
      <c r="I1818" s="11" t="s">
        <v>2001</v>
      </c>
      <c r="J1818" s="12">
        <v>8.2899999999999991</v>
      </c>
    </row>
    <row r="1819" spans="7:10" hidden="1" x14ac:dyDescent="0.3">
      <c r="G1819" s="7" t="s">
        <v>1789</v>
      </c>
      <c r="H1819" s="8" t="s">
        <v>2076</v>
      </c>
      <c r="I1819" s="8" t="s">
        <v>1998</v>
      </c>
      <c r="J1819" s="9">
        <v>2.65</v>
      </c>
    </row>
    <row r="1820" spans="7:10" hidden="1" x14ac:dyDescent="0.3">
      <c r="G1820" s="10" t="s">
        <v>1790</v>
      </c>
      <c r="H1820" s="11" t="s">
        <v>2080</v>
      </c>
      <c r="I1820" s="11" t="s">
        <v>1979</v>
      </c>
      <c r="J1820" s="12">
        <v>1.35</v>
      </c>
    </row>
    <row r="1821" spans="7:10" hidden="1" x14ac:dyDescent="0.3">
      <c r="G1821" s="7" t="s">
        <v>1791</v>
      </c>
      <c r="H1821" s="8" t="s">
        <v>2035</v>
      </c>
      <c r="I1821" s="8" t="s">
        <v>1986</v>
      </c>
      <c r="J1821" s="9">
        <v>2.94</v>
      </c>
    </row>
    <row r="1822" spans="7:10" hidden="1" x14ac:dyDescent="0.3">
      <c r="G1822" s="10" t="s">
        <v>1792</v>
      </c>
      <c r="H1822" s="11" t="s">
        <v>2049</v>
      </c>
      <c r="I1822" s="11" t="s">
        <v>2015</v>
      </c>
      <c r="J1822" s="12">
        <v>3.81</v>
      </c>
    </row>
    <row r="1823" spans="7:10" hidden="1" x14ac:dyDescent="0.3">
      <c r="G1823" s="7" t="s">
        <v>1793</v>
      </c>
      <c r="H1823" s="8" t="s">
        <v>2067</v>
      </c>
      <c r="I1823" s="8" t="s">
        <v>1979</v>
      </c>
      <c r="J1823" s="9">
        <v>0.56999999999999995</v>
      </c>
    </row>
    <row r="1824" spans="7:10" hidden="1" x14ac:dyDescent="0.3">
      <c r="G1824" s="10" t="s">
        <v>1794</v>
      </c>
      <c r="H1824" s="11" t="s">
        <v>2034</v>
      </c>
      <c r="I1824" s="11" t="s">
        <v>1986</v>
      </c>
      <c r="J1824" s="12">
        <v>0.89</v>
      </c>
    </row>
    <row r="1825" spans="7:10" hidden="1" x14ac:dyDescent="0.3">
      <c r="G1825" s="7" t="s">
        <v>1795</v>
      </c>
      <c r="H1825" s="8" t="s">
        <v>2061</v>
      </c>
      <c r="I1825" s="8" t="s">
        <v>2015</v>
      </c>
      <c r="J1825" s="9">
        <v>2.2599999999999998</v>
      </c>
    </row>
    <row r="1826" spans="7:10" hidden="1" x14ac:dyDescent="0.3">
      <c r="G1826" s="10" t="s">
        <v>1996</v>
      </c>
      <c r="H1826" s="11" t="s">
        <v>2038</v>
      </c>
      <c r="I1826" s="11" t="s">
        <v>1993</v>
      </c>
      <c r="J1826" s="12">
        <v>4.2</v>
      </c>
    </row>
    <row r="1827" spans="7:10" hidden="1" x14ac:dyDescent="0.3">
      <c r="G1827" s="7" t="s">
        <v>1796</v>
      </c>
      <c r="H1827" s="8" t="s">
        <v>2034</v>
      </c>
      <c r="I1827" s="8" t="s">
        <v>2030</v>
      </c>
      <c r="J1827" s="9">
        <v>4.17</v>
      </c>
    </row>
    <row r="1828" spans="7:10" hidden="1" x14ac:dyDescent="0.3">
      <c r="G1828" s="10" t="s">
        <v>1797</v>
      </c>
      <c r="H1828" s="11" t="s">
        <v>2034</v>
      </c>
      <c r="I1828" s="11" t="s">
        <v>1986</v>
      </c>
      <c r="J1828" s="12">
        <v>1.44</v>
      </c>
    </row>
    <row r="1829" spans="7:10" hidden="1" x14ac:dyDescent="0.3">
      <c r="G1829" s="7" t="s">
        <v>1798</v>
      </c>
      <c r="H1829" s="8" t="s">
        <v>2038</v>
      </c>
      <c r="I1829" s="8" t="s">
        <v>1979</v>
      </c>
      <c r="J1829" s="9">
        <v>0.4</v>
      </c>
    </row>
    <row r="1830" spans="7:10" hidden="1" x14ac:dyDescent="0.3">
      <c r="G1830" s="10" t="s">
        <v>1799</v>
      </c>
      <c r="H1830" s="11" t="s">
        <v>2043</v>
      </c>
      <c r="I1830" s="11" t="s">
        <v>1979</v>
      </c>
      <c r="J1830" s="12">
        <v>1.07</v>
      </c>
    </row>
    <row r="1831" spans="7:10" hidden="1" x14ac:dyDescent="0.3">
      <c r="G1831" s="7" t="s">
        <v>1800</v>
      </c>
      <c r="H1831" s="8" t="s">
        <v>2038</v>
      </c>
      <c r="I1831" s="8" t="s">
        <v>1998</v>
      </c>
      <c r="J1831" s="9">
        <v>3.32</v>
      </c>
    </row>
    <row r="1832" spans="7:10" hidden="1" x14ac:dyDescent="0.3">
      <c r="G1832" s="10" t="s">
        <v>1801</v>
      </c>
      <c r="H1832" s="11" t="s">
        <v>1975</v>
      </c>
      <c r="I1832" s="11" t="s">
        <v>2001</v>
      </c>
      <c r="J1832" s="12">
        <v>2.93</v>
      </c>
    </row>
    <row r="1833" spans="7:10" hidden="1" x14ac:dyDescent="0.3">
      <c r="G1833" s="7" t="s">
        <v>1802</v>
      </c>
      <c r="H1833" s="8" t="s">
        <v>2060</v>
      </c>
      <c r="I1833" s="8" t="s">
        <v>2023</v>
      </c>
      <c r="J1833" s="9">
        <v>3</v>
      </c>
    </row>
    <row r="1834" spans="7:10" hidden="1" x14ac:dyDescent="0.3">
      <c r="G1834" s="10" t="s">
        <v>1803</v>
      </c>
      <c r="H1834" s="11" t="s">
        <v>2038</v>
      </c>
      <c r="I1834" s="11" t="s">
        <v>1998</v>
      </c>
      <c r="J1834" s="12">
        <v>3.4</v>
      </c>
    </row>
    <row r="1835" spans="7:10" hidden="1" x14ac:dyDescent="0.3">
      <c r="G1835" s="7" t="s">
        <v>1804</v>
      </c>
      <c r="H1835" s="8" t="s">
        <v>2038</v>
      </c>
      <c r="I1835" s="8" t="s">
        <v>1979</v>
      </c>
      <c r="J1835" s="9">
        <v>0.37</v>
      </c>
    </row>
    <row r="1836" spans="7:10" hidden="1" x14ac:dyDescent="0.3">
      <c r="G1836" s="10" t="s">
        <v>1805</v>
      </c>
      <c r="H1836" s="11" t="s">
        <v>2034</v>
      </c>
      <c r="I1836" s="11" t="s">
        <v>1986</v>
      </c>
      <c r="J1836" s="12">
        <v>7.99</v>
      </c>
    </row>
    <row r="1837" spans="7:10" hidden="1" x14ac:dyDescent="0.3">
      <c r="G1837" s="7" t="s">
        <v>1806</v>
      </c>
      <c r="H1837" s="8" t="s">
        <v>2043</v>
      </c>
      <c r="I1837" s="8" t="s">
        <v>1988</v>
      </c>
      <c r="J1837" s="9">
        <v>3.11</v>
      </c>
    </row>
    <row r="1838" spans="7:10" hidden="1" x14ac:dyDescent="0.3">
      <c r="G1838" s="10" t="s">
        <v>1807</v>
      </c>
      <c r="H1838" s="11" t="s">
        <v>2034</v>
      </c>
      <c r="I1838" s="11" t="s">
        <v>1979</v>
      </c>
      <c r="J1838" s="12">
        <v>0.77</v>
      </c>
    </row>
    <row r="1839" spans="7:10" hidden="1" x14ac:dyDescent="0.3">
      <c r="G1839" s="7" t="s">
        <v>1808</v>
      </c>
      <c r="H1839" s="8" t="s">
        <v>2038</v>
      </c>
      <c r="I1839" s="8" t="s">
        <v>1979</v>
      </c>
      <c r="J1839" s="9">
        <v>0.4</v>
      </c>
    </row>
    <row r="1840" spans="7:10" hidden="1" x14ac:dyDescent="0.3">
      <c r="G1840" s="10" t="s">
        <v>1809</v>
      </c>
      <c r="H1840" s="11" t="s">
        <v>2038</v>
      </c>
      <c r="I1840" s="11" t="s">
        <v>1987</v>
      </c>
      <c r="J1840" s="12">
        <v>4.82</v>
      </c>
    </row>
    <row r="1841" spans="7:10" hidden="1" x14ac:dyDescent="0.3">
      <c r="G1841" s="7" t="s">
        <v>1810</v>
      </c>
      <c r="H1841" s="8" t="s">
        <v>2035</v>
      </c>
      <c r="I1841" s="8" t="s">
        <v>2023</v>
      </c>
      <c r="J1841" s="9">
        <v>4.45</v>
      </c>
    </row>
    <row r="1842" spans="7:10" hidden="1" x14ac:dyDescent="0.3">
      <c r="G1842" s="10" t="s">
        <v>1811</v>
      </c>
      <c r="H1842" s="11" t="s">
        <v>2034</v>
      </c>
      <c r="I1842" s="11" t="s">
        <v>2023</v>
      </c>
      <c r="J1842" s="12">
        <v>7.88</v>
      </c>
    </row>
    <row r="1843" spans="7:10" hidden="1" x14ac:dyDescent="0.3">
      <c r="G1843" s="7" t="s">
        <v>1812</v>
      </c>
      <c r="H1843" s="8" t="s">
        <v>2037</v>
      </c>
      <c r="I1843" s="8" t="s">
        <v>1979</v>
      </c>
      <c r="J1843" s="9">
        <v>0.4</v>
      </c>
    </row>
    <row r="1844" spans="7:10" hidden="1" x14ac:dyDescent="0.3">
      <c r="G1844" s="10" t="s">
        <v>1813</v>
      </c>
      <c r="H1844" s="11" t="s">
        <v>2037</v>
      </c>
      <c r="I1844" s="11" t="s">
        <v>1979</v>
      </c>
      <c r="J1844" s="12">
        <v>0.54</v>
      </c>
    </row>
    <row r="1845" spans="7:10" hidden="1" x14ac:dyDescent="0.3">
      <c r="G1845" s="7" t="s">
        <v>1814</v>
      </c>
      <c r="H1845" s="8" t="s">
        <v>2063</v>
      </c>
      <c r="I1845" s="8" t="s">
        <v>2015</v>
      </c>
      <c r="J1845" s="9">
        <v>4.88</v>
      </c>
    </row>
    <row r="1846" spans="7:10" hidden="1" x14ac:dyDescent="0.3">
      <c r="G1846" s="10" t="s">
        <v>1815</v>
      </c>
      <c r="H1846" s="11" t="s">
        <v>2034</v>
      </c>
      <c r="I1846" s="11" t="s">
        <v>2023</v>
      </c>
      <c r="J1846" s="12">
        <v>7.85</v>
      </c>
    </row>
    <row r="1847" spans="7:10" hidden="1" x14ac:dyDescent="0.3">
      <c r="G1847" s="7" t="s">
        <v>1816</v>
      </c>
      <c r="H1847" s="8" t="s">
        <v>2034</v>
      </c>
      <c r="I1847" s="8" t="s">
        <v>1986</v>
      </c>
      <c r="J1847" s="9">
        <v>3.24</v>
      </c>
    </row>
    <row r="1848" spans="7:10" hidden="1" x14ac:dyDescent="0.3">
      <c r="G1848" s="10" t="s">
        <v>1817</v>
      </c>
      <c r="H1848" s="11" t="s">
        <v>2034</v>
      </c>
      <c r="I1848" s="11" t="s">
        <v>1998</v>
      </c>
      <c r="J1848" s="12">
        <v>0.71</v>
      </c>
    </row>
    <row r="1849" spans="7:10" hidden="1" x14ac:dyDescent="0.3">
      <c r="G1849" s="7" t="s">
        <v>1818</v>
      </c>
      <c r="H1849" s="8" t="s">
        <v>2035</v>
      </c>
      <c r="I1849" s="8" t="s">
        <v>2023</v>
      </c>
      <c r="J1849" s="9">
        <v>3.51</v>
      </c>
    </row>
    <row r="1850" spans="7:10" hidden="1" x14ac:dyDescent="0.3">
      <c r="G1850" s="10" t="s">
        <v>1819</v>
      </c>
      <c r="H1850" s="11" t="s">
        <v>2074</v>
      </c>
      <c r="I1850" s="11" t="s">
        <v>1998</v>
      </c>
      <c r="J1850" s="12">
        <v>1.18</v>
      </c>
    </row>
    <row r="1851" spans="7:10" hidden="1" x14ac:dyDescent="0.3">
      <c r="G1851" s="7" t="s">
        <v>1820</v>
      </c>
      <c r="H1851" s="8" t="s">
        <v>2034</v>
      </c>
      <c r="I1851" s="8" t="s">
        <v>2003</v>
      </c>
      <c r="J1851" s="9">
        <v>4.04</v>
      </c>
    </row>
    <row r="1852" spans="7:10" hidden="1" x14ac:dyDescent="0.3">
      <c r="G1852" s="10" t="s">
        <v>1821</v>
      </c>
      <c r="H1852" s="11" t="s">
        <v>2074</v>
      </c>
      <c r="I1852" s="11" t="s">
        <v>1998</v>
      </c>
      <c r="J1852" s="12">
        <v>0.83</v>
      </c>
    </row>
    <row r="1853" spans="7:10" hidden="1" x14ac:dyDescent="0.3">
      <c r="G1853" s="7" t="s">
        <v>1822</v>
      </c>
      <c r="H1853" s="8" t="s">
        <v>2045</v>
      </c>
      <c r="I1853" s="8" t="s">
        <v>2029</v>
      </c>
      <c r="J1853" s="9">
        <v>7.8</v>
      </c>
    </row>
    <row r="1854" spans="7:10" hidden="1" x14ac:dyDescent="0.3">
      <c r="G1854" s="10" t="s">
        <v>1823</v>
      </c>
      <c r="H1854" s="11" t="s">
        <v>2036</v>
      </c>
      <c r="I1854" s="11" t="s">
        <v>1998</v>
      </c>
      <c r="J1854" s="12">
        <v>0.27</v>
      </c>
    </row>
    <row r="1855" spans="7:10" hidden="1" x14ac:dyDescent="0.3">
      <c r="G1855" s="7" t="s">
        <v>1824</v>
      </c>
      <c r="H1855" s="8" t="s">
        <v>2038</v>
      </c>
      <c r="I1855" s="8" t="s">
        <v>1979</v>
      </c>
      <c r="J1855" s="9">
        <v>0.41</v>
      </c>
    </row>
    <row r="1856" spans="7:10" hidden="1" x14ac:dyDescent="0.3">
      <c r="G1856" s="10" t="s">
        <v>1825</v>
      </c>
      <c r="H1856" s="11" t="s">
        <v>2034</v>
      </c>
      <c r="I1856" s="11" t="s">
        <v>2023</v>
      </c>
      <c r="J1856" s="12">
        <v>3.64</v>
      </c>
    </row>
    <row r="1857" spans="7:10" hidden="1" x14ac:dyDescent="0.3">
      <c r="G1857" s="7" t="s">
        <v>1826</v>
      </c>
      <c r="H1857" s="8" t="s">
        <v>2034</v>
      </c>
      <c r="I1857" s="8" t="s">
        <v>1979</v>
      </c>
      <c r="J1857" s="9">
        <v>0.7</v>
      </c>
    </row>
    <row r="1858" spans="7:10" hidden="1" x14ac:dyDescent="0.3">
      <c r="G1858" s="10" t="s">
        <v>1827</v>
      </c>
      <c r="H1858" s="11" t="s">
        <v>2076</v>
      </c>
      <c r="I1858" s="11" t="s">
        <v>1979</v>
      </c>
      <c r="J1858" s="12">
        <v>1.01</v>
      </c>
    </row>
    <row r="1859" spans="7:10" hidden="1" x14ac:dyDescent="0.3">
      <c r="G1859" s="7" t="s">
        <v>1828</v>
      </c>
      <c r="H1859" s="8" t="s">
        <v>2034</v>
      </c>
      <c r="I1859" s="8" t="s">
        <v>2031</v>
      </c>
      <c r="J1859" s="9">
        <v>1.25</v>
      </c>
    </row>
    <row r="1860" spans="7:10" hidden="1" x14ac:dyDescent="0.3">
      <c r="G1860" s="10" t="s">
        <v>1829</v>
      </c>
      <c r="H1860" s="11" t="s">
        <v>2034</v>
      </c>
      <c r="I1860" s="11" t="s">
        <v>2028</v>
      </c>
      <c r="J1860" s="12">
        <v>3.65</v>
      </c>
    </row>
    <row r="1861" spans="7:10" hidden="1" x14ac:dyDescent="0.3">
      <c r="G1861" s="7" t="s">
        <v>1830</v>
      </c>
      <c r="H1861" s="8" t="s">
        <v>2034</v>
      </c>
      <c r="I1861" s="8" t="s">
        <v>2023</v>
      </c>
      <c r="J1861" s="9">
        <v>6.03</v>
      </c>
    </row>
    <row r="1862" spans="7:10" hidden="1" x14ac:dyDescent="0.3">
      <c r="G1862" s="10" t="s">
        <v>1831</v>
      </c>
      <c r="H1862" s="11" t="s">
        <v>2044</v>
      </c>
      <c r="I1862" s="11" t="s">
        <v>2031</v>
      </c>
      <c r="J1862" s="12">
        <v>2.54</v>
      </c>
    </row>
    <row r="1863" spans="7:10" hidden="1" x14ac:dyDescent="0.3">
      <c r="G1863" s="7" t="s">
        <v>1832</v>
      </c>
      <c r="H1863" s="8" t="s">
        <v>2034</v>
      </c>
      <c r="I1863" s="8" t="s">
        <v>2026</v>
      </c>
      <c r="J1863" s="9">
        <v>0.28000000000000003</v>
      </c>
    </row>
    <row r="1864" spans="7:10" hidden="1" x14ac:dyDescent="0.3">
      <c r="G1864" s="10" t="s">
        <v>1833</v>
      </c>
      <c r="H1864" s="11" t="s">
        <v>2043</v>
      </c>
      <c r="I1864" s="11" t="s">
        <v>1993</v>
      </c>
      <c r="J1864" s="12">
        <v>2.84</v>
      </c>
    </row>
    <row r="1865" spans="7:10" hidden="1" x14ac:dyDescent="0.3">
      <c r="G1865" s="7" t="s">
        <v>1834</v>
      </c>
      <c r="H1865" s="8" t="s">
        <v>2043</v>
      </c>
      <c r="I1865" s="8" t="s">
        <v>2001</v>
      </c>
      <c r="J1865" s="9">
        <v>5.4</v>
      </c>
    </row>
    <row r="1866" spans="7:10" hidden="1" x14ac:dyDescent="0.3">
      <c r="G1866" s="10" t="s">
        <v>1835</v>
      </c>
      <c r="H1866" s="11" t="s">
        <v>2067</v>
      </c>
      <c r="I1866" s="11" t="s">
        <v>1979</v>
      </c>
      <c r="J1866" s="12">
        <v>0.54</v>
      </c>
    </row>
    <row r="1867" spans="7:10" hidden="1" x14ac:dyDescent="0.3">
      <c r="G1867" s="7" t="s">
        <v>1836</v>
      </c>
      <c r="H1867" s="8" t="s">
        <v>2045</v>
      </c>
      <c r="I1867" s="8" t="s">
        <v>1987</v>
      </c>
      <c r="J1867" s="9">
        <v>3.21</v>
      </c>
    </row>
    <row r="1868" spans="7:10" hidden="1" x14ac:dyDescent="0.3">
      <c r="G1868" s="10" t="s">
        <v>1837</v>
      </c>
      <c r="H1868" s="11" t="s">
        <v>2034</v>
      </c>
      <c r="I1868" s="11" t="s">
        <v>1979</v>
      </c>
      <c r="J1868" s="12">
        <v>0.74</v>
      </c>
    </row>
    <row r="1869" spans="7:10" hidden="1" x14ac:dyDescent="0.3">
      <c r="G1869" s="7" t="s">
        <v>2013</v>
      </c>
      <c r="H1869" s="8" t="s">
        <v>2034</v>
      </c>
      <c r="I1869" s="8" t="s">
        <v>2005</v>
      </c>
      <c r="J1869" s="9">
        <v>1.64</v>
      </c>
    </row>
    <row r="1870" spans="7:10" hidden="1" x14ac:dyDescent="0.3">
      <c r="G1870" s="10" t="s">
        <v>1838</v>
      </c>
      <c r="H1870" s="11" t="s">
        <v>2067</v>
      </c>
      <c r="I1870" s="11" t="s">
        <v>2030</v>
      </c>
      <c r="J1870" s="12">
        <v>3.96</v>
      </c>
    </row>
    <row r="1871" spans="7:10" x14ac:dyDescent="0.3">
      <c r="G1871" s="10" t="s">
        <v>969</v>
      </c>
      <c r="H1871" s="11" t="s">
        <v>2047</v>
      </c>
      <c r="I1871" s="11" t="s">
        <v>1988</v>
      </c>
      <c r="J1871" s="12">
        <v>3.61</v>
      </c>
    </row>
    <row r="1872" spans="7:10" hidden="1" x14ac:dyDescent="0.3">
      <c r="G1872" s="10" t="s">
        <v>1840</v>
      </c>
      <c r="H1872" s="11" t="s">
        <v>2042</v>
      </c>
      <c r="I1872" s="11" t="s">
        <v>1979</v>
      </c>
      <c r="J1872" s="12">
        <v>0.89</v>
      </c>
    </row>
    <row r="1873" spans="7:10" hidden="1" x14ac:dyDescent="0.3">
      <c r="G1873" s="7" t="s">
        <v>1841</v>
      </c>
      <c r="H1873" s="8" t="s">
        <v>2038</v>
      </c>
      <c r="I1873" s="8" t="s">
        <v>2017</v>
      </c>
      <c r="J1873" s="9">
        <v>2.82</v>
      </c>
    </row>
    <row r="1874" spans="7:10" hidden="1" x14ac:dyDescent="0.3">
      <c r="G1874" s="10" t="s">
        <v>1842</v>
      </c>
      <c r="H1874" s="11" t="s">
        <v>2040</v>
      </c>
      <c r="I1874" s="11" t="s">
        <v>2022</v>
      </c>
      <c r="J1874" s="12">
        <v>0.76</v>
      </c>
    </row>
    <row r="1875" spans="7:10" hidden="1" x14ac:dyDescent="0.3">
      <c r="G1875" s="7" t="s">
        <v>1843</v>
      </c>
      <c r="H1875" s="8" t="s">
        <v>2034</v>
      </c>
      <c r="I1875" s="8" t="s">
        <v>1988</v>
      </c>
      <c r="J1875" s="9">
        <v>1.67</v>
      </c>
    </row>
    <row r="1876" spans="7:10" hidden="1" x14ac:dyDescent="0.3">
      <c r="G1876" s="10" t="s">
        <v>1844</v>
      </c>
      <c r="H1876" s="11" t="s">
        <v>2038</v>
      </c>
      <c r="I1876" s="11" t="s">
        <v>1979</v>
      </c>
      <c r="J1876" s="12">
        <v>0.36</v>
      </c>
    </row>
    <row r="1877" spans="7:10" hidden="1" x14ac:dyDescent="0.3">
      <c r="G1877" s="7" t="s">
        <v>1845</v>
      </c>
      <c r="H1877" s="8" t="s">
        <v>2043</v>
      </c>
      <c r="I1877" s="8" t="s">
        <v>1988</v>
      </c>
      <c r="J1877" s="9">
        <v>2.29</v>
      </c>
    </row>
    <row r="1878" spans="7:10" hidden="1" x14ac:dyDescent="0.3">
      <c r="G1878" s="10" t="s">
        <v>1846</v>
      </c>
      <c r="H1878" s="11" t="s">
        <v>2060</v>
      </c>
      <c r="I1878" s="11" t="s">
        <v>2023</v>
      </c>
      <c r="J1878" s="12">
        <v>4.5599999999999996</v>
      </c>
    </row>
    <row r="1879" spans="7:10" hidden="1" x14ac:dyDescent="0.3">
      <c r="G1879" s="7" t="s">
        <v>1847</v>
      </c>
      <c r="H1879" s="8" t="s">
        <v>2034</v>
      </c>
      <c r="I1879" s="8" t="s">
        <v>1979</v>
      </c>
      <c r="J1879" s="9">
        <v>0.72</v>
      </c>
    </row>
    <row r="1880" spans="7:10" hidden="1" x14ac:dyDescent="0.3">
      <c r="G1880" s="10" t="s">
        <v>1848</v>
      </c>
      <c r="H1880" s="11" t="s">
        <v>2036</v>
      </c>
      <c r="I1880" s="11" t="s">
        <v>2029</v>
      </c>
      <c r="J1880" s="12">
        <v>7.36</v>
      </c>
    </row>
    <row r="1881" spans="7:10" hidden="1" x14ac:dyDescent="0.3">
      <c r="G1881" s="7" t="s">
        <v>1849</v>
      </c>
      <c r="H1881" s="8" t="s">
        <v>2043</v>
      </c>
      <c r="I1881" s="8" t="s">
        <v>2003</v>
      </c>
      <c r="J1881" s="9">
        <v>0.74</v>
      </c>
    </row>
    <row r="1882" spans="7:10" hidden="1" x14ac:dyDescent="0.3">
      <c r="G1882" s="10" t="s">
        <v>1850</v>
      </c>
      <c r="H1882" s="11" t="s">
        <v>2034</v>
      </c>
      <c r="I1882" s="11" t="s">
        <v>2027</v>
      </c>
      <c r="J1882" s="12">
        <v>1.88</v>
      </c>
    </row>
    <row r="1883" spans="7:10" hidden="1" x14ac:dyDescent="0.3">
      <c r="G1883" s="7" t="s">
        <v>1851</v>
      </c>
      <c r="H1883" s="8" t="s">
        <v>2034</v>
      </c>
      <c r="I1883" s="8" t="s">
        <v>1998</v>
      </c>
      <c r="J1883" s="9">
        <v>3</v>
      </c>
    </row>
    <row r="1884" spans="7:10" hidden="1" x14ac:dyDescent="0.3">
      <c r="G1884" s="10" t="s">
        <v>1852</v>
      </c>
      <c r="H1884" s="11" t="s">
        <v>2037</v>
      </c>
      <c r="I1884" s="11" t="s">
        <v>1979</v>
      </c>
      <c r="J1884" s="12">
        <v>0.54</v>
      </c>
    </row>
    <row r="1885" spans="7:10" hidden="1" x14ac:dyDescent="0.3">
      <c r="G1885" s="7" t="s">
        <v>1853</v>
      </c>
      <c r="H1885" s="8" t="s">
        <v>2034</v>
      </c>
      <c r="I1885" s="8" t="s">
        <v>1979</v>
      </c>
      <c r="J1885" s="9">
        <v>0.9</v>
      </c>
    </row>
    <row r="1886" spans="7:10" hidden="1" x14ac:dyDescent="0.3">
      <c r="G1886" s="10" t="s">
        <v>1854</v>
      </c>
      <c r="H1886" s="11" t="s">
        <v>1977</v>
      </c>
      <c r="I1886" s="11" t="s">
        <v>1979</v>
      </c>
      <c r="J1886" s="12">
        <v>0.65</v>
      </c>
    </row>
    <row r="1887" spans="7:10" hidden="1" x14ac:dyDescent="0.3">
      <c r="G1887" s="7" t="s">
        <v>1855</v>
      </c>
      <c r="H1887" s="8" t="s">
        <v>2035</v>
      </c>
      <c r="I1887" s="8" t="s">
        <v>1987</v>
      </c>
      <c r="J1887" s="9">
        <v>5.53</v>
      </c>
    </row>
    <row r="1888" spans="7:10" hidden="1" x14ac:dyDescent="0.3">
      <c r="G1888" s="10" t="s">
        <v>1856</v>
      </c>
      <c r="H1888" s="11" t="s">
        <v>2038</v>
      </c>
      <c r="I1888" s="11" t="s">
        <v>1997</v>
      </c>
      <c r="J1888" s="12">
        <v>3.57</v>
      </c>
    </row>
    <row r="1889" spans="7:10" hidden="1" x14ac:dyDescent="0.3">
      <c r="G1889" s="7" t="s">
        <v>1857</v>
      </c>
      <c r="H1889" s="8" t="s">
        <v>2038</v>
      </c>
      <c r="I1889" s="8" t="s">
        <v>1979</v>
      </c>
      <c r="J1889" s="9">
        <v>0.33</v>
      </c>
    </row>
    <row r="1890" spans="7:10" hidden="1" x14ac:dyDescent="0.3">
      <c r="G1890" s="10" t="s">
        <v>1858</v>
      </c>
      <c r="H1890" s="11" t="s">
        <v>2034</v>
      </c>
      <c r="I1890" s="11" t="s">
        <v>2022</v>
      </c>
      <c r="J1890" s="12">
        <v>1.1200000000000001</v>
      </c>
    </row>
    <row r="1891" spans="7:10" hidden="1" x14ac:dyDescent="0.3">
      <c r="G1891" s="7" t="s">
        <v>1859</v>
      </c>
      <c r="H1891" s="8" t="s">
        <v>2034</v>
      </c>
      <c r="I1891" s="8" t="s">
        <v>1986</v>
      </c>
      <c r="J1891" s="9">
        <v>1.44</v>
      </c>
    </row>
    <row r="1892" spans="7:10" hidden="1" x14ac:dyDescent="0.3">
      <c r="G1892" s="10" t="s">
        <v>1860</v>
      </c>
      <c r="H1892" s="11" t="s">
        <v>2061</v>
      </c>
      <c r="I1892" s="11" t="s">
        <v>2015</v>
      </c>
      <c r="J1892" s="12">
        <v>0.94</v>
      </c>
    </row>
    <row r="1893" spans="7:10" hidden="1" x14ac:dyDescent="0.3">
      <c r="G1893" s="7" t="s">
        <v>1861</v>
      </c>
      <c r="H1893" s="8" t="s">
        <v>2067</v>
      </c>
      <c r="I1893" s="8" t="s">
        <v>1979</v>
      </c>
      <c r="J1893" s="9">
        <v>0.66</v>
      </c>
    </row>
    <row r="1894" spans="7:10" hidden="1" x14ac:dyDescent="0.3">
      <c r="G1894" s="10" t="s">
        <v>1862</v>
      </c>
      <c r="H1894" s="11" t="s">
        <v>2038</v>
      </c>
      <c r="I1894" s="11" t="s">
        <v>1979</v>
      </c>
      <c r="J1894" s="12">
        <v>0.37</v>
      </c>
    </row>
    <row r="1895" spans="7:10" hidden="1" x14ac:dyDescent="0.3">
      <c r="G1895" s="7" t="s">
        <v>1863</v>
      </c>
      <c r="H1895" s="8" t="s">
        <v>2038</v>
      </c>
      <c r="I1895" s="8" t="s">
        <v>1997</v>
      </c>
      <c r="J1895" s="9">
        <v>3.98</v>
      </c>
    </row>
    <row r="1896" spans="7:10" hidden="1" x14ac:dyDescent="0.3">
      <c r="G1896" s="10" t="s">
        <v>1864</v>
      </c>
      <c r="H1896" s="11" t="s">
        <v>2063</v>
      </c>
      <c r="I1896" s="11" t="s">
        <v>1997</v>
      </c>
      <c r="J1896" s="12">
        <v>2.88</v>
      </c>
    </row>
    <row r="1897" spans="7:10" hidden="1" x14ac:dyDescent="0.3">
      <c r="G1897" s="7" t="s">
        <v>1865</v>
      </c>
      <c r="H1897" s="8" t="s">
        <v>2041</v>
      </c>
      <c r="I1897" s="8" t="s">
        <v>1987</v>
      </c>
      <c r="J1897" s="9">
        <v>4.3499999999999996</v>
      </c>
    </row>
    <row r="1898" spans="7:10" hidden="1" x14ac:dyDescent="0.3">
      <c r="G1898" s="10" t="s">
        <v>1866</v>
      </c>
      <c r="H1898" s="11" t="s">
        <v>2063</v>
      </c>
      <c r="I1898" s="11" t="s">
        <v>1998</v>
      </c>
      <c r="J1898" s="12">
        <v>0.74</v>
      </c>
    </row>
    <row r="1899" spans="7:10" hidden="1" x14ac:dyDescent="0.3">
      <c r="G1899" s="7" t="s">
        <v>1867</v>
      </c>
      <c r="H1899" s="8" t="s">
        <v>2034</v>
      </c>
      <c r="I1899" s="8" t="s">
        <v>1979</v>
      </c>
      <c r="J1899" s="9">
        <v>0.93</v>
      </c>
    </row>
    <row r="1900" spans="7:10" hidden="1" x14ac:dyDescent="0.3">
      <c r="G1900" s="10" t="s">
        <v>1868</v>
      </c>
      <c r="H1900" s="11" t="s">
        <v>2090</v>
      </c>
      <c r="I1900" s="11" t="s">
        <v>1998</v>
      </c>
      <c r="J1900" s="12">
        <v>1.01</v>
      </c>
    </row>
    <row r="1901" spans="7:10" hidden="1" x14ac:dyDescent="0.3">
      <c r="G1901" s="7" t="s">
        <v>1869</v>
      </c>
      <c r="H1901" s="8" t="s">
        <v>2079</v>
      </c>
      <c r="I1901" s="8" t="s">
        <v>1979</v>
      </c>
      <c r="J1901" s="9">
        <v>0.83</v>
      </c>
    </row>
    <row r="1902" spans="7:10" hidden="1" x14ac:dyDescent="0.3">
      <c r="G1902" s="10" t="s">
        <v>1870</v>
      </c>
      <c r="H1902" s="11" t="s">
        <v>2034</v>
      </c>
      <c r="I1902" s="11" t="s">
        <v>1998</v>
      </c>
      <c r="J1902" s="12">
        <v>0.97</v>
      </c>
    </row>
    <row r="1903" spans="7:10" hidden="1" x14ac:dyDescent="0.3">
      <c r="G1903" s="7" t="s">
        <v>1871</v>
      </c>
      <c r="H1903" s="8" t="s">
        <v>2038</v>
      </c>
      <c r="I1903" s="8" t="s">
        <v>2001</v>
      </c>
      <c r="J1903" s="9">
        <v>6.97</v>
      </c>
    </row>
    <row r="1904" spans="7:10" hidden="1" x14ac:dyDescent="0.3">
      <c r="G1904" s="10" t="s">
        <v>1872</v>
      </c>
      <c r="H1904" s="11" t="s">
        <v>2053</v>
      </c>
      <c r="I1904" s="11" t="s">
        <v>2017</v>
      </c>
      <c r="J1904" s="12">
        <v>3.38</v>
      </c>
    </row>
    <row r="1905" spans="7:10" hidden="1" x14ac:dyDescent="0.3">
      <c r="G1905" s="7" t="s">
        <v>1873</v>
      </c>
      <c r="H1905" s="8" t="s">
        <v>2091</v>
      </c>
      <c r="I1905" s="8" t="s">
        <v>2030</v>
      </c>
      <c r="J1905" s="9">
        <v>1.07</v>
      </c>
    </row>
    <row r="1906" spans="7:10" hidden="1" x14ac:dyDescent="0.3">
      <c r="G1906" s="10" t="s">
        <v>1874</v>
      </c>
      <c r="H1906" s="11" t="s">
        <v>2038</v>
      </c>
      <c r="I1906" s="11" t="s">
        <v>2015</v>
      </c>
      <c r="J1906" s="12">
        <v>2.17</v>
      </c>
    </row>
    <row r="1907" spans="7:10" hidden="1" x14ac:dyDescent="0.3">
      <c r="G1907" s="7" t="s">
        <v>1875</v>
      </c>
      <c r="H1907" s="8" t="s">
        <v>2034</v>
      </c>
      <c r="I1907" s="8" t="s">
        <v>1979</v>
      </c>
      <c r="J1907" s="9">
        <v>0.82</v>
      </c>
    </row>
    <row r="1908" spans="7:10" hidden="1" x14ac:dyDescent="0.3">
      <c r="G1908" s="10" t="s">
        <v>1876</v>
      </c>
      <c r="H1908" s="11" t="s">
        <v>2034</v>
      </c>
      <c r="I1908" s="11" t="s">
        <v>2028</v>
      </c>
      <c r="J1908" s="12">
        <v>0.83</v>
      </c>
    </row>
    <row r="1909" spans="7:10" hidden="1" x14ac:dyDescent="0.3">
      <c r="G1909" s="7" t="s">
        <v>1877</v>
      </c>
      <c r="H1909" s="8" t="s">
        <v>2034</v>
      </c>
      <c r="I1909" s="8" t="s">
        <v>1998</v>
      </c>
      <c r="J1909" s="9">
        <v>0.68</v>
      </c>
    </row>
    <row r="1910" spans="7:10" hidden="1" x14ac:dyDescent="0.3">
      <c r="G1910" s="10" t="s">
        <v>1878</v>
      </c>
      <c r="H1910" s="11" t="s">
        <v>2074</v>
      </c>
      <c r="I1910" s="11" t="s">
        <v>2022</v>
      </c>
      <c r="J1910" s="12">
        <v>0.61</v>
      </c>
    </row>
    <row r="1911" spans="7:10" hidden="1" x14ac:dyDescent="0.3">
      <c r="G1911" s="7" t="s">
        <v>1879</v>
      </c>
      <c r="H1911" s="8" t="s">
        <v>2054</v>
      </c>
      <c r="I1911" s="8" t="s">
        <v>1979</v>
      </c>
      <c r="J1911" s="9">
        <v>0.74</v>
      </c>
    </row>
    <row r="1912" spans="7:10" hidden="1" x14ac:dyDescent="0.3">
      <c r="G1912" s="10" t="s">
        <v>1880</v>
      </c>
      <c r="H1912" s="11" t="s">
        <v>2034</v>
      </c>
      <c r="I1912" s="11" t="s">
        <v>1998</v>
      </c>
      <c r="J1912" s="12">
        <v>1.1100000000000001</v>
      </c>
    </row>
    <row r="1913" spans="7:10" hidden="1" x14ac:dyDescent="0.3">
      <c r="G1913" s="7" t="s">
        <v>1881</v>
      </c>
      <c r="H1913" s="8" t="s">
        <v>2034</v>
      </c>
      <c r="I1913" s="8" t="s">
        <v>1998</v>
      </c>
      <c r="J1913" s="9">
        <v>0.69</v>
      </c>
    </row>
    <row r="1914" spans="7:10" hidden="1" x14ac:dyDescent="0.3">
      <c r="G1914" s="10" t="s">
        <v>1882</v>
      </c>
      <c r="H1914" s="11" t="s">
        <v>2034</v>
      </c>
      <c r="I1914" s="11" t="s">
        <v>2001</v>
      </c>
      <c r="J1914" s="12">
        <v>2.59</v>
      </c>
    </row>
    <row r="1915" spans="7:10" hidden="1" x14ac:dyDescent="0.3">
      <c r="G1915" s="7" t="s">
        <v>1883</v>
      </c>
      <c r="H1915" s="8" t="s">
        <v>2034</v>
      </c>
      <c r="I1915" s="8" t="s">
        <v>2002</v>
      </c>
      <c r="J1915" s="9">
        <v>2.5499999999999998</v>
      </c>
    </row>
    <row r="1916" spans="7:10" hidden="1" x14ac:dyDescent="0.3">
      <c r="G1916" s="10" t="s">
        <v>1884</v>
      </c>
      <c r="H1916" s="11" t="s">
        <v>2038</v>
      </c>
      <c r="I1916" s="11" t="s">
        <v>2001</v>
      </c>
      <c r="J1916" s="12">
        <v>6.76</v>
      </c>
    </row>
    <row r="1917" spans="7:10" hidden="1" x14ac:dyDescent="0.3">
      <c r="G1917" s="7" t="s">
        <v>1885</v>
      </c>
      <c r="H1917" s="8" t="s">
        <v>2038</v>
      </c>
      <c r="I1917" s="8" t="s">
        <v>1993</v>
      </c>
      <c r="J1917" s="9">
        <v>4.58</v>
      </c>
    </row>
    <row r="1918" spans="7:10" hidden="1" x14ac:dyDescent="0.3">
      <c r="G1918" s="10" t="s">
        <v>1886</v>
      </c>
      <c r="H1918" s="11" t="s">
        <v>2065</v>
      </c>
      <c r="I1918" s="11" t="s">
        <v>1979</v>
      </c>
      <c r="J1918" s="12">
        <v>0.47</v>
      </c>
    </row>
    <row r="1919" spans="7:10" hidden="1" x14ac:dyDescent="0.3">
      <c r="G1919" s="7" t="s">
        <v>1887</v>
      </c>
      <c r="H1919" s="8" t="s">
        <v>2034</v>
      </c>
      <c r="I1919" s="8" t="s">
        <v>1999</v>
      </c>
      <c r="J1919" s="9">
        <v>1.24</v>
      </c>
    </row>
    <row r="1920" spans="7:10" hidden="1" x14ac:dyDescent="0.3">
      <c r="G1920" s="10" t="s">
        <v>1888</v>
      </c>
      <c r="H1920" s="11" t="s">
        <v>2034</v>
      </c>
      <c r="I1920" s="11" t="s">
        <v>2023</v>
      </c>
      <c r="J1920" s="12">
        <v>6.25</v>
      </c>
    </row>
    <row r="1921" spans="7:10" hidden="1" x14ac:dyDescent="0.3">
      <c r="G1921" s="7" t="s">
        <v>1889</v>
      </c>
      <c r="H1921" s="8" t="s">
        <v>2038</v>
      </c>
      <c r="I1921" s="8" t="s">
        <v>1993</v>
      </c>
      <c r="J1921" s="9">
        <v>6.75</v>
      </c>
    </row>
    <row r="1922" spans="7:10" hidden="1" x14ac:dyDescent="0.3">
      <c r="G1922" s="10" t="s">
        <v>1890</v>
      </c>
      <c r="H1922" s="11" t="s">
        <v>2034</v>
      </c>
      <c r="I1922" s="11" t="s">
        <v>1979</v>
      </c>
      <c r="J1922" s="12">
        <v>0.83</v>
      </c>
    </row>
    <row r="1923" spans="7:10" hidden="1" x14ac:dyDescent="0.3">
      <c r="G1923" s="7" t="s">
        <v>1891</v>
      </c>
      <c r="H1923" s="8" t="s">
        <v>2038</v>
      </c>
      <c r="I1923" s="8" t="s">
        <v>1979</v>
      </c>
      <c r="J1923" s="9">
        <v>0.41</v>
      </c>
    </row>
    <row r="1924" spans="7:10" hidden="1" x14ac:dyDescent="0.3">
      <c r="G1924" s="10" t="s">
        <v>1892</v>
      </c>
      <c r="H1924" s="11" t="s">
        <v>2034</v>
      </c>
      <c r="I1924" s="11" t="s">
        <v>2023</v>
      </c>
      <c r="J1924" s="12">
        <v>1.52</v>
      </c>
    </row>
    <row r="1925" spans="7:10" hidden="1" x14ac:dyDescent="0.3">
      <c r="G1925" s="7" t="s">
        <v>1893</v>
      </c>
      <c r="H1925" s="8" t="s">
        <v>2035</v>
      </c>
      <c r="I1925" s="8" t="s">
        <v>1986</v>
      </c>
      <c r="J1925" s="9">
        <v>2.4700000000000002</v>
      </c>
    </row>
    <row r="1926" spans="7:10" hidden="1" x14ac:dyDescent="0.3">
      <c r="G1926" s="10" t="s">
        <v>1894</v>
      </c>
      <c r="H1926" s="11" t="s">
        <v>2039</v>
      </c>
      <c r="I1926" s="11" t="s">
        <v>1998</v>
      </c>
      <c r="J1926" s="12">
        <v>0.63</v>
      </c>
    </row>
    <row r="1927" spans="7:10" hidden="1" x14ac:dyDescent="0.3">
      <c r="G1927" s="7" t="s">
        <v>1895</v>
      </c>
      <c r="H1927" s="8" t="s">
        <v>2038</v>
      </c>
      <c r="I1927" s="8" t="s">
        <v>1993</v>
      </c>
      <c r="J1927" s="9">
        <v>5</v>
      </c>
    </row>
    <row r="1928" spans="7:10" hidden="1" x14ac:dyDescent="0.3">
      <c r="G1928" s="10" t="s">
        <v>1896</v>
      </c>
      <c r="H1928" s="11" t="s">
        <v>2034</v>
      </c>
      <c r="I1928" s="11" t="s">
        <v>2023</v>
      </c>
      <c r="J1928" s="12">
        <v>2.2200000000000002</v>
      </c>
    </row>
    <row r="1929" spans="7:10" x14ac:dyDescent="0.3">
      <c r="G1929" s="7" t="s">
        <v>1704</v>
      </c>
      <c r="H1929" s="8" t="s">
        <v>2047</v>
      </c>
      <c r="I1929" s="8" t="s">
        <v>1988</v>
      </c>
      <c r="J1929" s="9">
        <v>3.42</v>
      </c>
    </row>
    <row r="1930" spans="7:10" hidden="1" x14ac:dyDescent="0.3">
      <c r="G1930" s="10" t="s">
        <v>1898</v>
      </c>
      <c r="H1930" s="11" t="s">
        <v>2034</v>
      </c>
      <c r="I1930" s="11" t="s">
        <v>1998</v>
      </c>
      <c r="J1930" s="12">
        <v>0.77</v>
      </c>
    </row>
    <row r="1931" spans="7:10" hidden="1" x14ac:dyDescent="0.3">
      <c r="G1931" s="7" t="s">
        <v>1899</v>
      </c>
      <c r="H1931" s="8" t="s">
        <v>2034</v>
      </c>
      <c r="I1931" s="8" t="s">
        <v>2030</v>
      </c>
      <c r="J1931" s="9">
        <v>3.13</v>
      </c>
    </row>
    <row r="1932" spans="7:10" hidden="1" x14ac:dyDescent="0.3">
      <c r="G1932" s="10" t="s">
        <v>1900</v>
      </c>
      <c r="H1932" s="11" t="s">
        <v>2057</v>
      </c>
      <c r="I1932" s="11" t="s">
        <v>1993</v>
      </c>
      <c r="J1932" s="12">
        <v>6.22</v>
      </c>
    </row>
    <row r="1933" spans="7:10" hidden="1" x14ac:dyDescent="0.3">
      <c r="G1933" s="7" t="s">
        <v>1901</v>
      </c>
      <c r="H1933" s="8" t="s">
        <v>2034</v>
      </c>
      <c r="I1933" s="8" t="s">
        <v>2002</v>
      </c>
      <c r="J1933" s="9">
        <v>1.83</v>
      </c>
    </row>
    <row r="1934" spans="7:10" hidden="1" x14ac:dyDescent="0.3">
      <c r="G1934" s="10" t="s">
        <v>1902</v>
      </c>
      <c r="H1934" s="11" t="s">
        <v>2038</v>
      </c>
      <c r="I1934" s="11" t="s">
        <v>1986</v>
      </c>
      <c r="J1934" s="12">
        <v>3.61</v>
      </c>
    </row>
    <row r="1935" spans="7:10" hidden="1" x14ac:dyDescent="0.3">
      <c r="G1935" s="7" t="s">
        <v>1903</v>
      </c>
      <c r="H1935" s="8" t="s">
        <v>2069</v>
      </c>
      <c r="I1935" s="8" t="s">
        <v>1993</v>
      </c>
      <c r="J1935" s="9">
        <v>1.85</v>
      </c>
    </row>
    <row r="1936" spans="7:10" hidden="1" x14ac:dyDescent="0.3">
      <c r="G1936" s="10" t="s">
        <v>1904</v>
      </c>
      <c r="H1936" s="11" t="s">
        <v>2035</v>
      </c>
      <c r="I1936" s="11" t="s">
        <v>2030</v>
      </c>
      <c r="J1936" s="12">
        <v>5.09</v>
      </c>
    </row>
    <row r="1937" spans="7:10" hidden="1" x14ac:dyDescent="0.3">
      <c r="G1937" s="7" t="s">
        <v>1905</v>
      </c>
      <c r="H1937" s="8" t="s">
        <v>2034</v>
      </c>
      <c r="I1937" s="8" t="s">
        <v>2004</v>
      </c>
      <c r="J1937" s="9">
        <v>3.09</v>
      </c>
    </row>
    <row r="1938" spans="7:10" hidden="1" x14ac:dyDescent="0.3">
      <c r="G1938" s="10" t="s">
        <v>1906</v>
      </c>
      <c r="H1938" s="11" t="s">
        <v>2038</v>
      </c>
      <c r="I1938" s="11" t="s">
        <v>1998</v>
      </c>
      <c r="J1938" s="12">
        <v>0.87</v>
      </c>
    </row>
    <row r="1939" spans="7:10" hidden="1" x14ac:dyDescent="0.3">
      <c r="G1939" s="7" t="s">
        <v>1907</v>
      </c>
      <c r="H1939" s="8" t="s">
        <v>2060</v>
      </c>
      <c r="I1939" s="8" t="s">
        <v>2004</v>
      </c>
      <c r="J1939" s="9">
        <v>2.0699999999999998</v>
      </c>
    </row>
    <row r="1940" spans="7:10" hidden="1" x14ac:dyDescent="0.3">
      <c r="G1940" s="10" t="s">
        <v>1908</v>
      </c>
      <c r="H1940" s="11" t="s">
        <v>2038</v>
      </c>
      <c r="I1940" s="11" t="s">
        <v>1997</v>
      </c>
      <c r="J1940" s="12">
        <v>6.48</v>
      </c>
    </row>
    <row r="1941" spans="7:10" hidden="1" x14ac:dyDescent="0.3">
      <c r="G1941" s="7" t="s">
        <v>1909</v>
      </c>
      <c r="H1941" s="8" t="s">
        <v>2034</v>
      </c>
      <c r="I1941" s="8" t="s">
        <v>1988</v>
      </c>
      <c r="J1941" s="9">
        <v>4.04</v>
      </c>
    </row>
    <row r="1942" spans="7:10" x14ac:dyDescent="0.3">
      <c r="G1942" s="10" t="s">
        <v>1991</v>
      </c>
      <c r="H1942" s="11" t="s">
        <v>2047</v>
      </c>
      <c r="I1942" s="11" t="s">
        <v>1988</v>
      </c>
      <c r="J1942" s="12">
        <v>5.83</v>
      </c>
    </row>
    <row r="1943" spans="7:10" hidden="1" x14ac:dyDescent="0.3">
      <c r="G1943" s="7" t="s">
        <v>1911</v>
      </c>
      <c r="H1943" s="8" t="s">
        <v>2037</v>
      </c>
      <c r="I1943" s="8" t="s">
        <v>2002</v>
      </c>
      <c r="J1943" s="9">
        <v>0.56999999999999995</v>
      </c>
    </row>
    <row r="1944" spans="7:10" hidden="1" x14ac:dyDescent="0.3">
      <c r="G1944" s="10" t="s">
        <v>1912</v>
      </c>
      <c r="H1944" s="11" t="s">
        <v>2039</v>
      </c>
      <c r="I1944" s="11" t="s">
        <v>1987</v>
      </c>
      <c r="J1944" s="12">
        <v>6.44</v>
      </c>
    </row>
    <row r="1945" spans="7:10" hidden="1" x14ac:dyDescent="0.3">
      <c r="G1945" s="7" t="s">
        <v>1913</v>
      </c>
      <c r="H1945" s="8" t="s">
        <v>2074</v>
      </c>
      <c r="I1945" s="8" t="s">
        <v>2001</v>
      </c>
      <c r="J1945" s="9">
        <v>1.6</v>
      </c>
    </row>
    <row r="1946" spans="7:10" hidden="1" x14ac:dyDescent="0.3">
      <c r="G1946" s="10" t="s">
        <v>1914</v>
      </c>
      <c r="H1946" s="11" t="s">
        <v>2038</v>
      </c>
      <c r="I1946" s="11" t="s">
        <v>2001</v>
      </c>
      <c r="J1946" s="12">
        <v>6.25</v>
      </c>
    </row>
    <row r="1947" spans="7:10" hidden="1" x14ac:dyDescent="0.3">
      <c r="G1947" s="7" t="s">
        <v>1915</v>
      </c>
      <c r="H1947" s="8" t="s">
        <v>2060</v>
      </c>
      <c r="I1947" s="8" t="s">
        <v>2023</v>
      </c>
      <c r="J1947" s="9">
        <v>3.02</v>
      </c>
    </row>
    <row r="1948" spans="7:10" hidden="1" x14ac:dyDescent="0.3">
      <c r="G1948" s="10" t="s">
        <v>1916</v>
      </c>
      <c r="H1948" s="11" t="s">
        <v>2038</v>
      </c>
      <c r="I1948" s="11" t="s">
        <v>2015</v>
      </c>
      <c r="J1948" s="12">
        <v>5.23</v>
      </c>
    </row>
    <row r="1949" spans="7:10" hidden="1" x14ac:dyDescent="0.3">
      <c r="G1949" s="7" t="s">
        <v>1917</v>
      </c>
      <c r="H1949" s="8" t="s">
        <v>2034</v>
      </c>
      <c r="I1949" s="8" t="s">
        <v>2001</v>
      </c>
      <c r="J1949" s="9">
        <v>3.73</v>
      </c>
    </row>
    <row r="1950" spans="7:10" hidden="1" x14ac:dyDescent="0.3">
      <c r="G1950" s="10" t="s">
        <v>1918</v>
      </c>
      <c r="H1950" s="11" t="s">
        <v>2061</v>
      </c>
      <c r="I1950" s="11" t="s">
        <v>1997</v>
      </c>
      <c r="J1950" s="12">
        <v>1.32</v>
      </c>
    </row>
    <row r="1951" spans="7:10" hidden="1" x14ac:dyDescent="0.3">
      <c r="G1951" s="7" t="s">
        <v>1919</v>
      </c>
      <c r="H1951" s="8" t="s">
        <v>2035</v>
      </c>
      <c r="I1951" s="8" t="s">
        <v>2023</v>
      </c>
      <c r="J1951" s="9">
        <v>3.04</v>
      </c>
    </row>
    <row r="1952" spans="7:10" hidden="1" x14ac:dyDescent="0.3">
      <c r="G1952" s="10" t="s">
        <v>1920</v>
      </c>
      <c r="H1952" s="11" t="s">
        <v>2038</v>
      </c>
      <c r="I1952" s="11" t="s">
        <v>1979</v>
      </c>
      <c r="J1952" s="12">
        <v>0.49</v>
      </c>
    </row>
    <row r="1953" spans="7:10" hidden="1" x14ac:dyDescent="0.3">
      <c r="G1953" s="7" t="s">
        <v>1921</v>
      </c>
      <c r="H1953" s="8" t="s">
        <v>2052</v>
      </c>
      <c r="I1953" s="8" t="s">
        <v>1979</v>
      </c>
      <c r="J1953" s="9">
        <v>0.46</v>
      </c>
    </row>
    <row r="1954" spans="7:10" hidden="1" x14ac:dyDescent="0.3">
      <c r="G1954" s="10" t="s">
        <v>1922</v>
      </c>
      <c r="H1954" s="11" t="s">
        <v>2034</v>
      </c>
      <c r="I1954" s="11" t="s">
        <v>2005</v>
      </c>
      <c r="J1954" s="12">
        <v>0.56999999999999995</v>
      </c>
    </row>
    <row r="1955" spans="7:10" hidden="1" x14ac:dyDescent="0.3">
      <c r="G1955" s="7" t="s">
        <v>1923</v>
      </c>
      <c r="H1955" s="8" t="s">
        <v>2034</v>
      </c>
      <c r="I1955" s="8" t="s">
        <v>1987</v>
      </c>
      <c r="J1955" s="9">
        <v>3.11</v>
      </c>
    </row>
    <row r="1956" spans="7:10" hidden="1" x14ac:dyDescent="0.3">
      <c r="G1956" s="10" t="s">
        <v>1924</v>
      </c>
      <c r="H1956" s="11" t="s">
        <v>2035</v>
      </c>
      <c r="I1956" s="11" t="s">
        <v>1998</v>
      </c>
      <c r="J1956" s="12">
        <v>0.4</v>
      </c>
    </row>
    <row r="1957" spans="7:10" hidden="1" x14ac:dyDescent="0.3">
      <c r="G1957" s="7" t="s">
        <v>1925</v>
      </c>
      <c r="H1957" s="8" t="s">
        <v>1977</v>
      </c>
      <c r="I1957" s="8" t="s">
        <v>2031</v>
      </c>
      <c r="J1957" s="9">
        <v>1.93</v>
      </c>
    </row>
    <row r="1958" spans="7:10" hidden="1" x14ac:dyDescent="0.3">
      <c r="G1958" s="10" t="s">
        <v>1926</v>
      </c>
      <c r="H1958" s="11" t="s">
        <v>2034</v>
      </c>
      <c r="I1958" s="11" t="s">
        <v>1998</v>
      </c>
      <c r="J1958" s="12">
        <v>2.21</v>
      </c>
    </row>
    <row r="1959" spans="7:10" hidden="1" x14ac:dyDescent="0.3">
      <c r="G1959" s="7" t="s">
        <v>2021</v>
      </c>
      <c r="H1959" s="8" t="s">
        <v>2053</v>
      </c>
      <c r="I1959" s="8" t="s">
        <v>2017</v>
      </c>
      <c r="J1959" s="9">
        <v>0.34</v>
      </c>
    </row>
    <row r="1960" spans="7:10" hidden="1" x14ac:dyDescent="0.3">
      <c r="G1960" s="10" t="s">
        <v>1927</v>
      </c>
      <c r="H1960" s="11" t="s">
        <v>2039</v>
      </c>
      <c r="I1960" s="11" t="s">
        <v>1998</v>
      </c>
      <c r="J1960" s="12">
        <v>0.02</v>
      </c>
    </row>
    <row r="1961" spans="7:10" hidden="1" x14ac:dyDescent="0.3">
      <c r="G1961" s="7" t="s">
        <v>1928</v>
      </c>
      <c r="H1961" s="8" t="s">
        <v>2034</v>
      </c>
      <c r="I1961" s="8" t="s">
        <v>1987</v>
      </c>
      <c r="J1961" s="9">
        <v>2.95</v>
      </c>
    </row>
    <row r="1962" spans="7:10" hidden="1" x14ac:dyDescent="0.3">
      <c r="G1962" s="10" t="s">
        <v>1929</v>
      </c>
      <c r="H1962" s="11" t="s">
        <v>2034</v>
      </c>
      <c r="I1962" s="11" t="s">
        <v>2002</v>
      </c>
      <c r="J1962" s="12">
        <v>3.74</v>
      </c>
    </row>
    <row r="1963" spans="7:10" hidden="1" x14ac:dyDescent="0.3">
      <c r="G1963" s="7" t="s">
        <v>1930</v>
      </c>
      <c r="H1963" s="8" t="s">
        <v>2038</v>
      </c>
      <c r="I1963" s="8" t="s">
        <v>1993</v>
      </c>
      <c r="J1963" s="9">
        <v>4.33</v>
      </c>
    </row>
    <row r="1964" spans="7:10" hidden="1" x14ac:dyDescent="0.3">
      <c r="G1964" s="10" t="s">
        <v>1931</v>
      </c>
      <c r="H1964" s="11" t="s">
        <v>2042</v>
      </c>
      <c r="I1964" s="11" t="s">
        <v>2003</v>
      </c>
      <c r="J1964" s="12">
        <v>4.4000000000000004</v>
      </c>
    </row>
    <row r="1965" spans="7:10" hidden="1" x14ac:dyDescent="0.3">
      <c r="G1965" s="7" t="s">
        <v>1932</v>
      </c>
      <c r="H1965" s="8" t="s">
        <v>2052</v>
      </c>
      <c r="I1965" s="8" t="s">
        <v>1979</v>
      </c>
      <c r="J1965" s="9">
        <v>0.35</v>
      </c>
    </row>
    <row r="1966" spans="7:10" hidden="1" x14ac:dyDescent="0.3">
      <c r="G1966" s="10" t="s">
        <v>1933</v>
      </c>
      <c r="H1966" s="11" t="s">
        <v>2034</v>
      </c>
      <c r="I1966" s="11" t="s">
        <v>1998</v>
      </c>
      <c r="J1966" s="12">
        <v>0.26</v>
      </c>
    </row>
    <row r="1967" spans="7:10" hidden="1" x14ac:dyDescent="0.3">
      <c r="G1967" s="7" t="s">
        <v>1934</v>
      </c>
      <c r="H1967" s="8" t="s">
        <v>2038</v>
      </c>
      <c r="I1967" s="8" t="s">
        <v>1998</v>
      </c>
      <c r="J1967" s="9">
        <v>1.4</v>
      </c>
    </row>
    <row r="1968" spans="7:10" hidden="1" x14ac:dyDescent="0.3">
      <c r="G1968" s="10" t="s">
        <v>1935</v>
      </c>
      <c r="H1968" s="11" t="s">
        <v>2037</v>
      </c>
      <c r="I1968" s="11" t="s">
        <v>1979</v>
      </c>
      <c r="J1968" s="12">
        <v>0.47</v>
      </c>
    </row>
    <row r="1969" spans="7:10" hidden="1" x14ac:dyDescent="0.3">
      <c r="G1969" s="7" t="s">
        <v>1936</v>
      </c>
      <c r="H1969" s="8" t="s">
        <v>2034</v>
      </c>
      <c r="I1969" s="8" t="s">
        <v>2023</v>
      </c>
      <c r="J1969" s="9">
        <v>6.05</v>
      </c>
    </row>
    <row r="1970" spans="7:10" hidden="1" x14ac:dyDescent="0.3">
      <c r="G1970" s="10" t="s">
        <v>1937</v>
      </c>
      <c r="H1970" s="11" t="s">
        <v>2038</v>
      </c>
      <c r="I1970" s="11" t="s">
        <v>1987</v>
      </c>
      <c r="J1970" s="12">
        <v>3.62</v>
      </c>
    </row>
    <row r="1971" spans="7:10" hidden="1" x14ac:dyDescent="0.3">
      <c r="G1971" s="7" t="s">
        <v>1938</v>
      </c>
      <c r="H1971" s="8" t="s">
        <v>2034</v>
      </c>
      <c r="I1971" s="8" t="s">
        <v>2022</v>
      </c>
      <c r="J1971" s="9">
        <v>1.35</v>
      </c>
    </row>
    <row r="1972" spans="7:10" hidden="1" x14ac:dyDescent="0.3">
      <c r="G1972" s="10" t="s">
        <v>1939</v>
      </c>
      <c r="H1972" s="11" t="s">
        <v>2038</v>
      </c>
      <c r="I1972" s="11" t="s">
        <v>1979</v>
      </c>
      <c r="J1972" s="12">
        <v>0.24</v>
      </c>
    </row>
    <row r="1973" spans="7:10" hidden="1" x14ac:dyDescent="0.3">
      <c r="G1973" s="7" t="s">
        <v>1940</v>
      </c>
      <c r="H1973" s="8" t="s">
        <v>2037</v>
      </c>
      <c r="I1973" s="8" t="s">
        <v>2031</v>
      </c>
      <c r="J1973" s="9">
        <v>2.52</v>
      </c>
    </row>
    <row r="1974" spans="7:10" hidden="1" x14ac:dyDescent="0.3">
      <c r="G1974" s="10" t="s">
        <v>1941</v>
      </c>
      <c r="H1974" s="11" t="s">
        <v>2050</v>
      </c>
      <c r="I1974" s="11" t="s">
        <v>2029</v>
      </c>
      <c r="J1974" s="12">
        <v>4.53</v>
      </c>
    </row>
    <row r="1975" spans="7:10" hidden="1" x14ac:dyDescent="0.3">
      <c r="G1975" s="7" t="s">
        <v>1942</v>
      </c>
      <c r="H1975" s="8" t="s">
        <v>2042</v>
      </c>
      <c r="I1975" s="8" t="s">
        <v>1986</v>
      </c>
      <c r="J1975" s="9">
        <v>1.91</v>
      </c>
    </row>
    <row r="1976" spans="7:10" hidden="1" x14ac:dyDescent="0.3">
      <c r="G1976" s="10" t="s">
        <v>1943</v>
      </c>
      <c r="H1976" s="11" t="s">
        <v>2034</v>
      </c>
      <c r="I1976" s="11" t="s">
        <v>2027</v>
      </c>
      <c r="J1976" s="12">
        <v>2.61</v>
      </c>
    </row>
    <row r="1977" spans="7:10" hidden="1" x14ac:dyDescent="0.3">
      <c r="G1977" s="7" t="s">
        <v>1944</v>
      </c>
      <c r="H1977" s="8" t="s">
        <v>2052</v>
      </c>
      <c r="I1977" s="8" t="s">
        <v>2030</v>
      </c>
      <c r="J1977" s="9">
        <v>0.28000000000000003</v>
      </c>
    </row>
    <row r="1978" spans="7:10" hidden="1" x14ac:dyDescent="0.3">
      <c r="G1978" s="10" t="s">
        <v>1945</v>
      </c>
      <c r="H1978" s="11" t="s">
        <v>2038</v>
      </c>
      <c r="I1978" s="11" t="s">
        <v>1979</v>
      </c>
      <c r="J1978" s="12">
        <v>0.28000000000000003</v>
      </c>
    </row>
    <row r="1979" spans="7:10" hidden="1" x14ac:dyDescent="0.3">
      <c r="G1979" s="7" t="s">
        <v>1946</v>
      </c>
      <c r="H1979" s="8" t="s">
        <v>2041</v>
      </c>
      <c r="I1979" s="8" t="s">
        <v>1979</v>
      </c>
      <c r="J1979" s="9">
        <v>0.64</v>
      </c>
    </row>
    <row r="1980" spans="7:10" hidden="1" x14ac:dyDescent="0.3">
      <c r="G1980" s="10" t="s">
        <v>1947</v>
      </c>
      <c r="H1980" s="11" t="s">
        <v>2061</v>
      </c>
      <c r="I1980" s="11" t="s">
        <v>1979</v>
      </c>
      <c r="J1980" s="12">
        <v>0.93</v>
      </c>
    </row>
    <row r="1981" spans="7:10" hidden="1" x14ac:dyDescent="0.3">
      <c r="G1981" s="7" t="s">
        <v>1948</v>
      </c>
      <c r="H1981" s="8" t="s">
        <v>2034</v>
      </c>
      <c r="I1981" s="8" t="s">
        <v>2023</v>
      </c>
      <c r="J1981" s="9">
        <v>5.98</v>
      </c>
    </row>
    <row r="1982" spans="7:10" hidden="1" x14ac:dyDescent="0.3">
      <c r="G1982" s="10" t="s">
        <v>1949</v>
      </c>
      <c r="H1982" s="11" t="s">
        <v>2061</v>
      </c>
      <c r="I1982" s="11" t="s">
        <v>1979</v>
      </c>
      <c r="J1982" s="12">
        <v>1.05</v>
      </c>
    </row>
    <row r="1983" spans="7:10" hidden="1" x14ac:dyDescent="0.3">
      <c r="G1983" s="7" t="s">
        <v>1950</v>
      </c>
      <c r="H1983" s="8" t="s">
        <v>2034</v>
      </c>
      <c r="I1983" s="8" t="s">
        <v>2005</v>
      </c>
      <c r="J1983" s="9">
        <v>2.93</v>
      </c>
    </row>
    <row r="1984" spans="7:10" hidden="1" x14ac:dyDescent="0.3">
      <c r="G1984" s="10" t="s">
        <v>1951</v>
      </c>
      <c r="H1984" s="11" t="s">
        <v>2034</v>
      </c>
      <c r="I1984" s="11" t="s">
        <v>2002</v>
      </c>
      <c r="J1984" s="12">
        <v>1.1599999999999999</v>
      </c>
    </row>
    <row r="1985" spans="7:10" hidden="1" x14ac:dyDescent="0.3">
      <c r="G1985" s="7" t="s">
        <v>2014</v>
      </c>
      <c r="H1985" s="8" t="s">
        <v>2034</v>
      </c>
      <c r="I1985" s="8" t="s">
        <v>2005</v>
      </c>
      <c r="J1985" s="9">
        <v>2.62</v>
      </c>
    </row>
    <row r="1986" spans="7:10" hidden="1" x14ac:dyDescent="0.3">
      <c r="G1986" s="10" t="s">
        <v>1952</v>
      </c>
      <c r="H1986" s="11" t="s">
        <v>2054</v>
      </c>
      <c r="I1986" s="11" t="s">
        <v>2030</v>
      </c>
      <c r="J1986" s="12">
        <v>0.47</v>
      </c>
    </row>
    <row r="1987" spans="7:10" hidden="1" x14ac:dyDescent="0.3">
      <c r="G1987" s="7" t="s">
        <v>1953</v>
      </c>
      <c r="H1987" s="8" t="s">
        <v>2038</v>
      </c>
      <c r="I1987" s="8" t="s">
        <v>1986</v>
      </c>
      <c r="J1987" s="9">
        <v>4.09</v>
      </c>
    </row>
    <row r="1988" spans="7:10" hidden="1" x14ac:dyDescent="0.3">
      <c r="G1988" s="10" t="s">
        <v>1954</v>
      </c>
      <c r="H1988" s="11" t="s">
        <v>2057</v>
      </c>
      <c r="I1988" s="11" t="s">
        <v>2015</v>
      </c>
      <c r="J1988" s="12">
        <v>2.57</v>
      </c>
    </row>
    <row r="1989" spans="7:10" hidden="1" x14ac:dyDescent="0.3">
      <c r="G1989" s="7" t="s">
        <v>1955</v>
      </c>
      <c r="H1989" s="8" t="s">
        <v>2050</v>
      </c>
      <c r="I1989" s="8" t="s">
        <v>1998</v>
      </c>
      <c r="J1989" s="9">
        <v>0.2</v>
      </c>
    </row>
    <row r="1990" spans="7:10" hidden="1" x14ac:dyDescent="0.3">
      <c r="G1990" s="10" t="s">
        <v>1956</v>
      </c>
      <c r="H1990" s="11" t="s">
        <v>2065</v>
      </c>
      <c r="I1990" s="11" t="s">
        <v>2027</v>
      </c>
      <c r="J1990" s="12">
        <v>1.1499999999999999</v>
      </c>
    </row>
    <row r="1991" spans="7:10" hidden="1" x14ac:dyDescent="0.3">
      <c r="G1991" s="7" t="s">
        <v>1957</v>
      </c>
      <c r="H1991" s="8" t="s">
        <v>2038</v>
      </c>
      <c r="I1991" s="8" t="s">
        <v>2029</v>
      </c>
      <c r="J1991" s="9">
        <v>5.93</v>
      </c>
    </row>
    <row r="1992" spans="7:10" hidden="1" x14ac:dyDescent="0.3">
      <c r="G1992" s="10" t="s">
        <v>1958</v>
      </c>
      <c r="H1992" s="11" t="s">
        <v>2038</v>
      </c>
      <c r="I1992" s="11" t="s">
        <v>2029</v>
      </c>
      <c r="J1992" s="12">
        <v>5.93</v>
      </c>
    </row>
    <row r="1993" spans="7:10" hidden="1" x14ac:dyDescent="0.3">
      <c r="G1993" s="7" t="s">
        <v>1959</v>
      </c>
      <c r="H1993" s="8" t="s">
        <v>2063</v>
      </c>
      <c r="I1993" s="8" t="s">
        <v>2001</v>
      </c>
      <c r="J1993" s="9">
        <v>2.35</v>
      </c>
    </row>
    <row r="1994" spans="7:10" hidden="1" x14ac:dyDescent="0.3">
      <c r="G1994" s="10" t="s">
        <v>1960</v>
      </c>
      <c r="H1994" s="11" t="s">
        <v>2065</v>
      </c>
      <c r="I1994" s="11" t="s">
        <v>1979</v>
      </c>
      <c r="J1994" s="12">
        <v>0.44</v>
      </c>
    </row>
    <row r="1995" spans="7:10" hidden="1" x14ac:dyDescent="0.3">
      <c r="G1995" s="7" t="s">
        <v>1961</v>
      </c>
      <c r="H1995" s="8" t="s">
        <v>2038</v>
      </c>
      <c r="I1995" s="8" t="s">
        <v>2004</v>
      </c>
      <c r="J1995" s="9">
        <v>3.33</v>
      </c>
    </row>
    <row r="1996" spans="7:10" hidden="1" x14ac:dyDescent="0.3">
      <c r="G1996" s="10" t="s">
        <v>1962</v>
      </c>
      <c r="H1996" s="11" t="s">
        <v>2038</v>
      </c>
      <c r="I1996" s="11" t="s">
        <v>2015</v>
      </c>
      <c r="J1996" s="12">
        <v>4</v>
      </c>
    </row>
    <row r="1997" spans="7:10" hidden="1" x14ac:dyDescent="0.3">
      <c r="G1997" s="7" t="s">
        <v>1963</v>
      </c>
      <c r="H1997" s="8" t="s">
        <v>2035</v>
      </c>
      <c r="I1997" s="8" t="s">
        <v>1999</v>
      </c>
      <c r="J1997" s="9">
        <v>1.52</v>
      </c>
    </row>
    <row r="1998" spans="7:10" hidden="1" x14ac:dyDescent="0.3">
      <c r="G1998" s="10" t="s">
        <v>1964</v>
      </c>
      <c r="H1998" s="11" t="s">
        <v>2038</v>
      </c>
      <c r="I1998" s="11" t="s">
        <v>1979</v>
      </c>
      <c r="J1998" s="12">
        <v>0.44</v>
      </c>
    </row>
    <row r="1999" spans="7:10" hidden="1" x14ac:dyDescent="0.3">
      <c r="G1999" s="7" t="s">
        <v>1965</v>
      </c>
      <c r="H1999" s="8" t="s">
        <v>2034</v>
      </c>
      <c r="I1999" s="8" t="s">
        <v>2031</v>
      </c>
      <c r="J1999" s="9">
        <v>2.72</v>
      </c>
    </row>
    <row r="2000" spans="7:10" hidden="1" x14ac:dyDescent="0.3">
      <c r="G2000" s="10" t="s">
        <v>1966</v>
      </c>
      <c r="H2000" s="11" t="s">
        <v>2034</v>
      </c>
      <c r="I2000" s="11" t="s">
        <v>2031</v>
      </c>
      <c r="J2000" s="12">
        <v>2.36</v>
      </c>
    </row>
    <row r="2001" spans="7:10" hidden="1" x14ac:dyDescent="0.3">
      <c r="G2001" s="7" t="s">
        <v>1967</v>
      </c>
      <c r="H2001" s="8" t="s">
        <v>2037</v>
      </c>
      <c r="I2001" s="8" t="s">
        <v>1979</v>
      </c>
      <c r="J2001" s="9">
        <v>0.45</v>
      </c>
    </row>
    <row r="2002" spans="7:10" hidden="1" x14ac:dyDescent="0.3">
      <c r="G2002" s="10" t="s">
        <v>1968</v>
      </c>
      <c r="H2002" s="11" t="s">
        <v>2034</v>
      </c>
      <c r="I2002" s="11" t="s">
        <v>2031</v>
      </c>
      <c r="J2002" s="12">
        <v>2.96</v>
      </c>
    </row>
    <row r="2003" spans="7:10" hidden="1" x14ac:dyDescent="0.3">
      <c r="G2003" s="7" t="s">
        <v>1969</v>
      </c>
      <c r="H2003" s="8" t="s">
        <v>2038</v>
      </c>
      <c r="I2003" s="8" t="s">
        <v>2017</v>
      </c>
      <c r="J2003" s="9">
        <v>3.34</v>
      </c>
    </row>
    <row r="2004" spans="7:10" hidden="1" x14ac:dyDescent="0.3">
      <c r="G2004" s="1" t="s">
        <v>1970</v>
      </c>
      <c r="H2004" s="2" t="s">
        <v>2034</v>
      </c>
      <c r="I2004" s="2" t="s">
        <v>2005</v>
      </c>
      <c r="J2004" s="3">
        <v>2.2000000000000002</v>
      </c>
    </row>
    <row r="2005" spans="7:10" x14ac:dyDescent="0.3">
      <c r="J2005">
        <f>SUBTOTAL(9,J88:J1942)</f>
        <v>530.30999999999983</v>
      </c>
    </row>
  </sheetData>
  <autoFilter ref="G4:J2004" xr:uid="{67062583-33FB-474B-99EB-EBE00B745F6B}">
    <filterColumn colId="1">
      <filters>
        <filter val="Канада"/>
      </filters>
    </filterColumn>
    <sortState xmlns:xlrd2="http://schemas.microsoft.com/office/spreadsheetml/2017/richdata2" ref="G88:J1942">
      <sortCondition ref="I4:I2004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5909-16E6-4A06-A436-B6EB3C9B17E3}">
  <dimension ref="A1:B20"/>
  <sheetViews>
    <sheetView workbookViewId="0">
      <selection activeCell="F13" sqref="F13"/>
    </sheetView>
  </sheetViews>
  <sheetFormatPr defaultRowHeight="14.4" x14ac:dyDescent="0.3"/>
  <cols>
    <col min="1" max="1" width="46.5546875" bestFit="1" customWidth="1"/>
    <col min="2" max="2" width="33.33203125" bestFit="1" customWidth="1"/>
    <col min="3" max="3" width="7.6640625" bestFit="1" customWidth="1"/>
    <col min="4" max="4" width="11" bestFit="1" customWidth="1"/>
    <col min="5" max="5" width="10.109375" bestFit="1" customWidth="1"/>
    <col min="6" max="6" width="18" bestFit="1" customWidth="1"/>
    <col min="7" max="7" width="18.44140625" bestFit="1" customWidth="1"/>
    <col min="8" max="8" width="6.88671875" bestFit="1" customWidth="1"/>
    <col min="9" max="9" width="18.109375" bestFit="1" customWidth="1"/>
    <col min="10" max="10" width="17" bestFit="1" customWidth="1"/>
    <col min="11" max="11" width="9.5546875" bestFit="1" customWidth="1"/>
    <col min="12" max="12" width="7.6640625" bestFit="1" customWidth="1"/>
    <col min="13" max="13" width="5.77734375" bestFit="1" customWidth="1"/>
    <col min="14" max="14" width="6" bestFit="1" customWidth="1"/>
    <col min="15" max="15" width="19.6640625" bestFit="1" customWidth="1"/>
    <col min="16" max="16" width="5" bestFit="1" customWidth="1"/>
    <col min="17" max="17" width="8.33203125" bestFit="1" customWidth="1"/>
    <col min="18" max="18" width="5.88671875" bestFit="1" customWidth="1"/>
    <col min="19" max="19" width="10" bestFit="1" customWidth="1"/>
    <col min="20" max="20" width="7.21875" bestFit="1" customWidth="1"/>
    <col min="21" max="21" width="16.77734375" bestFit="1" customWidth="1"/>
    <col min="22" max="22" width="14.88671875" bestFit="1" customWidth="1"/>
    <col min="23" max="23" width="14" bestFit="1" customWidth="1"/>
    <col min="24" max="24" width="17.77734375" bestFit="1" customWidth="1"/>
    <col min="25" max="25" width="20" bestFit="1" customWidth="1"/>
    <col min="26" max="26" width="14.88671875" bestFit="1" customWidth="1"/>
    <col min="27" max="27" width="9.5546875" bestFit="1" customWidth="1"/>
    <col min="28" max="28" width="6.44140625" bestFit="1" customWidth="1"/>
    <col min="29" max="29" width="5" bestFit="1" customWidth="1"/>
    <col min="30" max="32" width="6" bestFit="1" customWidth="1"/>
    <col min="33" max="33" width="17.77734375" bestFit="1" customWidth="1"/>
    <col min="34" max="34" width="6" bestFit="1" customWidth="1"/>
    <col min="35" max="35" width="18.5546875" bestFit="1" customWidth="1"/>
    <col min="36" max="36" width="21.88671875" bestFit="1" customWidth="1"/>
    <col min="37" max="37" width="7.109375" bestFit="1" customWidth="1"/>
    <col min="38" max="38" width="6" bestFit="1" customWidth="1"/>
    <col min="39" max="39" width="9.77734375" bestFit="1" customWidth="1"/>
    <col min="40" max="40" width="5" bestFit="1" customWidth="1"/>
    <col min="41" max="41" width="16" bestFit="1" customWidth="1"/>
    <col min="42" max="42" width="8.5546875" bestFit="1" customWidth="1"/>
    <col min="43" max="43" width="19.6640625" bestFit="1" customWidth="1"/>
    <col min="44" max="44" width="15.6640625" bestFit="1" customWidth="1"/>
    <col min="45" max="45" width="16.6640625" bestFit="1" customWidth="1"/>
    <col min="46" max="46" width="9.33203125" bestFit="1" customWidth="1"/>
    <col min="47" max="47" width="10" bestFit="1" customWidth="1"/>
    <col min="48" max="48" width="14.88671875" bestFit="1" customWidth="1"/>
    <col min="49" max="49" width="19" bestFit="1" customWidth="1"/>
    <col min="50" max="50" width="7.44140625" bestFit="1" customWidth="1"/>
    <col min="51" max="51" width="5" bestFit="1" customWidth="1"/>
    <col min="52" max="52" width="10" bestFit="1" customWidth="1"/>
    <col min="53" max="53" width="16.33203125" bestFit="1" customWidth="1"/>
    <col min="54" max="54" width="12" bestFit="1" customWidth="1"/>
    <col min="55" max="55" width="13.33203125" bestFit="1" customWidth="1"/>
    <col min="56" max="56" width="9.88671875" bestFit="1" customWidth="1"/>
    <col min="57" max="57" width="5.6640625" bestFit="1" customWidth="1"/>
    <col min="58" max="58" width="6.6640625" bestFit="1" customWidth="1"/>
    <col min="59" max="59" width="6" bestFit="1" customWidth="1"/>
    <col min="60" max="60" width="15.5546875" bestFit="1" customWidth="1"/>
    <col min="61" max="61" width="22" bestFit="1" customWidth="1"/>
    <col min="62" max="62" width="5.21875" bestFit="1" customWidth="1"/>
    <col min="63" max="63" width="14.5546875" bestFit="1" customWidth="1"/>
    <col min="64" max="64" width="12.33203125" bestFit="1" customWidth="1"/>
    <col min="65" max="65" width="10.21875" bestFit="1" customWidth="1"/>
    <col min="66" max="66" width="16.88671875" bestFit="1" customWidth="1"/>
    <col min="67" max="67" width="15.6640625" bestFit="1" customWidth="1"/>
    <col min="68" max="68" width="21" bestFit="1" customWidth="1"/>
    <col min="69" max="69" width="7.88671875" bestFit="1" customWidth="1"/>
    <col min="70" max="70" width="17.44140625" bestFit="1" customWidth="1"/>
    <col min="71" max="71" width="15.88671875" bestFit="1" customWidth="1"/>
    <col min="72" max="72" width="12.5546875" bestFit="1" customWidth="1"/>
    <col min="73" max="73" width="16.109375" bestFit="1" customWidth="1"/>
    <col min="74" max="74" width="15.21875" bestFit="1" customWidth="1"/>
    <col min="75" max="75" width="15.44140625" bestFit="1" customWidth="1"/>
    <col min="76" max="76" width="7.21875" bestFit="1" customWidth="1"/>
    <col min="77" max="77" width="5.21875" bestFit="1" customWidth="1"/>
    <col min="78" max="78" width="10.5546875" bestFit="1" customWidth="1"/>
    <col min="79" max="79" width="11" bestFit="1" customWidth="1"/>
    <col min="80" max="80" width="6.88671875" bestFit="1" customWidth="1"/>
    <col min="81" max="81" width="6.6640625" bestFit="1" customWidth="1"/>
    <col min="82" max="82" width="6.44140625" bestFit="1" customWidth="1"/>
    <col min="83" max="83" width="6" bestFit="1" customWidth="1"/>
    <col min="84" max="84" width="11.109375" bestFit="1" customWidth="1"/>
    <col min="85" max="85" width="22" bestFit="1" customWidth="1"/>
    <col min="86" max="86" width="12.109375" bestFit="1" customWidth="1"/>
    <col min="87" max="87" width="12.88671875" bestFit="1" customWidth="1"/>
    <col min="88" max="88" width="20.5546875" bestFit="1" customWidth="1"/>
    <col min="89" max="89" width="6.5546875" bestFit="1" customWidth="1"/>
    <col min="90" max="90" width="7.77734375" bestFit="1" customWidth="1"/>
    <col min="91" max="91" width="6.109375" bestFit="1" customWidth="1"/>
    <col min="92" max="92" width="19.109375" bestFit="1" customWidth="1"/>
    <col min="93" max="93" width="12.88671875" bestFit="1" customWidth="1"/>
    <col min="94" max="94" width="7.6640625" bestFit="1" customWidth="1"/>
    <col min="95" max="96" width="15.5546875" bestFit="1" customWidth="1"/>
    <col min="97" max="97" width="15.77734375" bestFit="1" customWidth="1"/>
    <col min="98" max="98" width="18.21875" bestFit="1" customWidth="1"/>
    <col min="99" max="99" width="23.44140625" bestFit="1" customWidth="1"/>
    <col min="100" max="100" width="18.109375" bestFit="1" customWidth="1"/>
    <col min="101" max="101" width="15.88671875" bestFit="1" customWidth="1"/>
    <col min="102" max="102" width="17.33203125" bestFit="1" customWidth="1"/>
    <col min="103" max="103" width="14.77734375" bestFit="1" customWidth="1"/>
    <col min="104" max="104" width="11" bestFit="1" customWidth="1"/>
    <col min="105" max="105" width="18" bestFit="1" customWidth="1"/>
    <col min="106" max="106" width="17.6640625" bestFit="1" customWidth="1"/>
    <col min="107" max="107" width="13.44140625" bestFit="1" customWidth="1"/>
    <col min="108" max="108" width="7" bestFit="1" customWidth="1"/>
    <col min="109" max="109" width="14.6640625" bestFit="1" customWidth="1"/>
    <col min="110" max="110" width="5.109375" bestFit="1" customWidth="1"/>
    <col min="111" max="111" width="6" bestFit="1" customWidth="1"/>
    <col min="112" max="112" width="16.44140625" bestFit="1" customWidth="1"/>
    <col min="113" max="113" width="9.6640625" bestFit="1" customWidth="1"/>
    <col min="114" max="114" width="18.6640625" bestFit="1" customWidth="1"/>
    <col min="115" max="115" width="13.77734375" bestFit="1" customWidth="1"/>
    <col min="116" max="116" width="14.44140625" bestFit="1" customWidth="1"/>
    <col min="117" max="117" width="14.6640625" bestFit="1" customWidth="1"/>
    <col min="118" max="118" width="18.33203125" bestFit="1" customWidth="1"/>
    <col min="119" max="119" width="21.44140625" bestFit="1" customWidth="1"/>
    <col min="120" max="120" width="9.5546875" bestFit="1" customWidth="1"/>
    <col min="121" max="121" width="11.21875" bestFit="1" customWidth="1"/>
    <col min="122" max="122" width="9.21875" bestFit="1" customWidth="1"/>
    <col min="123" max="123" width="11.88671875" bestFit="1" customWidth="1"/>
    <col min="124" max="124" width="5" bestFit="1" customWidth="1"/>
    <col min="125" max="125" width="7.33203125" bestFit="1" customWidth="1"/>
    <col min="126" max="126" width="20.33203125" bestFit="1" customWidth="1"/>
    <col min="127" max="127" width="5.6640625" bestFit="1" customWidth="1"/>
    <col min="128" max="128" width="21.5546875" bestFit="1" customWidth="1"/>
    <col min="129" max="129" width="14.88671875" bestFit="1" customWidth="1"/>
    <col min="130" max="130" width="20.5546875" bestFit="1" customWidth="1"/>
    <col min="131" max="131" width="15.77734375" bestFit="1" customWidth="1"/>
    <col min="132" max="132" width="9.6640625" bestFit="1" customWidth="1"/>
    <col min="133" max="133" width="14.88671875" bestFit="1" customWidth="1"/>
    <col min="134" max="134" width="8.21875" bestFit="1" customWidth="1"/>
    <col min="135" max="135" width="7" bestFit="1" customWidth="1"/>
    <col min="136" max="136" width="16.88671875" bestFit="1" customWidth="1"/>
    <col min="137" max="137" width="13.109375" bestFit="1" customWidth="1"/>
    <col min="138" max="138" width="15.21875" bestFit="1" customWidth="1"/>
    <col min="139" max="139" width="11.5546875" bestFit="1" customWidth="1"/>
    <col min="140" max="140" width="15.6640625" bestFit="1" customWidth="1"/>
    <col min="141" max="141" width="11.77734375" bestFit="1" customWidth="1"/>
    <col min="142" max="142" width="14.21875" bestFit="1" customWidth="1"/>
    <col min="143" max="143" width="10.21875" bestFit="1" customWidth="1"/>
    <col min="144" max="144" width="10.33203125" bestFit="1" customWidth="1"/>
    <col min="145" max="145" width="9.77734375" bestFit="1" customWidth="1"/>
    <col min="146" max="146" width="7.77734375" bestFit="1" customWidth="1"/>
    <col min="147" max="147" width="12.77734375" bestFit="1" customWidth="1"/>
    <col min="148" max="148" width="10.109375" bestFit="1" customWidth="1"/>
    <col min="149" max="149" width="17" bestFit="1" customWidth="1"/>
    <col min="150" max="150" width="19.44140625" bestFit="1" customWidth="1"/>
    <col min="151" max="151" width="8.33203125" bestFit="1" customWidth="1"/>
    <col min="152" max="152" width="14.44140625" bestFit="1" customWidth="1"/>
    <col min="153" max="153" width="14.77734375" bestFit="1" customWidth="1"/>
    <col min="154" max="154" width="16.77734375" bestFit="1" customWidth="1"/>
    <col min="155" max="155" width="11.33203125" bestFit="1" customWidth="1"/>
    <col min="156" max="156" width="16.5546875" bestFit="1" customWidth="1"/>
    <col min="157" max="157" width="6" bestFit="1" customWidth="1"/>
    <col min="158" max="158" width="10.88671875" bestFit="1" customWidth="1"/>
    <col min="159" max="159" width="12.6640625" bestFit="1" customWidth="1"/>
    <col min="160" max="160" width="10.21875" bestFit="1" customWidth="1"/>
    <col min="161" max="161" width="15.5546875" bestFit="1" customWidth="1"/>
    <col min="162" max="162" width="12.109375" bestFit="1" customWidth="1"/>
    <col min="163" max="163" width="17.6640625" bestFit="1" customWidth="1"/>
    <col min="164" max="164" width="9" bestFit="1" customWidth="1"/>
    <col min="165" max="165" width="7" bestFit="1" customWidth="1"/>
    <col min="166" max="166" width="14.21875" bestFit="1" customWidth="1"/>
    <col min="167" max="167" width="10.77734375" bestFit="1" customWidth="1"/>
    <col min="168" max="168" width="10.33203125" bestFit="1" customWidth="1"/>
    <col min="169" max="169" width="9.33203125" bestFit="1" customWidth="1"/>
    <col min="170" max="170" width="10.33203125" bestFit="1" customWidth="1"/>
    <col min="171" max="171" width="21.88671875" bestFit="1" customWidth="1"/>
    <col min="172" max="172" width="6.21875" bestFit="1" customWidth="1"/>
    <col min="173" max="173" width="14.33203125" bestFit="1" customWidth="1"/>
    <col min="174" max="175" width="6" bestFit="1" customWidth="1"/>
    <col min="176" max="176" width="13.44140625" bestFit="1" customWidth="1"/>
    <col min="177" max="177" width="8" bestFit="1" customWidth="1"/>
    <col min="178" max="178" width="9.33203125" bestFit="1" customWidth="1"/>
    <col min="179" max="179" width="5.21875" bestFit="1" customWidth="1"/>
    <col min="180" max="180" width="10.21875" bestFit="1" customWidth="1"/>
    <col min="181" max="181" width="18" bestFit="1" customWidth="1"/>
    <col min="182" max="182" width="18.44140625" bestFit="1" customWidth="1"/>
    <col min="183" max="183" width="4.5546875" bestFit="1" customWidth="1"/>
    <col min="184" max="184" width="11.6640625" bestFit="1" customWidth="1"/>
    <col min="185" max="185" width="12.44140625" bestFit="1" customWidth="1"/>
    <col min="186" max="186" width="13.109375" bestFit="1" customWidth="1"/>
    <col min="187" max="187" width="5" bestFit="1" customWidth="1"/>
    <col min="188" max="188" width="12.5546875" bestFit="1" customWidth="1"/>
    <col min="189" max="189" width="17.77734375" bestFit="1" customWidth="1"/>
    <col min="190" max="190" width="11.77734375" bestFit="1" customWidth="1"/>
    <col min="191" max="191" width="15.21875" bestFit="1" customWidth="1"/>
    <col min="192" max="192" width="11.6640625" bestFit="1" customWidth="1"/>
    <col min="193" max="193" width="21" bestFit="1" customWidth="1"/>
    <col min="194" max="194" width="19.109375" bestFit="1" customWidth="1"/>
    <col min="195" max="195" width="22.77734375" bestFit="1" customWidth="1"/>
    <col min="196" max="196" width="23.44140625" bestFit="1" customWidth="1"/>
    <col min="197" max="197" width="21" bestFit="1" customWidth="1"/>
    <col min="198" max="198" width="9.44140625" bestFit="1" customWidth="1"/>
    <col min="199" max="199" width="14.44140625" bestFit="1" customWidth="1"/>
    <col min="200" max="200" width="13.44140625" bestFit="1" customWidth="1"/>
    <col min="201" max="202" width="16.44140625" bestFit="1" customWidth="1"/>
    <col min="203" max="203" width="13.88671875" bestFit="1" customWidth="1"/>
    <col min="204" max="204" width="12" bestFit="1" customWidth="1"/>
    <col min="205" max="205" width="20.44140625" bestFit="1" customWidth="1"/>
    <col min="206" max="206" width="15.44140625" bestFit="1" customWidth="1"/>
    <col min="207" max="207" width="12.21875" bestFit="1" customWidth="1"/>
    <col min="208" max="208" width="13.109375" bestFit="1" customWidth="1"/>
    <col min="209" max="209" width="15.6640625" bestFit="1" customWidth="1"/>
    <col min="210" max="210" width="14" bestFit="1" customWidth="1"/>
    <col min="211" max="211" width="13.77734375" bestFit="1" customWidth="1"/>
    <col min="212" max="212" width="16.5546875" bestFit="1" customWidth="1"/>
    <col min="213" max="213" width="12.21875" bestFit="1" customWidth="1"/>
    <col min="214" max="214" width="14.88671875" bestFit="1" customWidth="1"/>
    <col min="215" max="215" width="15.5546875" bestFit="1" customWidth="1"/>
    <col min="216" max="216" width="14" bestFit="1" customWidth="1"/>
    <col min="217" max="217" width="22.44140625" bestFit="1" customWidth="1"/>
    <col min="218" max="218" width="15.33203125" bestFit="1" customWidth="1"/>
    <col min="219" max="219" width="15.21875" bestFit="1" customWidth="1"/>
    <col min="220" max="220" width="13.77734375" bestFit="1" customWidth="1"/>
    <col min="221" max="221" width="13.5546875" bestFit="1" customWidth="1"/>
    <col min="222" max="222" width="12.5546875" bestFit="1" customWidth="1"/>
    <col min="223" max="223" width="12.109375" bestFit="1" customWidth="1"/>
    <col min="224" max="224" width="13.88671875" bestFit="1" customWidth="1"/>
    <col min="225" max="225" width="12.5546875" bestFit="1" customWidth="1"/>
    <col min="226" max="226" width="12.88671875" bestFit="1" customWidth="1"/>
    <col min="227" max="227" width="15.77734375" bestFit="1" customWidth="1"/>
    <col min="228" max="228" width="14.44140625" bestFit="1" customWidth="1"/>
    <col min="229" max="229" width="16" bestFit="1" customWidth="1"/>
    <col min="230" max="230" width="18.109375" bestFit="1" customWidth="1"/>
    <col min="231" max="231" width="15.109375" bestFit="1" customWidth="1"/>
    <col min="232" max="232" width="11.88671875" bestFit="1" customWidth="1"/>
    <col min="233" max="233" width="17" bestFit="1" customWidth="1"/>
    <col min="234" max="234" width="20.33203125" bestFit="1" customWidth="1"/>
    <col min="235" max="235" width="20.44140625" bestFit="1" customWidth="1"/>
    <col min="236" max="236" width="9.109375" bestFit="1" customWidth="1"/>
    <col min="237" max="237" width="21.44140625" bestFit="1" customWidth="1"/>
    <col min="238" max="238" width="18.77734375" bestFit="1" customWidth="1"/>
    <col min="239" max="239" width="7.88671875" bestFit="1" customWidth="1"/>
    <col min="240" max="240" width="10.109375" bestFit="1" customWidth="1"/>
    <col min="241" max="241" width="18.88671875" bestFit="1" customWidth="1"/>
    <col min="242" max="242" width="19.5546875" bestFit="1" customWidth="1"/>
    <col min="243" max="243" width="11.109375" bestFit="1" customWidth="1"/>
    <col min="244" max="244" width="10.88671875" bestFit="1" customWidth="1"/>
    <col min="245" max="245" width="18.44140625" bestFit="1" customWidth="1"/>
    <col min="246" max="246" width="17.88671875" bestFit="1" customWidth="1"/>
    <col min="247" max="247" width="11.44140625" bestFit="1" customWidth="1"/>
    <col min="248" max="248" width="6.88671875" bestFit="1" customWidth="1"/>
    <col min="249" max="249" width="5.6640625" bestFit="1" customWidth="1"/>
    <col min="250" max="250" width="24.33203125" bestFit="1" customWidth="1"/>
    <col min="251" max="251" width="6" bestFit="1" customWidth="1"/>
    <col min="252" max="252" width="16.33203125" bestFit="1" customWidth="1"/>
    <col min="253" max="253" width="21.77734375" bestFit="1" customWidth="1"/>
    <col min="254" max="254" width="10.109375" bestFit="1" customWidth="1"/>
    <col min="255" max="255" width="15" bestFit="1" customWidth="1"/>
    <col min="256" max="256" width="16.88671875" bestFit="1" customWidth="1"/>
    <col min="257" max="257" width="16.109375" bestFit="1" customWidth="1"/>
    <col min="258" max="258" width="17.5546875" bestFit="1" customWidth="1"/>
    <col min="259" max="259" width="9.5546875" bestFit="1" customWidth="1"/>
    <col min="260" max="260" width="10.33203125" bestFit="1" customWidth="1"/>
    <col min="261" max="261" width="9.21875" bestFit="1" customWidth="1"/>
    <col min="262" max="262" width="9" bestFit="1" customWidth="1"/>
    <col min="263" max="263" width="5.33203125" bestFit="1" customWidth="1"/>
    <col min="264" max="264" width="17.88671875" bestFit="1" customWidth="1"/>
    <col min="265" max="265" width="8.21875" bestFit="1" customWidth="1"/>
    <col min="266" max="266" width="9" bestFit="1" customWidth="1"/>
    <col min="267" max="267" width="21.109375" bestFit="1" customWidth="1"/>
    <col min="268" max="268" width="15.88671875" bestFit="1" customWidth="1"/>
    <col min="269" max="269" width="18.33203125" bestFit="1" customWidth="1"/>
    <col min="270" max="270" width="10.6640625" bestFit="1" customWidth="1"/>
    <col min="271" max="271" width="12.77734375" bestFit="1" customWidth="1"/>
    <col min="272" max="272" width="15.77734375" bestFit="1" customWidth="1"/>
    <col min="273" max="273" width="10.77734375" bestFit="1" customWidth="1"/>
    <col min="274" max="274" width="7" bestFit="1" customWidth="1"/>
    <col min="275" max="275" width="10" bestFit="1" customWidth="1"/>
    <col min="276" max="276" width="17.5546875" bestFit="1" customWidth="1"/>
    <col min="277" max="277" width="13.6640625" bestFit="1" customWidth="1"/>
    <col min="278" max="278" width="14.21875" bestFit="1" customWidth="1"/>
    <col min="279" max="279" width="21.44140625" bestFit="1" customWidth="1"/>
    <col min="280" max="280" width="11.109375" bestFit="1" customWidth="1"/>
    <col min="281" max="281" width="10.21875" bestFit="1" customWidth="1"/>
    <col min="282" max="282" width="14.33203125" bestFit="1" customWidth="1"/>
    <col min="283" max="283" width="6.77734375" bestFit="1" customWidth="1"/>
    <col min="284" max="284" width="12.33203125" bestFit="1" customWidth="1"/>
    <col min="285" max="285" width="10.88671875" bestFit="1" customWidth="1"/>
    <col min="286" max="286" width="11.44140625" bestFit="1" customWidth="1"/>
    <col min="287" max="287" width="5.33203125" bestFit="1" customWidth="1"/>
    <col min="288" max="288" width="11.109375" bestFit="1" customWidth="1"/>
    <col min="289" max="289" width="16" bestFit="1" customWidth="1"/>
    <col min="290" max="290" width="15" bestFit="1" customWidth="1"/>
    <col min="291" max="291" width="9.21875" bestFit="1" customWidth="1"/>
    <col min="292" max="292" width="7" bestFit="1" customWidth="1"/>
    <col min="293" max="293" width="19.6640625" bestFit="1" customWidth="1"/>
    <col min="294" max="294" width="10.109375" bestFit="1" customWidth="1"/>
    <col min="295" max="295" width="11.44140625" bestFit="1" customWidth="1"/>
    <col min="296" max="296" width="17" bestFit="1" customWidth="1"/>
    <col min="297" max="297" width="14.5546875" bestFit="1" customWidth="1"/>
    <col min="298" max="298" width="13.109375" bestFit="1" customWidth="1"/>
    <col min="299" max="299" width="8.21875" bestFit="1" customWidth="1"/>
    <col min="300" max="300" width="11" bestFit="1" customWidth="1"/>
    <col min="301" max="301" width="18.5546875" bestFit="1" customWidth="1"/>
    <col min="302" max="302" width="5" bestFit="1" customWidth="1"/>
    <col min="303" max="303" width="18.6640625" bestFit="1" customWidth="1"/>
    <col min="304" max="304" width="13.33203125" bestFit="1" customWidth="1"/>
    <col min="305" max="305" width="19" bestFit="1" customWidth="1"/>
    <col min="306" max="306" width="12.44140625" bestFit="1" customWidth="1"/>
    <col min="307" max="307" width="10.77734375" bestFit="1" customWidth="1"/>
    <col min="308" max="308" width="21.33203125" bestFit="1" customWidth="1"/>
    <col min="309" max="309" width="9.6640625" bestFit="1" customWidth="1"/>
    <col min="310" max="310" width="20.33203125" bestFit="1" customWidth="1"/>
    <col min="311" max="311" width="13.6640625" bestFit="1" customWidth="1"/>
    <col min="312" max="312" width="9.5546875" bestFit="1" customWidth="1"/>
    <col min="313" max="313" width="8.77734375" bestFit="1" customWidth="1"/>
    <col min="314" max="314" width="9.88671875" bestFit="1" customWidth="1"/>
    <col min="315" max="315" width="5" bestFit="1" customWidth="1"/>
    <col min="316" max="316" width="25" bestFit="1" customWidth="1"/>
    <col min="317" max="317" width="6.33203125" bestFit="1" customWidth="1"/>
    <col min="318" max="318" width="5.5546875" bestFit="1" customWidth="1"/>
    <col min="319" max="319" width="18.109375" bestFit="1" customWidth="1"/>
    <col min="320" max="320" width="18.88671875" bestFit="1" customWidth="1"/>
    <col min="321" max="321" width="15.6640625" bestFit="1" customWidth="1"/>
    <col min="322" max="322" width="12.109375" bestFit="1" customWidth="1"/>
    <col min="323" max="323" width="5" bestFit="1" customWidth="1"/>
    <col min="324" max="324" width="15" bestFit="1" customWidth="1"/>
    <col min="325" max="325" width="19.21875" bestFit="1" customWidth="1"/>
    <col min="326" max="326" width="18.21875" bestFit="1" customWidth="1"/>
    <col min="327" max="327" width="7.21875" bestFit="1" customWidth="1"/>
    <col min="328" max="328" width="13.88671875" bestFit="1" customWidth="1"/>
    <col min="329" max="329" width="7.77734375" bestFit="1" customWidth="1"/>
    <col min="330" max="330" width="13.77734375" bestFit="1" customWidth="1"/>
    <col min="331" max="331" width="21.109375" bestFit="1" customWidth="1"/>
    <col min="332" max="332" width="16.5546875" bestFit="1" customWidth="1"/>
    <col min="333" max="333" width="19.109375" bestFit="1" customWidth="1"/>
    <col min="334" max="334" width="22" bestFit="1" customWidth="1"/>
    <col min="335" max="335" width="12.44140625" bestFit="1" customWidth="1"/>
    <col min="336" max="336" width="11.5546875" bestFit="1" customWidth="1"/>
    <col min="337" max="337" width="6.44140625" bestFit="1" customWidth="1"/>
    <col min="338" max="338" width="15.6640625" bestFit="1" customWidth="1"/>
    <col min="339" max="339" width="12" bestFit="1" customWidth="1"/>
    <col min="340" max="340" width="18.6640625" bestFit="1" customWidth="1"/>
    <col min="341" max="341" width="10.44140625" bestFit="1" customWidth="1"/>
    <col min="342" max="342" width="8.21875" bestFit="1" customWidth="1"/>
    <col min="343" max="343" width="13.88671875" bestFit="1" customWidth="1"/>
    <col min="344" max="344" width="11.5546875" bestFit="1" customWidth="1"/>
    <col min="345" max="345" width="8.77734375" bestFit="1" customWidth="1"/>
    <col min="346" max="346" width="7.44140625" bestFit="1" customWidth="1"/>
    <col min="347" max="347" width="7.77734375" bestFit="1" customWidth="1"/>
    <col min="348" max="348" width="19.44140625" bestFit="1" customWidth="1"/>
    <col min="349" max="349" width="9" bestFit="1" customWidth="1"/>
    <col min="350" max="350" width="19.21875" bestFit="1" customWidth="1"/>
    <col min="351" max="351" width="14.44140625" bestFit="1" customWidth="1"/>
    <col min="352" max="352" width="9.5546875" bestFit="1" customWidth="1"/>
    <col min="353" max="353" width="14.77734375" bestFit="1" customWidth="1"/>
    <col min="354" max="354" width="20" bestFit="1" customWidth="1"/>
    <col min="355" max="355" width="19.77734375" bestFit="1" customWidth="1"/>
    <col min="356" max="356" width="13.6640625" bestFit="1" customWidth="1"/>
    <col min="357" max="357" width="20.109375" bestFit="1" customWidth="1"/>
    <col min="358" max="358" width="6" bestFit="1" customWidth="1"/>
    <col min="359" max="359" width="5.109375" bestFit="1" customWidth="1"/>
    <col min="360" max="360" width="12.88671875" bestFit="1" customWidth="1"/>
    <col min="361" max="361" width="6.88671875" bestFit="1" customWidth="1"/>
    <col min="362" max="362" width="7.6640625" bestFit="1" customWidth="1"/>
    <col min="363" max="363" width="6.6640625" bestFit="1" customWidth="1"/>
    <col min="364" max="364" width="6.21875" bestFit="1" customWidth="1"/>
    <col min="365" max="365" width="9.21875" bestFit="1" customWidth="1"/>
    <col min="366" max="366" width="8.109375" bestFit="1" customWidth="1"/>
    <col min="367" max="367" width="17.44140625" bestFit="1" customWidth="1"/>
    <col min="368" max="368" width="6.77734375" bestFit="1" customWidth="1"/>
    <col min="369" max="369" width="19.44140625" bestFit="1" customWidth="1"/>
    <col min="370" max="370" width="7.88671875" bestFit="1" customWidth="1"/>
    <col min="371" max="371" width="10.109375" bestFit="1" customWidth="1"/>
    <col min="372" max="372" width="6" bestFit="1" customWidth="1"/>
    <col min="373" max="373" width="5" bestFit="1" customWidth="1"/>
    <col min="374" max="374" width="21.5546875" bestFit="1" customWidth="1"/>
    <col min="375" max="375" width="19.6640625" bestFit="1" customWidth="1"/>
    <col min="376" max="376" width="14.21875" bestFit="1" customWidth="1"/>
    <col min="377" max="377" width="15.5546875" bestFit="1" customWidth="1"/>
    <col min="378" max="378" width="19.21875" bestFit="1" customWidth="1"/>
    <col min="379" max="379" width="17.5546875" bestFit="1" customWidth="1"/>
    <col min="380" max="380" width="12.21875" bestFit="1" customWidth="1"/>
    <col min="381" max="381" width="8.109375" bestFit="1" customWidth="1"/>
    <col min="382" max="382" width="21.33203125" bestFit="1" customWidth="1"/>
    <col min="383" max="383" width="10.44140625" bestFit="1" customWidth="1"/>
    <col min="384" max="384" width="16.33203125" bestFit="1" customWidth="1"/>
    <col min="385" max="385" width="26" bestFit="1" customWidth="1"/>
    <col min="386" max="386" width="10.44140625" bestFit="1" customWidth="1"/>
    <col min="387" max="387" width="19.77734375" bestFit="1" customWidth="1"/>
    <col min="388" max="388" width="19.109375" bestFit="1" customWidth="1"/>
    <col min="389" max="389" width="21.109375" bestFit="1" customWidth="1"/>
    <col min="390" max="390" width="24.44140625" bestFit="1" customWidth="1"/>
    <col min="391" max="391" width="21.109375" bestFit="1" customWidth="1"/>
    <col min="392" max="392" width="28.33203125" bestFit="1" customWidth="1"/>
    <col min="393" max="393" width="20.109375" bestFit="1" customWidth="1"/>
    <col min="394" max="394" width="19.44140625" bestFit="1" customWidth="1"/>
    <col min="395" max="395" width="16.33203125" bestFit="1" customWidth="1"/>
    <col min="396" max="396" width="18.77734375" bestFit="1" customWidth="1"/>
    <col min="397" max="397" width="25" bestFit="1" customWidth="1"/>
    <col min="398" max="398" width="18.109375" bestFit="1" customWidth="1"/>
    <col min="399" max="399" width="20.109375" bestFit="1" customWidth="1"/>
    <col min="400" max="400" width="22.5546875" bestFit="1" customWidth="1"/>
    <col min="401" max="401" width="10.33203125" bestFit="1" customWidth="1"/>
    <col min="402" max="402" width="13.44140625" bestFit="1" customWidth="1"/>
    <col min="403" max="403" width="12.77734375" bestFit="1" customWidth="1"/>
    <col min="404" max="404" width="18.77734375" bestFit="1" customWidth="1"/>
    <col min="405" max="405" width="17.6640625" bestFit="1" customWidth="1"/>
    <col min="406" max="406" width="6.5546875" bestFit="1" customWidth="1"/>
    <col min="407" max="407" width="12.21875" bestFit="1" customWidth="1"/>
    <col min="408" max="408" width="6.5546875" bestFit="1" customWidth="1"/>
    <col min="409" max="409" width="19" bestFit="1" customWidth="1"/>
    <col min="410" max="410" width="13.33203125" bestFit="1" customWidth="1"/>
    <col min="411" max="411" width="21" bestFit="1" customWidth="1"/>
    <col min="412" max="412" width="12.109375" bestFit="1" customWidth="1"/>
    <col min="413" max="413" width="22.109375" bestFit="1" customWidth="1"/>
    <col min="414" max="414" width="17.77734375" bestFit="1" customWidth="1"/>
    <col min="415" max="415" width="10.44140625" bestFit="1" customWidth="1"/>
    <col min="416" max="416" width="31.6640625" bestFit="1" customWidth="1"/>
    <col min="417" max="417" width="9.44140625" bestFit="1" customWidth="1"/>
    <col min="418" max="418" width="6" bestFit="1" customWidth="1"/>
    <col min="419" max="419" width="14.109375" bestFit="1" customWidth="1"/>
    <col min="420" max="420" width="23.5546875" bestFit="1" customWidth="1"/>
    <col min="421" max="421" width="17.33203125" bestFit="1" customWidth="1"/>
    <col min="422" max="422" width="7.33203125" bestFit="1" customWidth="1"/>
    <col min="423" max="423" width="6.109375" bestFit="1" customWidth="1"/>
    <col min="424" max="424" width="5" bestFit="1" customWidth="1"/>
    <col min="425" max="425" width="15.77734375" bestFit="1" customWidth="1"/>
    <col min="426" max="426" width="12.6640625" bestFit="1" customWidth="1"/>
    <col min="427" max="427" width="9.33203125" bestFit="1" customWidth="1"/>
    <col min="428" max="428" width="10.44140625" bestFit="1" customWidth="1"/>
    <col min="429" max="429" width="8.6640625" bestFit="1" customWidth="1"/>
    <col min="430" max="430" width="15.6640625" bestFit="1" customWidth="1"/>
    <col min="431" max="431" width="16.88671875" bestFit="1" customWidth="1"/>
    <col min="432" max="432" width="11.77734375" bestFit="1" customWidth="1"/>
    <col min="433" max="433" width="4" bestFit="1" customWidth="1"/>
    <col min="434" max="434" width="7.44140625" bestFit="1" customWidth="1"/>
    <col min="435" max="435" width="21" bestFit="1" customWidth="1"/>
    <col min="436" max="436" width="6.33203125" bestFit="1" customWidth="1"/>
    <col min="437" max="437" width="11.77734375" bestFit="1" customWidth="1"/>
    <col min="438" max="438" width="6.109375" bestFit="1" customWidth="1"/>
    <col min="439" max="439" width="11.109375" bestFit="1" customWidth="1"/>
    <col min="440" max="440" width="5" bestFit="1" customWidth="1"/>
    <col min="441" max="441" width="6.33203125" bestFit="1" customWidth="1"/>
    <col min="442" max="442" width="14.44140625" bestFit="1" customWidth="1"/>
    <col min="443" max="443" width="6.21875" bestFit="1" customWidth="1"/>
    <col min="444" max="444" width="9.44140625" bestFit="1" customWidth="1"/>
    <col min="445" max="445" width="15.44140625" bestFit="1" customWidth="1"/>
    <col min="446" max="446" width="19.33203125" bestFit="1" customWidth="1"/>
    <col min="447" max="447" width="15.33203125" bestFit="1" customWidth="1"/>
    <col min="448" max="448" width="13.44140625" bestFit="1" customWidth="1"/>
    <col min="449" max="449" width="19.77734375" bestFit="1" customWidth="1"/>
    <col min="450" max="450" width="10.33203125" bestFit="1" customWidth="1"/>
    <col min="451" max="451" width="16.33203125" bestFit="1" customWidth="1"/>
    <col min="452" max="452" width="17.77734375" bestFit="1" customWidth="1"/>
    <col min="453" max="453" width="7.109375" bestFit="1" customWidth="1"/>
    <col min="454" max="454" width="8.21875" bestFit="1" customWidth="1"/>
    <col min="456" max="456" width="17.77734375" bestFit="1" customWidth="1"/>
    <col min="457" max="457" width="17.5546875" bestFit="1" customWidth="1"/>
    <col min="458" max="458" width="17.33203125" bestFit="1" customWidth="1"/>
    <col min="459" max="459" width="13.33203125" bestFit="1" customWidth="1"/>
    <col min="460" max="460" width="19.33203125" bestFit="1" customWidth="1"/>
    <col min="461" max="461" width="17" bestFit="1" customWidth="1"/>
    <col min="462" max="462" width="18.6640625" bestFit="1" customWidth="1"/>
    <col min="463" max="463" width="14.33203125" bestFit="1" customWidth="1"/>
    <col min="464" max="464" width="17.21875" bestFit="1" customWidth="1"/>
    <col min="465" max="465" width="13.77734375" bestFit="1" customWidth="1"/>
    <col min="466" max="466" width="13.44140625" bestFit="1" customWidth="1"/>
    <col min="467" max="467" width="8.109375" bestFit="1" customWidth="1"/>
    <col min="468" max="468" width="12.88671875" bestFit="1" customWidth="1"/>
    <col min="469" max="469" width="18.21875" bestFit="1" customWidth="1"/>
    <col min="470" max="471" width="18.44140625" bestFit="1" customWidth="1"/>
    <col min="472" max="472" width="10.77734375" bestFit="1" customWidth="1"/>
    <col min="473" max="473" width="17.5546875" bestFit="1" customWidth="1"/>
    <col min="474" max="474" width="17.33203125" bestFit="1" customWidth="1"/>
    <col min="475" max="475" width="15.88671875" bestFit="1" customWidth="1"/>
    <col min="476" max="476" width="7.5546875" bestFit="1" customWidth="1"/>
    <col min="477" max="477" width="18" bestFit="1" customWidth="1"/>
    <col min="478" max="478" width="11.44140625" bestFit="1" customWidth="1"/>
    <col min="479" max="479" width="9.44140625" bestFit="1" customWidth="1"/>
    <col min="480" max="480" width="15.88671875" bestFit="1" customWidth="1"/>
    <col min="481" max="481" width="11.5546875" bestFit="1" customWidth="1"/>
    <col min="482" max="482" width="19.77734375" bestFit="1" customWidth="1"/>
    <col min="483" max="483" width="19" bestFit="1" customWidth="1"/>
    <col min="484" max="484" width="11.6640625" bestFit="1" customWidth="1"/>
    <col min="485" max="485" width="7.5546875" bestFit="1" customWidth="1"/>
    <col min="486" max="486" width="9.109375" bestFit="1" customWidth="1"/>
    <col min="487" max="487" width="13.33203125" bestFit="1" customWidth="1"/>
    <col min="488" max="488" width="11.88671875" bestFit="1" customWidth="1"/>
    <col min="489" max="489" width="17.44140625" bestFit="1" customWidth="1"/>
    <col min="490" max="490" width="14.88671875" bestFit="1" customWidth="1"/>
    <col min="491" max="491" width="17.33203125" bestFit="1" customWidth="1"/>
    <col min="492" max="492" width="6" bestFit="1" customWidth="1"/>
    <col min="493" max="493" width="14.21875" bestFit="1" customWidth="1"/>
    <col min="494" max="495" width="5" bestFit="1" customWidth="1"/>
    <col min="496" max="496" width="17.6640625" bestFit="1" customWidth="1"/>
    <col min="497" max="497" width="5" bestFit="1" customWidth="1"/>
    <col min="498" max="498" width="18.5546875" bestFit="1" customWidth="1"/>
    <col min="500" max="500" width="6" bestFit="1" customWidth="1"/>
    <col min="501" max="501" width="11" bestFit="1" customWidth="1"/>
    <col min="502" max="502" width="15.21875" bestFit="1" customWidth="1"/>
    <col min="503" max="503" width="18.44140625" bestFit="1" customWidth="1"/>
    <col min="504" max="504" width="19.44140625" bestFit="1" customWidth="1"/>
    <col min="505" max="505" width="20.5546875" bestFit="1" customWidth="1"/>
    <col min="506" max="506" width="16.21875" bestFit="1" customWidth="1"/>
    <col min="507" max="507" width="17.5546875" bestFit="1" customWidth="1"/>
    <col min="508" max="508" width="6" bestFit="1" customWidth="1"/>
    <col min="509" max="509" width="13.33203125" bestFit="1" customWidth="1"/>
    <col min="510" max="510" width="15" bestFit="1" customWidth="1"/>
    <col min="511" max="511" width="18.21875" bestFit="1" customWidth="1"/>
    <col min="512" max="512" width="8.109375" bestFit="1" customWidth="1"/>
    <col min="513" max="513" width="14.33203125" bestFit="1" customWidth="1"/>
    <col min="514" max="514" width="21" bestFit="1" customWidth="1"/>
    <col min="515" max="515" width="11.21875" bestFit="1" customWidth="1"/>
    <col min="516" max="516" width="10.6640625" bestFit="1" customWidth="1"/>
    <col min="517" max="517" width="23.6640625" bestFit="1" customWidth="1"/>
    <col min="518" max="518" width="19.44140625" bestFit="1" customWidth="1"/>
    <col min="519" max="519" width="14.6640625" bestFit="1" customWidth="1"/>
    <col min="520" max="520" width="5.33203125" bestFit="1" customWidth="1"/>
    <col min="521" max="521" width="8.109375" bestFit="1" customWidth="1"/>
    <col min="522" max="523" width="7.5546875" bestFit="1" customWidth="1"/>
    <col min="524" max="525" width="17.6640625" bestFit="1" customWidth="1"/>
    <col min="526" max="526" width="15.5546875" bestFit="1" customWidth="1"/>
    <col min="527" max="527" width="16.44140625" bestFit="1" customWidth="1"/>
    <col min="528" max="528" width="16.109375" bestFit="1" customWidth="1"/>
    <col min="529" max="529" width="6.5546875" bestFit="1" customWidth="1"/>
    <col min="530" max="530" width="10" bestFit="1" customWidth="1"/>
    <col min="531" max="531" width="10.77734375" bestFit="1" customWidth="1"/>
    <col min="532" max="532" width="10.44140625" bestFit="1" customWidth="1"/>
    <col min="533" max="533" width="7.88671875" bestFit="1" customWidth="1"/>
    <col min="534" max="534" width="13.77734375" bestFit="1" customWidth="1"/>
    <col min="535" max="535" width="6" bestFit="1" customWidth="1"/>
    <col min="536" max="536" width="6.33203125" bestFit="1" customWidth="1"/>
    <col min="537" max="537" width="12.77734375" bestFit="1" customWidth="1"/>
    <col min="538" max="538" width="6.21875" bestFit="1" customWidth="1"/>
    <col min="539" max="539" width="6.88671875" bestFit="1" customWidth="1"/>
    <col min="540" max="540" width="10.6640625" bestFit="1" customWidth="1"/>
    <col min="541" max="541" width="19.33203125" bestFit="1" customWidth="1"/>
    <col min="542" max="542" width="15" bestFit="1" customWidth="1"/>
    <col min="543" max="543" width="17.77734375" bestFit="1" customWidth="1"/>
    <col min="544" max="544" width="12.88671875" bestFit="1" customWidth="1"/>
    <col min="545" max="545" width="16.5546875" bestFit="1" customWidth="1"/>
    <col min="546" max="546" width="25.6640625" bestFit="1" customWidth="1"/>
    <col min="547" max="547" width="12.6640625" bestFit="1" customWidth="1"/>
    <col min="548" max="548" width="6" bestFit="1" customWidth="1"/>
    <col min="549" max="549" width="6.77734375" bestFit="1" customWidth="1"/>
    <col min="550" max="550" width="13.88671875" bestFit="1" customWidth="1"/>
    <col min="551" max="551" width="7.5546875" bestFit="1" customWidth="1"/>
    <col min="552" max="552" width="12.5546875" bestFit="1" customWidth="1"/>
    <col min="553" max="553" width="8.6640625" bestFit="1" customWidth="1"/>
    <col min="554" max="554" width="13.44140625" bestFit="1" customWidth="1"/>
    <col min="555" max="555" width="12.77734375" bestFit="1" customWidth="1"/>
    <col min="556" max="556" width="18.33203125" bestFit="1" customWidth="1"/>
    <col min="557" max="557" width="20.88671875" bestFit="1" customWidth="1"/>
    <col min="558" max="558" width="16.77734375" bestFit="1" customWidth="1"/>
    <col min="559" max="559" width="7.33203125" bestFit="1" customWidth="1"/>
    <col min="560" max="560" width="13.33203125" bestFit="1" customWidth="1"/>
    <col min="561" max="561" width="6" bestFit="1" customWidth="1"/>
    <col min="562" max="562" width="12.88671875" bestFit="1" customWidth="1"/>
    <col min="563" max="563" width="15.77734375" bestFit="1" customWidth="1"/>
    <col min="564" max="564" width="9.6640625" bestFit="1" customWidth="1"/>
    <col min="565" max="565" width="18.88671875" bestFit="1" customWidth="1"/>
    <col min="566" max="566" width="6" bestFit="1" customWidth="1"/>
    <col min="567" max="567" width="11.5546875" bestFit="1" customWidth="1"/>
    <col min="568" max="568" width="10.44140625" bestFit="1" customWidth="1"/>
    <col min="569" max="569" width="11.5546875" bestFit="1" customWidth="1"/>
    <col min="570" max="570" width="11" bestFit="1" customWidth="1"/>
    <col min="571" max="571" width="15.5546875" bestFit="1" customWidth="1"/>
    <col min="572" max="572" width="7.33203125" bestFit="1" customWidth="1"/>
    <col min="573" max="573" width="6" bestFit="1" customWidth="1"/>
    <col min="574" max="574" width="13.6640625" bestFit="1" customWidth="1"/>
    <col min="575" max="575" width="6" bestFit="1" customWidth="1"/>
    <col min="576" max="576" width="16.77734375" bestFit="1" customWidth="1"/>
    <col min="577" max="577" width="16.44140625" bestFit="1" customWidth="1"/>
    <col min="578" max="578" width="14.109375" bestFit="1" customWidth="1"/>
    <col min="579" max="579" width="6" bestFit="1" customWidth="1"/>
    <col min="580" max="580" width="5.109375" bestFit="1" customWidth="1"/>
    <col min="581" max="581" width="16.77734375" bestFit="1" customWidth="1"/>
    <col min="582" max="583" width="6.5546875" bestFit="1" customWidth="1"/>
    <col min="584" max="584" width="18.109375" bestFit="1" customWidth="1"/>
    <col min="585" max="585" width="22.44140625" bestFit="1" customWidth="1"/>
    <col min="586" max="586" width="20" bestFit="1" customWidth="1"/>
    <col min="587" max="587" width="10.88671875" bestFit="1" customWidth="1"/>
    <col min="588" max="588" width="20.5546875" bestFit="1" customWidth="1"/>
    <col min="589" max="589" width="6.77734375" bestFit="1" customWidth="1"/>
    <col min="590" max="590" width="14.88671875" bestFit="1" customWidth="1"/>
    <col min="591" max="591" width="5" bestFit="1" customWidth="1"/>
    <col min="592" max="592" width="6.88671875" bestFit="1" customWidth="1"/>
    <col min="593" max="593" width="18.109375" bestFit="1" customWidth="1"/>
    <col min="594" max="594" width="17.88671875" bestFit="1" customWidth="1"/>
    <col min="595" max="595" width="15" bestFit="1" customWidth="1"/>
    <col min="596" max="596" width="13.109375" bestFit="1" customWidth="1"/>
    <col min="597" max="597" width="16.88671875" bestFit="1" customWidth="1"/>
    <col min="598" max="598" width="9.44140625" bestFit="1" customWidth="1"/>
    <col min="599" max="599" width="11.109375" bestFit="1" customWidth="1"/>
    <col min="600" max="600" width="8.109375" bestFit="1" customWidth="1"/>
    <col min="601" max="601" width="5" bestFit="1" customWidth="1"/>
    <col min="602" max="602" width="14.88671875" bestFit="1" customWidth="1"/>
    <col min="603" max="603" width="6.88671875" bestFit="1" customWidth="1"/>
    <col min="604" max="604" width="21.88671875" bestFit="1" customWidth="1"/>
    <col min="605" max="605" width="6.88671875" bestFit="1" customWidth="1"/>
    <col min="606" max="606" width="8.44140625" bestFit="1" customWidth="1"/>
    <col min="607" max="607" width="18.88671875" bestFit="1" customWidth="1"/>
    <col min="608" max="608" width="7.33203125" bestFit="1" customWidth="1"/>
    <col min="609" max="609" width="12.6640625" bestFit="1" customWidth="1"/>
    <col min="610" max="610" width="6" bestFit="1" customWidth="1"/>
    <col min="611" max="611" width="16.44140625" bestFit="1" customWidth="1"/>
    <col min="612" max="612" width="10.6640625" bestFit="1" customWidth="1"/>
    <col min="613" max="613" width="9.44140625" bestFit="1" customWidth="1"/>
    <col min="614" max="614" width="6" bestFit="1" customWidth="1"/>
    <col min="615" max="615" width="5.109375" bestFit="1" customWidth="1"/>
    <col min="616" max="616" width="17.44140625" bestFit="1" customWidth="1"/>
    <col min="617" max="617" width="7.44140625" bestFit="1" customWidth="1"/>
    <col min="618" max="619" width="13.5546875" bestFit="1" customWidth="1"/>
    <col min="620" max="620" width="7.21875" bestFit="1" customWidth="1"/>
    <col min="621" max="621" width="18" bestFit="1" customWidth="1"/>
    <col min="622" max="622" width="16.33203125" bestFit="1" customWidth="1"/>
    <col min="623" max="623" width="16" bestFit="1" customWidth="1"/>
    <col min="624" max="624" width="7" bestFit="1" customWidth="1"/>
    <col min="625" max="625" width="7.5546875" bestFit="1" customWidth="1"/>
    <col min="626" max="626" width="5" bestFit="1" customWidth="1"/>
    <col min="627" max="627" width="9.77734375" bestFit="1" customWidth="1"/>
    <col min="628" max="628" width="16" bestFit="1" customWidth="1"/>
    <col min="629" max="629" width="13.44140625" bestFit="1" customWidth="1"/>
    <col min="630" max="630" width="17.77734375" bestFit="1" customWidth="1"/>
    <col min="631" max="631" width="15.21875" bestFit="1" customWidth="1"/>
    <col min="632" max="632" width="15.33203125" bestFit="1" customWidth="1"/>
    <col min="633" max="633" width="12" bestFit="1" customWidth="1"/>
    <col min="634" max="634" width="7.6640625" bestFit="1" customWidth="1"/>
    <col min="635" max="635" width="9.21875" bestFit="1" customWidth="1"/>
    <col min="636" max="636" width="8.5546875" bestFit="1" customWidth="1"/>
    <col min="637" max="637" width="10.33203125" bestFit="1" customWidth="1"/>
    <col min="638" max="638" width="15.44140625" bestFit="1" customWidth="1"/>
    <col min="639" max="639" width="16" bestFit="1" customWidth="1"/>
    <col min="640" max="640" width="10.21875" bestFit="1" customWidth="1"/>
    <col min="641" max="641" width="6.5546875" bestFit="1" customWidth="1"/>
    <col min="642" max="642" width="7.5546875" bestFit="1" customWidth="1"/>
    <col min="643" max="643" width="13.109375" bestFit="1" customWidth="1"/>
    <col min="644" max="644" width="13.33203125" bestFit="1" customWidth="1"/>
    <col min="645" max="645" width="10.88671875" bestFit="1" customWidth="1"/>
    <col min="646" max="646" width="14.44140625" bestFit="1" customWidth="1"/>
    <col min="647" max="647" width="8.33203125" bestFit="1" customWidth="1"/>
    <col min="648" max="648" width="11.77734375" bestFit="1" customWidth="1"/>
    <col min="649" max="649" width="17.6640625" bestFit="1" customWidth="1"/>
    <col min="650" max="650" width="10.77734375" bestFit="1" customWidth="1"/>
    <col min="651" max="651" width="6" bestFit="1" customWidth="1"/>
    <col min="652" max="652" width="16.21875" bestFit="1" customWidth="1"/>
    <col min="653" max="653" width="18.77734375" bestFit="1" customWidth="1"/>
    <col min="654" max="654" width="20" bestFit="1" customWidth="1"/>
    <col min="655" max="655" width="10.77734375" bestFit="1" customWidth="1"/>
    <col min="656" max="656" width="7.88671875" bestFit="1" customWidth="1"/>
    <col min="657" max="657" width="9.77734375" bestFit="1" customWidth="1"/>
    <col min="658" max="658" width="13.33203125" bestFit="1" customWidth="1"/>
    <col min="659" max="659" width="19.77734375" bestFit="1" customWidth="1"/>
    <col min="660" max="660" width="6" bestFit="1" customWidth="1"/>
    <col min="661" max="661" width="6.33203125" bestFit="1" customWidth="1"/>
    <col min="662" max="662" width="9.6640625" bestFit="1" customWidth="1"/>
    <col min="663" max="663" width="11" bestFit="1" customWidth="1"/>
    <col min="664" max="664" width="18.109375" bestFit="1" customWidth="1"/>
    <col min="665" max="665" width="17.21875" bestFit="1" customWidth="1"/>
    <col min="666" max="666" width="17.77734375" bestFit="1" customWidth="1"/>
    <col min="667" max="667" width="10.5546875" bestFit="1" customWidth="1"/>
    <col min="668" max="668" width="6.33203125" bestFit="1" customWidth="1"/>
    <col min="669" max="669" width="12.33203125" bestFit="1" customWidth="1"/>
    <col min="670" max="670" width="12.88671875" bestFit="1" customWidth="1"/>
    <col min="671" max="671" width="12.109375" bestFit="1" customWidth="1"/>
    <col min="672" max="672" width="18.6640625" bestFit="1" customWidth="1"/>
    <col min="673" max="673" width="8.77734375" bestFit="1" customWidth="1"/>
    <col min="674" max="674" width="19.33203125" bestFit="1" customWidth="1"/>
    <col min="675" max="675" width="19.109375" bestFit="1" customWidth="1"/>
    <col min="676" max="676" width="10.21875" bestFit="1" customWidth="1"/>
    <col min="677" max="677" width="9.6640625" bestFit="1" customWidth="1"/>
    <col min="678" max="678" width="8.77734375" bestFit="1" customWidth="1"/>
    <col min="679" max="679" width="5.77734375" bestFit="1" customWidth="1"/>
    <col min="680" max="680" width="14" bestFit="1" customWidth="1"/>
    <col min="681" max="681" width="15" bestFit="1" customWidth="1"/>
    <col min="682" max="682" width="13.21875" bestFit="1" customWidth="1"/>
    <col min="683" max="683" width="6" bestFit="1" customWidth="1"/>
    <col min="684" max="684" width="12.21875" bestFit="1" customWidth="1"/>
    <col min="685" max="685" width="10.77734375" bestFit="1" customWidth="1"/>
    <col min="686" max="686" width="10.5546875" bestFit="1" customWidth="1"/>
    <col min="687" max="687" width="19.44140625" bestFit="1" customWidth="1"/>
    <col min="688" max="688" width="13.109375" bestFit="1" customWidth="1"/>
    <col min="689" max="689" width="10.33203125" bestFit="1" customWidth="1"/>
    <col min="690" max="690" width="21" bestFit="1" customWidth="1"/>
    <col min="691" max="691" width="20.88671875" bestFit="1" customWidth="1"/>
    <col min="692" max="692" width="14.88671875" bestFit="1" customWidth="1"/>
    <col min="693" max="693" width="6" bestFit="1" customWidth="1"/>
    <col min="694" max="694" width="7.109375" bestFit="1" customWidth="1"/>
    <col min="695" max="695" width="13.88671875" bestFit="1" customWidth="1"/>
    <col min="696" max="696" width="13.109375" bestFit="1" customWidth="1"/>
    <col min="697" max="697" width="9.5546875" bestFit="1" customWidth="1"/>
    <col min="698" max="698" width="14.21875" bestFit="1" customWidth="1"/>
    <col min="699" max="699" width="16.6640625" bestFit="1" customWidth="1"/>
    <col min="700" max="700" width="7.109375" bestFit="1" customWidth="1"/>
    <col min="701" max="701" width="11.33203125" bestFit="1" customWidth="1"/>
    <col min="702" max="702" width="14.77734375" bestFit="1" customWidth="1"/>
    <col min="703" max="703" width="22.21875" bestFit="1" customWidth="1"/>
    <col min="704" max="704" width="15.109375" bestFit="1" customWidth="1"/>
    <col min="705" max="705" width="8.77734375" bestFit="1" customWidth="1"/>
    <col min="706" max="706" width="15.21875" bestFit="1" customWidth="1"/>
    <col min="707" max="707" width="15.77734375" bestFit="1" customWidth="1"/>
    <col min="708" max="708" width="10.21875" bestFit="1" customWidth="1"/>
    <col min="709" max="709" width="8.44140625" bestFit="1" customWidth="1"/>
    <col min="710" max="710" width="14.21875" bestFit="1" customWidth="1"/>
    <col min="711" max="711" width="18.33203125" bestFit="1" customWidth="1"/>
    <col min="712" max="712" width="15.88671875" bestFit="1" customWidth="1"/>
    <col min="713" max="713" width="13.77734375" bestFit="1" customWidth="1"/>
    <col min="714" max="714" width="13.5546875" bestFit="1" customWidth="1"/>
    <col min="715" max="715" width="20.6640625" bestFit="1" customWidth="1"/>
    <col min="716" max="716" width="6.5546875" bestFit="1" customWidth="1"/>
    <col min="717" max="717" width="10.21875" bestFit="1" customWidth="1"/>
    <col min="718" max="718" width="14.21875" bestFit="1" customWidth="1"/>
    <col min="719" max="719" width="12" bestFit="1" customWidth="1"/>
    <col min="720" max="720" width="15.77734375" bestFit="1" customWidth="1"/>
    <col min="721" max="721" width="17.33203125" bestFit="1" customWidth="1"/>
    <col min="722" max="722" width="10.88671875" bestFit="1" customWidth="1"/>
    <col min="723" max="723" width="13.6640625" bestFit="1" customWidth="1"/>
    <col min="724" max="724" width="7.77734375" bestFit="1" customWidth="1"/>
    <col min="725" max="725" width="7.6640625" bestFit="1" customWidth="1"/>
    <col min="726" max="726" width="7.77734375" bestFit="1" customWidth="1"/>
    <col min="727" max="727" width="6" bestFit="1" customWidth="1"/>
    <col min="728" max="728" width="7.109375" bestFit="1" customWidth="1"/>
    <col min="729" max="729" width="14.6640625" bestFit="1" customWidth="1"/>
    <col min="730" max="730" width="12.5546875" bestFit="1" customWidth="1"/>
    <col min="731" max="731" width="8.5546875" bestFit="1" customWidth="1"/>
    <col min="732" max="732" width="10.109375" bestFit="1" customWidth="1"/>
    <col min="733" max="733" width="6.6640625" bestFit="1" customWidth="1"/>
    <col min="734" max="734" width="16.109375" bestFit="1" customWidth="1"/>
    <col min="735" max="735" width="14" bestFit="1" customWidth="1"/>
    <col min="736" max="736" width="18.77734375" bestFit="1" customWidth="1"/>
    <col min="737" max="737" width="11.77734375" bestFit="1" customWidth="1"/>
    <col min="738" max="738" width="14.109375" bestFit="1" customWidth="1"/>
    <col min="739" max="739" width="13.6640625" bestFit="1" customWidth="1"/>
    <col min="740" max="740" width="7.5546875" bestFit="1" customWidth="1"/>
    <col min="741" max="741" width="12.6640625" bestFit="1" customWidth="1"/>
    <col min="742" max="742" width="17.33203125" bestFit="1" customWidth="1"/>
    <col min="743" max="743" width="8.77734375" bestFit="1" customWidth="1"/>
    <col min="744" max="744" width="14" bestFit="1" customWidth="1"/>
    <col min="745" max="745" width="14.5546875" bestFit="1" customWidth="1"/>
    <col min="746" max="746" width="13.88671875" bestFit="1" customWidth="1"/>
    <col min="747" max="747" width="9" bestFit="1" customWidth="1"/>
    <col min="748" max="748" width="5" bestFit="1" customWidth="1"/>
    <col min="749" max="749" width="14.77734375" bestFit="1" customWidth="1"/>
    <col min="750" max="750" width="20.5546875" bestFit="1" customWidth="1"/>
    <col min="751" max="751" width="13.109375" bestFit="1" customWidth="1"/>
    <col min="752" max="752" width="10" bestFit="1" customWidth="1"/>
    <col min="753" max="753" width="8.6640625" bestFit="1" customWidth="1"/>
    <col min="754" max="754" width="15.109375" bestFit="1" customWidth="1"/>
    <col min="755" max="755" width="19.77734375" bestFit="1" customWidth="1"/>
    <col min="756" max="756" width="8.6640625" bestFit="1" customWidth="1"/>
    <col min="757" max="757" width="9.21875" bestFit="1" customWidth="1"/>
    <col min="758" max="758" width="6.88671875" bestFit="1" customWidth="1"/>
    <col min="759" max="759" width="10" bestFit="1" customWidth="1"/>
    <col min="760" max="760" width="13.33203125" bestFit="1" customWidth="1"/>
    <col min="761" max="761" width="16" bestFit="1" customWidth="1"/>
    <col min="762" max="762" width="12.109375" bestFit="1" customWidth="1"/>
    <col min="763" max="763" width="11.33203125" bestFit="1" customWidth="1"/>
    <col min="764" max="764" width="12.44140625" bestFit="1" customWidth="1"/>
    <col min="765" max="765" width="14" bestFit="1" customWidth="1"/>
    <col min="766" max="766" width="22.77734375" bestFit="1" customWidth="1"/>
    <col min="767" max="767" width="12.77734375" bestFit="1" customWidth="1"/>
    <col min="768" max="768" width="13.33203125" bestFit="1" customWidth="1"/>
    <col min="769" max="769" width="13.44140625" bestFit="1" customWidth="1"/>
    <col min="770" max="770" width="10.88671875" bestFit="1" customWidth="1"/>
    <col min="771" max="771" width="7.6640625" bestFit="1" customWidth="1"/>
    <col min="772" max="772" width="11.77734375" bestFit="1" customWidth="1"/>
    <col min="773" max="773" width="6" bestFit="1" customWidth="1"/>
    <col min="774" max="774" width="10.88671875" bestFit="1" customWidth="1"/>
    <col min="775" max="775" width="21.109375" bestFit="1" customWidth="1"/>
    <col min="776" max="776" width="9.77734375" bestFit="1" customWidth="1"/>
    <col min="777" max="777" width="13.6640625" bestFit="1" customWidth="1"/>
    <col min="778" max="778" width="10.5546875" bestFit="1" customWidth="1"/>
    <col min="779" max="779" width="20.33203125" bestFit="1" customWidth="1"/>
    <col min="780" max="780" width="10.33203125" bestFit="1" customWidth="1"/>
    <col min="781" max="781" width="11.21875" bestFit="1" customWidth="1"/>
    <col min="782" max="782" width="19" bestFit="1" customWidth="1"/>
    <col min="783" max="783" width="15.6640625" bestFit="1" customWidth="1"/>
    <col min="784" max="784" width="14.33203125" bestFit="1" customWidth="1"/>
    <col min="785" max="785" width="15.21875" bestFit="1" customWidth="1"/>
    <col min="786" max="786" width="11.77734375" bestFit="1" customWidth="1"/>
    <col min="787" max="787" width="7.33203125" bestFit="1" customWidth="1"/>
    <col min="788" max="788" width="6.77734375" bestFit="1" customWidth="1"/>
    <col min="789" max="789" width="7.88671875" bestFit="1" customWidth="1"/>
    <col min="790" max="790" width="16.109375" bestFit="1" customWidth="1"/>
    <col min="791" max="791" width="14.88671875" bestFit="1" customWidth="1"/>
    <col min="792" max="792" width="19.21875" bestFit="1" customWidth="1"/>
    <col min="793" max="793" width="16.109375" bestFit="1" customWidth="1"/>
    <col min="794" max="794" width="5.77734375" bestFit="1" customWidth="1"/>
    <col min="795" max="795" width="18.109375" bestFit="1" customWidth="1"/>
    <col min="796" max="796" width="6.88671875" bestFit="1" customWidth="1"/>
    <col min="797" max="797" width="5" bestFit="1" customWidth="1"/>
    <col min="798" max="799" width="6" bestFit="1" customWidth="1"/>
    <col min="800" max="800" width="16.21875" bestFit="1" customWidth="1"/>
    <col min="801" max="801" width="10.109375" bestFit="1" customWidth="1"/>
    <col min="802" max="802" width="18.21875" bestFit="1" customWidth="1"/>
    <col min="803" max="803" width="18.44140625" bestFit="1" customWidth="1"/>
    <col min="804" max="804" width="9.88671875" bestFit="1" customWidth="1"/>
    <col min="805" max="805" width="10" bestFit="1" customWidth="1"/>
    <col min="806" max="806" width="16.6640625" bestFit="1" customWidth="1"/>
    <col min="807" max="807" width="15.88671875" bestFit="1" customWidth="1"/>
    <col min="808" max="808" width="16.88671875" bestFit="1" customWidth="1"/>
    <col min="809" max="809" width="15.21875" bestFit="1" customWidth="1"/>
    <col min="810" max="810" width="13.21875" bestFit="1" customWidth="1"/>
    <col min="811" max="811" width="15.88671875" bestFit="1" customWidth="1"/>
    <col min="812" max="812" width="14.77734375" bestFit="1" customWidth="1"/>
    <col min="813" max="813" width="12.44140625" bestFit="1" customWidth="1"/>
    <col min="814" max="814" width="12" bestFit="1" customWidth="1"/>
    <col min="815" max="815" width="18.88671875" bestFit="1" customWidth="1"/>
    <col min="816" max="816" width="7.77734375" bestFit="1" customWidth="1"/>
    <col min="817" max="817" width="15" bestFit="1" customWidth="1"/>
    <col min="818" max="818" width="18.77734375" bestFit="1" customWidth="1"/>
    <col min="819" max="819" width="9.44140625" bestFit="1" customWidth="1"/>
    <col min="820" max="820" width="11.6640625" bestFit="1" customWidth="1"/>
    <col min="821" max="821" width="17.21875" bestFit="1" customWidth="1"/>
    <col min="822" max="822" width="19" bestFit="1" customWidth="1"/>
    <col min="823" max="823" width="14.21875" bestFit="1" customWidth="1"/>
    <col min="824" max="824" width="6.77734375" bestFit="1" customWidth="1"/>
    <col min="825" max="825" width="7.88671875" bestFit="1" customWidth="1"/>
    <col min="826" max="826" width="8.109375" bestFit="1" customWidth="1"/>
    <col min="827" max="827" width="21.5546875" bestFit="1" customWidth="1"/>
    <col min="828" max="828" width="13.33203125" bestFit="1" customWidth="1"/>
    <col min="829" max="829" width="13.77734375" bestFit="1" customWidth="1"/>
    <col min="830" max="830" width="19" bestFit="1" customWidth="1"/>
    <col min="831" max="831" width="21.109375" bestFit="1" customWidth="1"/>
    <col min="832" max="832" width="6.77734375" bestFit="1" customWidth="1"/>
    <col min="833" max="833" width="11.5546875" bestFit="1" customWidth="1"/>
    <col min="834" max="834" width="19" bestFit="1" customWidth="1"/>
    <col min="835" max="835" width="19.77734375" bestFit="1" customWidth="1"/>
    <col min="836" max="836" width="12.33203125" bestFit="1" customWidth="1"/>
    <col min="837" max="837" width="9.77734375" bestFit="1" customWidth="1"/>
    <col min="838" max="838" width="21" bestFit="1" customWidth="1"/>
    <col min="839" max="839" width="16.5546875" bestFit="1" customWidth="1"/>
    <col min="840" max="840" width="16.21875" bestFit="1" customWidth="1"/>
    <col min="841" max="841" width="22.21875" bestFit="1" customWidth="1"/>
    <col min="842" max="842" width="12.5546875" bestFit="1" customWidth="1"/>
    <col min="843" max="843" width="7.33203125" bestFit="1" customWidth="1"/>
    <col min="844" max="844" width="12.21875" bestFit="1" customWidth="1"/>
    <col min="845" max="845" width="20" bestFit="1" customWidth="1"/>
    <col min="846" max="846" width="5.33203125" bestFit="1" customWidth="1"/>
    <col min="847" max="847" width="11.109375" bestFit="1" customWidth="1"/>
    <col min="848" max="848" width="16.109375" bestFit="1" customWidth="1"/>
    <col min="849" max="849" width="17.77734375" bestFit="1" customWidth="1"/>
    <col min="850" max="850" width="18.77734375" bestFit="1" customWidth="1"/>
    <col min="851" max="851" width="8.109375" bestFit="1" customWidth="1"/>
    <col min="852" max="852" width="18" bestFit="1" customWidth="1"/>
    <col min="853" max="853" width="9.6640625" bestFit="1" customWidth="1"/>
    <col min="854" max="854" width="12.33203125" bestFit="1" customWidth="1"/>
    <col min="855" max="855" width="18.88671875" bestFit="1" customWidth="1"/>
    <col min="856" max="856" width="13.21875" bestFit="1" customWidth="1"/>
    <col min="857" max="857" width="15.109375" bestFit="1" customWidth="1"/>
    <col min="858" max="858" width="19.109375" bestFit="1" customWidth="1"/>
    <col min="859" max="859" width="8.33203125" bestFit="1" customWidth="1"/>
    <col min="860" max="860" width="15.109375" bestFit="1" customWidth="1"/>
    <col min="861" max="861" width="18.88671875" bestFit="1" customWidth="1"/>
    <col min="862" max="862" width="22.6640625" bestFit="1" customWidth="1"/>
    <col min="863" max="863" width="23.44140625" bestFit="1" customWidth="1"/>
    <col min="864" max="864" width="13.77734375" bestFit="1" customWidth="1"/>
    <col min="865" max="865" width="13.88671875" bestFit="1" customWidth="1"/>
    <col min="866" max="866" width="12.5546875" bestFit="1" customWidth="1"/>
    <col min="867" max="867" width="18.21875" bestFit="1" customWidth="1"/>
    <col min="868" max="868" width="8.6640625" bestFit="1" customWidth="1"/>
    <col min="869" max="869" width="5.77734375" bestFit="1" customWidth="1"/>
    <col min="870" max="870" width="10" bestFit="1" customWidth="1"/>
    <col min="871" max="871" width="6" bestFit="1" customWidth="1"/>
    <col min="873" max="873" width="10.77734375" bestFit="1" customWidth="1"/>
    <col min="874" max="874" width="6" bestFit="1" customWidth="1"/>
    <col min="875" max="875" width="5" bestFit="1" customWidth="1"/>
    <col min="876" max="876" width="16.33203125" bestFit="1" customWidth="1"/>
    <col min="877" max="877" width="6.6640625" bestFit="1" customWidth="1"/>
    <col min="878" max="878" width="22.109375" bestFit="1" customWidth="1"/>
    <col min="879" max="879" width="22.77734375" bestFit="1" customWidth="1"/>
    <col min="880" max="880" width="20.21875" bestFit="1" customWidth="1"/>
    <col min="881" max="881" width="15.6640625" bestFit="1" customWidth="1"/>
    <col min="882" max="882" width="21.44140625" bestFit="1" customWidth="1"/>
    <col min="883" max="883" width="10.21875" bestFit="1" customWidth="1"/>
    <col min="884" max="884" width="6" bestFit="1" customWidth="1"/>
    <col min="885" max="885" width="16.5546875" bestFit="1" customWidth="1"/>
    <col min="886" max="886" width="8.6640625" bestFit="1" customWidth="1"/>
    <col min="887" max="887" width="5" bestFit="1" customWidth="1"/>
    <col min="888" max="888" width="21.33203125" bestFit="1" customWidth="1"/>
    <col min="889" max="889" width="23.77734375" bestFit="1" customWidth="1"/>
    <col min="890" max="890" width="9" bestFit="1" customWidth="1"/>
    <col min="891" max="891" width="6.77734375" bestFit="1" customWidth="1"/>
    <col min="892" max="892" width="19.6640625" bestFit="1" customWidth="1"/>
    <col min="893" max="893" width="20.77734375" bestFit="1" customWidth="1"/>
    <col min="894" max="894" width="21.44140625" bestFit="1" customWidth="1"/>
    <col min="895" max="895" width="13.44140625" bestFit="1" customWidth="1"/>
    <col min="896" max="896" width="16" bestFit="1" customWidth="1"/>
    <col min="897" max="897" width="19.77734375" bestFit="1" customWidth="1"/>
    <col min="898" max="898" width="18.6640625" bestFit="1" customWidth="1"/>
    <col min="899" max="899" width="9.77734375" bestFit="1" customWidth="1"/>
    <col min="900" max="900" width="13.21875" bestFit="1" customWidth="1"/>
    <col min="901" max="901" width="12.33203125" bestFit="1" customWidth="1"/>
    <col min="902" max="902" width="5.6640625" bestFit="1" customWidth="1"/>
    <col min="903" max="903" width="6" bestFit="1" customWidth="1"/>
    <col min="904" max="904" width="20.6640625" bestFit="1" customWidth="1"/>
    <col min="905" max="905" width="17.44140625" bestFit="1" customWidth="1"/>
    <col min="906" max="906" width="17.88671875" bestFit="1" customWidth="1"/>
    <col min="907" max="907" width="15.88671875" bestFit="1" customWidth="1"/>
    <col min="908" max="908" width="19.5546875" bestFit="1" customWidth="1"/>
    <col min="909" max="909" width="5.5546875" bestFit="1" customWidth="1"/>
    <col min="910" max="910" width="8.33203125" bestFit="1" customWidth="1"/>
    <col min="911" max="911" width="8" bestFit="1" customWidth="1"/>
    <col min="912" max="912" width="21.33203125" bestFit="1" customWidth="1"/>
    <col min="913" max="913" width="7.88671875" bestFit="1" customWidth="1"/>
    <col min="914" max="914" width="16.5546875" bestFit="1" customWidth="1"/>
    <col min="915" max="915" width="7.88671875" bestFit="1" customWidth="1"/>
    <col min="916" max="916" width="5.44140625" bestFit="1" customWidth="1"/>
    <col min="917" max="917" width="19.88671875" bestFit="1" customWidth="1"/>
    <col min="918" max="918" width="6.109375" bestFit="1" customWidth="1"/>
    <col min="919" max="919" width="18.88671875" bestFit="1" customWidth="1"/>
    <col min="920" max="920" width="11.44140625" bestFit="1" customWidth="1"/>
    <col min="921" max="921" width="9.88671875" bestFit="1" customWidth="1"/>
    <col min="922" max="922" width="18.109375" bestFit="1" customWidth="1"/>
    <col min="923" max="923" width="12.5546875" bestFit="1" customWidth="1"/>
    <col min="924" max="924" width="11.88671875" bestFit="1" customWidth="1"/>
    <col min="925" max="925" width="11.5546875" bestFit="1" customWidth="1"/>
    <col min="926" max="926" width="6.109375" bestFit="1" customWidth="1"/>
    <col min="927" max="927" width="5" bestFit="1" customWidth="1"/>
    <col min="928" max="928" width="6.44140625" bestFit="1" customWidth="1"/>
    <col min="929" max="929" width="12.21875" bestFit="1" customWidth="1"/>
    <col min="930" max="930" width="5" bestFit="1" customWidth="1"/>
    <col min="931" max="931" width="8.33203125" bestFit="1" customWidth="1"/>
    <col min="932" max="932" width="10.33203125" bestFit="1" customWidth="1"/>
    <col min="933" max="933" width="10.44140625" bestFit="1" customWidth="1"/>
    <col min="934" max="934" width="5.21875" bestFit="1" customWidth="1"/>
    <col min="935" max="935" width="17" bestFit="1" customWidth="1"/>
    <col min="936" max="936" width="12.44140625" bestFit="1" customWidth="1"/>
    <col min="937" max="937" width="17.44140625" bestFit="1" customWidth="1"/>
    <col min="938" max="938" width="13.5546875" bestFit="1" customWidth="1"/>
    <col min="939" max="939" width="16.109375" bestFit="1" customWidth="1"/>
    <col min="940" max="940" width="16" bestFit="1" customWidth="1"/>
    <col min="941" max="941" width="9.5546875" bestFit="1" customWidth="1"/>
    <col min="942" max="942" width="16.109375" bestFit="1" customWidth="1"/>
    <col min="943" max="943" width="13.6640625" bestFit="1" customWidth="1"/>
    <col min="944" max="944" width="13.21875" bestFit="1" customWidth="1"/>
    <col min="945" max="945" width="11.21875" bestFit="1" customWidth="1"/>
    <col min="946" max="946" width="16" bestFit="1" customWidth="1"/>
    <col min="947" max="947" width="5" bestFit="1" customWidth="1"/>
    <col min="948" max="948" width="17.5546875" bestFit="1" customWidth="1"/>
    <col min="949" max="949" width="15.5546875" bestFit="1" customWidth="1"/>
    <col min="950" max="950" width="15.77734375" bestFit="1" customWidth="1"/>
    <col min="951" max="951" width="18.5546875" bestFit="1" customWidth="1"/>
    <col min="952" max="952" width="9.5546875" bestFit="1" customWidth="1"/>
    <col min="953" max="953" width="15" bestFit="1" customWidth="1"/>
    <col min="954" max="954" width="8.33203125" bestFit="1" customWidth="1"/>
    <col min="955" max="956" width="5" bestFit="1" customWidth="1"/>
    <col min="957" max="957" width="16.77734375" bestFit="1" customWidth="1"/>
    <col min="958" max="958" width="15.6640625" bestFit="1" customWidth="1"/>
    <col min="959" max="959" width="11.33203125" bestFit="1" customWidth="1"/>
    <col min="960" max="960" width="10.109375" bestFit="1" customWidth="1"/>
    <col min="961" max="961" width="15" bestFit="1" customWidth="1"/>
    <col min="962" max="962" width="6.77734375" bestFit="1" customWidth="1"/>
    <col min="963" max="963" width="7.21875" bestFit="1" customWidth="1"/>
    <col min="964" max="964" width="10.44140625" bestFit="1" customWidth="1"/>
    <col min="965" max="965" width="13.5546875" bestFit="1" customWidth="1"/>
    <col min="966" max="966" width="18.88671875" bestFit="1" customWidth="1"/>
    <col min="967" max="967" width="5" bestFit="1" customWidth="1"/>
    <col min="968" max="968" width="19.21875" bestFit="1" customWidth="1"/>
    <col min="969" max="969" width="9" bestFit="1" customWidth="1"/>
    <col min="970" max="970" width="12.44140625" bestFit="1" customWidth="1"/>
    <col min="971" max="971" width="14.44140625" bestFit="1" customWidth="1"/>
    <col min="972" max="972" width="18.6640625" bestFit="1" customWidth="1"/>
    <col min="973" max="973" width="19.77734375" bestFit="1" customWidth="1"/>
    <col min="974" max="974" width="10.44140625" bestFit="1" customWidth="1"/>
    <col min="975" max="975" width="8.6640625" bestFit="1" customWidth="1"/>
    <col min="976" max="976" width="10" bestFit="1" customWidth="1"/>
    <col min="977" max="977" width="6" bestFit="1" customWidth="1"/>
    <col min="978" max="978" width="19.5546875" bestFit="1" customWidth="1"/>
    <col min="979" max="979" width="5" bestFit="1" customWidth="1"/>
    <col min="980" max="980" width="10.33203125" bestFit="1" customWidth="1"/>
    <col min="981" max="981" width="11.33203125" bestFit="1" customWidth="1"/>
    <col min="982" max="982" width="7.109375" bestFit="1" customWidth="1"/>
    <col min="983" max="983" width="6.77734375" bestFit="1" customWidth="1"/>
    <col min="984" max="984" width="11" bestFit="1" customWidth="1"/>
    <col min="985" max="985" width="11.109375" bestFit="1" customWidth="1"/>
    <col min="986" max="986" width="13.6640625" bestFit="1" customWidth="1"/>
    <col min="987" max="987" width="11.6640625" bestFit="1" customWidth="1"/>
    <col min="988" max="989" width="8.109375" bestFit="1" customWidth="1"/>
    <col min="990" max="990" width="8.33203125" bestFit="1" customWidth="1"/>
    <col min="991" max="991" width="18" bestFit="1" customWidth="1"/>
    <col min="992" max="992" width="13.44140625" bestFit="1" customWidth="1"/>
    <col min="993" max="993" width="22.77734375" bestFit="1" customWidth="1"/>
    <col min="994" max="994" width="11.88671875" bestFit="1" customWidth="1"/>
    <col min="995" max="995" width="13.6640625" bestFit="1" customWidth="1"/>
    <col min="996" max="996" width="9.33203125" bestFit="1" customWidth="1"/>
    <col min="997" max="997" width="7.88671875" bestFit="1" customWidth="1"/>
    <col min="998" max="998" width="12.109375" bestFit="1" customWidth="1"/>
    <col min="999" max="999" width="12.33203125" bestFit="1" customWidth="1"/>
    <col min="1000" max="1000" width="17.77734375" bestFit="1" customWidth="1"/>
    <col min="1001" max="1001" width="10.6640625" bestFit="1" customWidth="1"/>
    <col min="1002" max="1002" width="12.33203125" bestFit="1" customWidth="1"/>
    <col min="1003" max="1003" width="9.88671875" bestFit="1" customWidth="1"/>
    <col min="1004" max="1004" width="9.77734375" bestFit="1" customWidth="1"/>
    <col min="1005" max="1005" width="6" bestFit="1" customWidth="1"/>
    <col min="1006" max="1006" width="8.44140625" bestFit="1" customWidth="1"/>
    <col min="1007" max="1007" width="5.33203125" bestFit="1" customWidth="1"/>
    <col min="1008" max="1008" width="13.77734375" bestFit="1" customWidth="1"/>
    <col min="1009" max="1009" width="13.33203125" bestFit="1" customWidth="1"/>
    <col min="1010" max="1010" width="18.33203125" bestFit="1" customWidth="1"/>
    <col min="1011" max="1011" width="19.21875" bestFit="1" customWidth="1"/>
    <col min="1012" max="1012" width="9.33203125" bestFit="1" customWidth="1"/>
    <col min="1013" max="1013" width="9.77734375" bestFit="1" customWidth="1"/>
    <col min="1014" max="1014" width="6.5546875" bestFit="1" customWidth="1"/>
    <col min="1015" max="1015" width="15" bestFit="1" customWidth="1"/>
    <col min="1016" max="1016" width="6" bestFit="1" customWidth="1"/>
    <col min="1017" max="1017" width="5.77734375" bestFit="1" customWidth="1"/>
    <col min="1018" max="1018" width="7.109375" bestFit="1" customWidth="1"/>
    <col min="1019" max="1019" width="16.88671875" bestFit="1" customWidth="1"/>
    <col min="1020" max="1020" width="7.5546875" bestFit="1" customWidth="1"/>
    <col min="1021" max="1021" width="7.77734375" bestFit="1" customWidth="1"/>
    <col min="1022" max="1022" width="19.6640625" bestFit="1" customWidth="1"/>
    <col min="1023" max="1023" width="22" bestFit="1" customWidth="1"/>
    <col min="1024" max="1024" width="18.44140625" bestFit="1" customWidth="1"/>
    <col min="1025" max="1025" width="19.88671875" bestFit="1" customWidth="1"/>
    <col min="1026" max="1026" width="9.6640625" bestFit="1" customWidth="1"/>
    <col min="1027" max="1027" width="7.21875" bestFit="1" customWidth="1"/>
    <col min="1028" max="1028" width="13.21875" bestFit="1" customWidth="1"/>
    <col min="1029" max="1029" width="12.5546875" bestFit="1" customWidth="1"/>
    <col min="1030" max="1030" width="19.44140625" bestFit="1" customWidth="1"/>
    <col min="1031" max="1031" width="16.88671875" bestFit="1" customWidth="1"/>
    <col min="1032" max="1032" width="7.44140625" bestFit="1" customWidth="1"/>
    <col min="1033" max="1033" width="15" bestFit="1" customWidth="1"/>
    <col min="1034" max="1034" width="14.6640625" bestFit="1" customWidth="1"/>
    <col min="1035" max="1035" width="14.77734375" bestFit="1" customWidth="1"/>
    <col min="1036" max="1036" width="5" bestFit="1" customWidth="1"/>
    <col min="1037" max="1037" width="20" bestFit="1" customWidth="1"/>
    <col min="1038" max="1038" width="11.109375" bestFit="1" customWidth="1"/>
    <col min="1039" max="1039" width="13.5546875" bestFit="1" customWidth="1"/>
    <col min="1040" max="1040" width="19.77734375" bestFit="1" customWidth="1"/>
    <col min="1041" max="1041" width="10.21875" bestFit="1" customWidth="1"/>
    <col min="1042" max="1042" width="6.77734375" bestFit="1" customWidth="1"/>
    <col min="1043" max="1043" width="11.44140625" bestFit="1" customWidth="1"/>
    <col min="1044" max="1044" width="16.109375" bestFit="1" customWidth="1"/>
    <col min="1045" max="1045" width="15.109375" bestFit="1" customWidth="1"/>
    <col min="1046" max="1046" width="19.6640625" bestFit="1" customWidth="1"/>
    <col min="1047" max="1047" width="7.44140625" bestFit="1" customWidth="1"/>
    <col min="1048" max="1048" width="8.44140625" bestFit="1" customWidth="1"/>
    <col min="1049" max="1049" width="7.5546875" bestFit="1" customWidth="1"/>
    <col min="1050" max="1050" width="12.5546875" bestFit="1" customWidth="1"/>
    <col min="1051" max="1051" width="14.5546875" bestFit="1" customWidth="1"/>
    <col min="1052" max="1052" width="8.77734375" bestFit="1" customWidth="1"/>
    <col min="1053" max="1053" width="12.5546875" bestFit="1" customWidth="1"/>
    <col min="1054" max="1054" width="18.33203125" bestFit="1" customWidth="1"/>
    <col min="1055" max="1055" width="14.6640625" bestFit="1" customWidth="1"/>
    <col min="1056" max="1056" width="13.33203125" bestFit="1" customWidth="1"/>
    <col min="1057" max="1057" width="13.5546875" bestFit="1" customWidth="1"/>
    <col min="1058" max="1058" width="14.6640625" bestFit="1" customWidth="1"/>
    <col min="1059" max="1059" width="6" bestFit="1" customWidth="1"/>
    <col min="1060" max="1060" width="16.44140625" bestFit="1" customWidth="1"/>
    <col min="1061" max="1061" width="19.77734375" bestFit="1" customWidth="1"/>
    <col min="1062" max="1062" width="17.5546875" bestFit="1" customWidth="1"/>
    <col min="1063" max="1063" width="11.5546875" bestFit="1" customWidth="1"/>
    <col min="1064" max="1064" width="15.6640625" bestFit="1" customWidth="1"/>
    <col min="1065" max="1065" width="10.88671875" bestFit="1" customWidth="1"/>
    <col min="1066" max="1066" width="15.33203125" bestFit="1" customWidth="1"/>
    <col min="1067" max="1067" width="6.21875" bestFit="1" customWidth="1"/>
    <col min="1068" max="1068" width="12.44140625" bestFit="1" customWidth="1"/>
    <col min="1069" max="1069" width="15.109375" bestFit="1" customWidth="1"/>
    <col min="1070" max="1070" width="10.109375" bestFit="1" customWidth="1"/>
    <col min="1071" max="1071" width="7.5546875" bestFit="1" customWidth="1"/>
    <col min="1072" max="1072" width="18.33203125" bestFit="1" customWidth="1"/>
    <col min="1073" max="1073" width="12.88671875" bestFit="1" customWidth="1"/>
    <col min="1074" max="1074" width="14.44140625" bestFit="1" customWidth="1"/>
    <col min="1075" max="1075" width="20.6640625" bestFit="1" customWidth="1"/>
    <col min="1076" max="1076" width="16.33203125" bestFit="1" customWidth="1"/>
    <col min="1077" max="1077" width="9.88671875" bestFit="1" customWidth="1"/>
    <col min="1078" max="1078" width="20.44140625" bestFit="1" customWidth="1"/>
    <col min="1079" max="1079" width="8.77734375" bestFit="1" customWidth="1"/>
    <col min="1080" max="1080" width="14.77734375" bestFit="1" customWidth="1"/>
    <col min="1081" max="1081" width="18.44140625" bestFit="1" customWidth="1"/>
    <col min="1082" max="1082" width="13.109375" bestFit="1" customWidth="1"/>
    <col min="1083" max="1083" width="6" bestFit="1" customWidth="1"/>
    <col min="1084" max="1084" width="10.5546875" bestFit="1" customWidth="1"/>
    <col min="1085" max="1085" width="10.21875" bestFit="1" customWidth="1"/>
    <col min="1086" max="1086" width="16.44140625" bestFit="1" customWidth="1"/>
    <col min="1087" max="1087" width="12.109375" bestFit="1" customWidth="1"/>
    <col min="1088" max="1088" width="15.44140625" bestFit="1" customWidth="1"/>
    <col min="1089" max="1089" width="11.21875" bestFit="1" customWidth="1"/>
    <col min="1090" max="1090" width="17.77734375" bestFit="1" customWidth="1"/>
    <col min="1091" max="1091" width="14.88671875" bestFit="1" customWidth="1"/>
    <col min="1092" max="1092" width="9.21875" bestFit="1" customWidth="1"/>
    <col min="1093" max="1093" width="13.44140625" bestFit="1" customWidth="1"/>
    <col min="1094" max="1094" width="6" bestFit="1" customWidth="1"/>
    <col min="1095" max="1095" width="23.5546875" bestFit="1" customWidth="1"/>
    <col min="1096" max="1096" width="6.5546875" bestFit="1" customWidth="1"/>
    <col min="1097" max="1097" width="20.6640625" bestFit="1" customWidth="1"/>
    <col min="1098" max="1098" width="6.5546875" bestFit="1" customWidth="1"/>
    <col min="1099" max="1099" width="21.5546875" bestFit="1" customWidth="1"/>
    <col min="1100" max="1100" width="20.77734375" bestFit="1" customWidth="1"/>
    <col min="1101" max="1101" width="12.44140625" bestFit="1" customWidth="1"/>
    <col min="1102" max="1102" width="5.6640625" bestFit="1" customWidth="1"/>
    <col min="1103" max="1103" width="15.21875" bestFit="1" customWidth="1"/>
    <col min="1104" max="1104" width="10.88671875" bestFit="1" customWidth="1"/>
    <col min="1105" max="1105" width="14.77734375" bestFit="1" customWidth="1"/>
    <col min="1106" max="1106" width="9.5546875" bestFit="1" customWidth="1"/>
    <col min="1107" max="1107" width="12.77734375" bestFit="1" customWidth="1"/>
    <col min="1108" max="1108" width="14.33203125" bestFit="1" customWidth="1"/>
    <col min="1109" max="1109" width="14.21875" bestFit="1" customWidth="1"/>
    <col min="1110" max="1110" width="7.21875" bestFit="1" customWidth="1"/>
    <col min="1111" max="1111" width="12.77734375" bestFit="1" customWidth="1"/>
    <col min="1112" max="1112" width="9.33203125" bestFit="1" customWidth="1"/>
    <col min="1113" max="1113" width="19.109375" bestFit="1" customWidth="1"/>
    <col min="1114" max="1114" width="12" bestFit="1" customWidth="1"/>
    <col min="1115" max="1115" width="11.5546875" bestFit="1" customWidth="1"/>
    <col min="1116" max="1116" width="11.77734375" bestFit="1" customWidth="1"/>
    <col min="1117" max="1117" width="9.77734375" bestFit="1" customWidth="1"/>
    <col min="1118" max="1118" width="20.6640625" bestFit="1" customWidth="1"/>
    <col min="1119" max="1119" width="11.21875" bestFit="1" customWidth="1"/>
    <col min="1120" max="1120" width="14.77734375" bestFit="1" customWidth="1"/>
    <col min="1121" max="1121" width="20.21875" bestFit="1" customWidth="1"/>
    <col min="1122" max="1122" width="19.88671875" bestFit="1" customWidth="1"/>
    <col min="1123" max="1123" width="15.33203125" bestFit="1" customWidth="1"/>
    <col min="1124" max="1124" width="6.33203125" bestFit="1" customWidth="1"/>
    <col min="1125" max="1125" width="10.88671875" bestFit="1" customWidth="1"/>
    <col min="1126" max="1126" width="11.88671875" bestFit="1" customWidth="1"/>
    <col min="1127" max="1127" width="17.77734375" bestFit="1" customWidth="1"/>
    <col min="1128" max="1128" width="7.44140625" bestFit="1" customWidth="1"/>
    <col min="1129" max="1129" width="9.109375" bestFit="1" customWidth="1"/>
    <col min="1130" max="1130" width="9.21875" bestFit="1" customWidth="1"/>
    <col min="1131" max="1131" width="20" bestFit="1" customWidth="1"/>
    <col min="1132" max="1132" width="11.88671875" bestFit="1" customWidth="1"/>
    <col min="1133" max="1133" width="6.33203125" bestFit="1" customWidth="1"/>
    <col min="1134" max="1134" width="15.77734375" bestFit="1" customWidth="1"/>
    <col min="1135" max="1135" width="12.109375" bestFit="1" customWidth="1"/>
    <col min="1136" max="1136" width="14.21875" bestFit="1" customWidth="1"/>
    <col min="1137" max="1137" width="14" bestFit="1" customWidth="1"/>
    <col min="1138" max="1138" width="14.77734375" bestFit="1" customWidth="1"/>
    <col min="1139" max="1139" width="19.88671875" bestFit="1" customWidth="1"/>
    <col min="1140" max="1140" width="17.44140625" bestFit="1" customWidth="1"/>
    <col min="1141" max="1141" width="9.109375" bestFit="1" customWidth="1"/>
    <col min="1142" max="1142" width="13.88671875" bestFit="1" customWidth="1"/>
    <col min="1143" max="1143" width="5" bestFit="1" customWidth="1"/>
    <col min="1144" max="1144" width="22" bestFit="1" customWidth="1"/>
    <col min="1145" max="1145" width="6.6640625" bestFit="1" customWidth="1"/>
    <col min="1146" max="1146" width="5.44140625" bestFit="1" customWidth="1"/>
    <col min="1147" max="1147" width="16.77734375" bestFit="1" customWidth="1"/>
    <col min="1148" max="1148" width="9.6640625" bestFit="1" customWidth="1"/>
    <col min="1149" max="1149" width="18" bestFit="1" customWidth="1"/>
    <col min="1150" max="1150" width="16.21875" bestFit="1" customWidth="1"/>
    <col min="1151" max="1151" width="15.33203125" bestFit="1" customWidth="1"/>
    <col min="1152" max="1152" width="21.5546875" bestFit="1" customWidth="1"/>
    <col min="1153" max="1153" width="19.5546875" bestFit="1" customWidth="1"/>
    <col min="1154" max="1154" width="16.33203125" bestFit="1" customWidth="1"/>
    <col min="1155" max="1155" width="16.44140625" bestFit="1" customWidth="1"/>
    <col min="1156" max="1156" width="15.88671875" bestFit="1" customWidth="1"/>
    <col min="1157" max="1157" width="10.77734375" bestFit="1" customWidth="1"/>
    <col min="1158" max="1158" width="22.88671875" bestFit="1" customWidth="1"/>
    <col min="1159" max="1159" width="13.88671875" bestFit="1" customWidth="1"/>
    <col min="1160" max="1160" width="22.5546875" bestFit="1" customWidth="1"/>
    <col min="1161" max="1161" width="14.88671875" bestFit="1" customWidth="1"/>
    <col min="1162" max="1162" width="18.5546875" bestFit="1" customWidth="1"/>
    <col min="1163" max="1163" width="10.88671875" bestFit="1" customWidth="1"/>
    <col min="1164" max="1164" width="25" bestFit="1" customWidth="1"/>
    <col min="1165" max="1165" width="10.21875" bestFit="1" customWidth="1"/>
    <col min="1166" max="1166" width="10.5546875" bestFit="1" customWidth="1"/>
    <col min="1167" max="1167" width="13.21875" bestFit="1" customWidth="1"/>
    <col min="1168" max="1168" width="19.109375" bestFit="1" customWidth="1"/>
    <col min="1169" max="1169" width="15.21875" bestFit="1" customWidth="1"/>
    <col min="1170" max="1170" width="17.33203125" bestFit="1" customWidth="1"/>
    <col min="1171" max="1171" width="6" bestFit="1" customWidth="1"/>
    <col min="1172" max="1172" width="20" bestFit="1" customWidth="1"/>
    <col min="1173" max="1173" width="14.77734375" bestFit="1" customWidth="1"/>
    <col min="1174" max="1174" width="9.6640625" bestFit="1" customWidth="1"/>
    <col min="1175" max="1175" width="15.5546875" bestFit="1" customWidth="1"/>
    <col min="1176" max="1176" width="8.33203125" bestFit="1" customWidth="1"/>
    <col min="1177" max="1177" width="14.44140625" bestFit="1" customWidth="1"/>
    <col min="1178" max="1178" width="7" bestFit="1" customWidth="1"/>
    <col min="1180" max="1180" width="6.5546875" bestFit="1" customWidth="1"/>
    <col min="1181" max="1181" width="10.77734375" bestFit="1" customWidth="1"/>
    <col min="1182" max="1182" width="5" bestFit="1" customWidth="1"/>
    <col min="1183" max="1183" width="10" bestFit="1" customWidth="1"/>
    <col min="1184" max="1184" width="20.44140625" bestFit="1" customWidth="1"/>
    <col min="1185" max="1185" width="10.44140625" bestFit="1" customWidth="1"/>
    <col min="1186" max="1186" width="15" bestFit="1" customWidth="1"/>
    <col min="1187" max="1187" width="13.21875" bestFit="1" customWidth="1"/>
    <col min="1188" max="1188" width="15.77734375" bestFit="1" customWidth="1"/>
    <col min="1189" max="1189" width="14.88671875" bestFit="1" customWidth="1"/>
    <col min="1190" max="1190" width="21.109375" bestFit="1" customWidth="1"/>
    <col min="1191" max="1191" width="12.6640625" bestFit="1" customWidth="1"/>
    <col min="1192" max="1192" width="10.88671875" bestFit="1" customWidth="1"/>
    <col min="1193" max="1193" width="7.6640625" bestFit="1" customWidth="1"/>
    <col min="1194" max="1194" width="14.88671875" bestFit="1" customWidth="1"/>
    <col min="1195" max="1195" width="18" bestFit="1" customWidth="1"/>
    <col min="1196" max="1196" width="22.109375" bestFit="1" customWidth="1"/>
    <col min="1197" max="1197" width="21.5546875" bestFit="1" customWidth="1"/>
    <col min="1198" max="1198" width="11.77734375" bestFit="1" customWidth="1"/>
    <col min="1199" max="1199" width="12" bestFit="1" customWidth="1"/>
    <col min="1200" max="1200" width="19.6640625" bestFit="1" customWidth="1"/>
    <col min="1201" max="1201" width="18.6640625" bestFit="1" customWidth="1"/>
    <col min="1202" max="1202" width="17" bestFit="1" customWidth="1"/>
    <col min="1203" max="1203" width="17.88671875" bestFit="1" customWidth="1"/>
    <col min="1204" max="1204" width="11.109375" bestFit="1" customWidth="1"/>
    <col min="1205" max="1205" width="10.21875" bestFit="1" customWidth="1"/>
    <col min="1206" max="1207" width="5" bestFit="1" customWidth="1"/>
    <col min="1208" max="1208" width="6.5546875" bestFit="1" customWidth="1"/>
    <col min="1209" max="1209" width="18.88671875" bestFit="1" customWidth="1"/>
    <col min="1210" max="1210" width="8.44140625" bestFit="1" customWidth="1"/>
    <col min="1211" max="1211" width="6.21875" bestFit="1" customWidth="1"/>
    <col min="1212" max="1212" width="17.21875" bestFit="1" customWidth="1"/>
    <col min="1213" max="1213" width="19.88671875" bestFit="1" customWidth="1"/>
    <col min="1214" max="1214" width="22.44140625" bestFit="1" customWidth="1"/>
    <col min="1215" max="1215" width="19.5546875" bestFit="1" customWidth="1"/>
    <col min="1216" max="1216" width="14.44140625" bestFit="1" customWidth="1"/>
    <col min="1217" max="1217" width="17.6640625" bestFit="1" customWidth="1"/>
    <col min="1218" max="1218" width="18.6640625" bestFit="1" customWidth="1"/>
    <col min="1219" max="1219" width="15.77734375" bestFit="1" customWidth="1"/>
    <col min="1220" max="1220" width="10" bestFit="1" customWidth="1"/>
    <col min="1221" max="1221" width="6.33203125" bestFit="1" customWidth="1"/>
    <col min="1222" max="1222" width="5" bestFit="1" customWidth="1"/>
    <col min="1223" max="1223" width="13.88671875" bestFit="1" customWidth="1"/>
    <col min="1224" max="1224" width="5.77734375" bestFit="1" customWidth="1"/>
    <col min="1225" max="1225" width="11.109375" bestFit="1" customWidth="1"/>
    <col min="1226" max="1226" width="6" bestFit="1" customWidth="1"/>
    <col min="1227" max="1227" width="12.21875" bestFit="1" customWidth="1"/>
    <col min="1228" max="1228" width="6" bestFit="1" customWidth="1"/>
    <col min="1230" max="1230" width="18.5546875" bestFit="1" customWidth="1"/>
    <col min="1231" max="1231" width="14" bestFit="1" customWidth="1"/>
    <col min="1232" max="1232" width="19.21875" bestFit="1" customWidth="1"/>
    <col min="1233" max="1233" width="13.6640625" bestFit="1" customWidth="1"/>
    <col min="1234" max="1234" width="9.88671875" bestFit="1" customWidth="1"/>
    <col min="1235" max="1235" width="18.44140625" bestFit="1" customWidth="1"/>
    <col min="1236" max="1236" width="11.77734375" bestFit="1" customWidth="1"/>
    <col min="1237" max="1237" width="18.77734375" bestFit="1" customWidth="1"/>
    <col min="1238" max="1238" width="15" bestFit="1" customWidth="1"/>
    <col min="1239" max="1239" width="12.6640625" bestFit="1" customWidth="1"/>
    <col min="1240" max="1240" width="22.33203125" bestFit="1" customWidth="1"/>
    <col min="1241" max="1241" width="23.88671875" bestFit="1" customWidth="1"/>
    <col min="1242" max="1242" width="20.5546875" bestFit="1" customWidth="1"/>
    <col min="1243" max="1243" width="8.5546875" bestFit="1" customWidth="1"/>
    <col min="1244" max="1244" width="17.77734375" bestFit="1" customWidth="1"/>
    <col min="1245" max="1245" width="12.21875" bestFit="1" customWidth="1"/>
    <col min="1246" max="1246" width="21.6640625" bestFit="1" customWidth="1"/>
    <col min="1247" max="1247" width="11.5546875" bestFit="1" customWidth="1"/>
    <col min="1248" max="1248" width="11.109375" bestFit="1" customWidth="1"/>
    <col min="1249" max="1249" width="6" bestFit="1" customWidth="1"/>
    <col min="1250" max="1250" width="12.21875" bestFit="1" customWidth="1"/>
    <col min="1251" max="1251" width="11.6640625" bestFit="1" customWidth="1"/>
    <col min="1252" max="1252" width="4.77734375" bestFit="1" customWidth="1"/>
    <col min="1253" max="1253" width="6" bestFit="1" customWidth="1"/>
    <col min="1254" max="1254" width="15.6640625" bestFit="1" customWidth="1"/>
    <col min="1255" max="1255" width="11.88671875" bestFit="1" customWidth="1"/>
    <col min="1256" max="1256" width="10.109375" bestFit="1" customWidth="1"/>
    <col min="1257" max="1257" width="15.6640625" bestFit="1" customWidth="1"/>
    <col min="1258" max="1258" width="12.33203125" bestFit="1" customWidth="1"/>
    <col min="1259" max="1259" width="11.44140625" bestFit="1" customWidth="1"/>
    <col min="1260" max="1260" width="19.6640625" bestFit="1" customWidth="1"/>
    <col min="1261" max="1261" width="14.77734375" bestFit="1" customWidth="1"/>
    <col min="1262" max="1262" width="17.6640625" bestFit="1" customWidth="1"/>
    <col min="1263" max="1263" width="30.21875" bestFit="1" customWidth="1"/>
    <col min="1264" max="1264" width="13.33203125" bestFit="1" customWidth="1"/>
    <col min="1265" max="1265" width="13.44140625" bestFit="1" customWidth="1"/>
    <col min="1266" max="1266" width="17.88671875" bestFit="1" customWidth="1"/>
    <col min="1267" max="1267" width="16.44140625" bestFit="1" customWidth="1"/>
    <col min="1268" max="1268" width="24.88671875" bestFit="1" customWidth="1"/>
    <col min="1269" max="1269" width="13.77734375" bestFit="1" customWidth="1"/>
    <col min="1270" max="1270" width="8.109375" bestFit="1" customWidth="1"/>
    <col min="1271" max="1271" width="7.109375" bestFit="1" customWidth="1"/>
    <col min="1272" max="1272" width="6.33203125" bestFit="1" customWidth="1"/>
    <col min="1273" max="1273" width="12.44140625" bestFit="1" customWidth="1"/>
    <col min="1274" max="1274" width="15.6640625" bestFit="1" customWidth="1"/>
    <col min="1275" max="1275" width="5" bestFit="1" customWidth="1"/>
    <col min="1276" max="1276" width="5.6640625" bestFit="1" customWidth="1"/>
    <col min="1277" max="1277" width="5" bestFit="1" customWidth="1"/>
    <col min="1278" max="1278" width="5.5546875" bestFit="1" customWidth="1"/>
    <col min="1279" max="1279" width="6.109375" bestFit="1" customWidth="1"/>
    <col min="1280" max="1280" width="21.5546875" bestFit="1" customWidth="1"/>
    <col min="1281" max="1281" width="6.33203125" bestFit="1" customWidth="1"/>
    <col min="1282" max="1282" width="5" bestFit="1" customWidth="1"/>
    <col min="1283" max="1283" width="8.77734375" bestFit="1" customWidth="1"/>
    <col min="1284" max="1284" width="9.33203125" bestFit="1" customWidth="1"/>
    <col min="1285" max="1285" width="19.33203125" bestFit="1" customWidth="1"/>
    <col min="1286" max="1286" width="21.109375" bestFit="1" customWidth="1"/>
    <col min="1287" max="1287" width="11.5546875" bestFit="1" customWidth="1"/>
    <col min="1288" max="1288" width="9.6640625" bestFit="1" customWidth="1"/>
    <col min="1289" max="1289" width="18" bestFit="1" customWidth="1"/>
    <col min="1290" max="1290" width="10.77734375" bestFit="1" customWidth="1"/>
    <col min="1291" max="1291" width="20.5546875" bestFit="1" customWidth="1"/>
    <col min="1292" max="1292" width="15.33203125" bestFit="1" customWidth="1"/>
    <col min="1293" max="1293" width="9.109375" bestFit="1" customWidth="1"/>
    <col min="1294" max="1294" width="8.6640625" bestFit="1" customWidth="1"/>
    <col min="1295" max="1295" width="17.88671875" bestFit="1" customWidth="1"/>
    <col min="1296" max="1296" width="9.44140625" bestFit="1" customWidth="1"/>
    <col min="1297" max="1297" width="10.44140625" bestFit="1" customWidth="1"/>
    <col min="1298" max="1298" width="14.88671875" bestFit="1" customWidth="1"/>
    <col min="1299" max="1299" width="8.44140625" bestFit="1" customWidth="1"/>
    <col min="1300" max="1300" width="9.109375" bestFit="1" customWidth="1"/>
    <col min="1301" max="1301" width="15" bestFit="1" customWidth="1"/>
    <col min="1302" max="1302" width="6.88671875" bestFit="1" customWidth="1"/>
    <col min="1303" max="1303" width="11" bestFit="1" customWidth="1"/>
    <col min="1304" max="1304" width="6.5546875" bestFit="1" customWidth="1"/>
    <col min="1305" max="1305" width="6" bestFit="1" customWidth="1"/>
    <col min="1306" max="1306" width="18.21875" bestFit="1" customWidth="1"/>
    <col min="1307" max="1307" width="19.21875" bestFit="1" customWidth="1"/>
    <col min="1308" max="1308" width="5.77734375" bestFit="1" customWidth="1"/>
    <col min="1309" max="1309" width="6.33203125" bestFit="1" customWidth="1"/>
    <col min="1310" max="1310" width="16.109375" bestFit="1" customWidth="1"/>
    <col min="1311" max="1311" width="26.109375" bestFit="1" customWidth="1"/>
    <col min="1312" max="1312" width="5.33203125" bestFit="1" customWidth="1"/>
    <col min="1313" max="1313" width="6.21875" bestFit="1" customWidth="1"/>
    <col min="1314" max="1314" width="24.44140625" bestFit="1" customWidth="1"/>
    <col min="1315" max="1316" width="12.21875" bestFit="1" customWidth="1"/>
    <col min="1317" max="1317" width="5" bestFit="1" customWidth="1"/>
    <col min="1318" max="1318" width="5.44140625" bestFit="1" customWidth="1"/>
    <col min="1319" max="1319" width="9.5546875" bestFit="1" customWidth="1"/>
    <col min="1320" max="1320" width="9.109375" bestFit="1" customWidth="1"/>
    <col min="1321" max="1321" width="11.21875" bestFit="1" customWidth="1"/>
    <col min="1322" max="1322" width="19.88671875" bestFit="1" customWidth="1"/>
    <col min="1323" max="1323" width="19.21875" bestFit="1" customWidth="1"/>
    <col min="1324" max="1324" width="13.77734375" bestFit="1" customWidth="1"/>
    <col min="1325" max="1325" width="12.6640625" bestFit="1" customWidth="1"/>
    <col min="1326" max="1326" width="6.5546875" bestFit="1" customWidth="1"/>
    <col min="1327" max="1327" width="15.77734375" bestFit="1" customWidth="1"/>
    <col min="1328" max="1328" width="14.33203125" bestFit="1" customWidth="1"/>
    <col min="1329" max="1329" width="8.5546875" bestFit="1" customWidth="1"/>
    <col min="1330" max="1330" width="9.33203125" bestFit="1" customWidth="1"/>
    <col min="1331" max="1331" width="11.88671875" bestFit="1" customWidth="1"/>
    <col min="1332" max="1332" width="12.5546875" bestFit="1" customWidth="1"/>
    <col min="1333" max="1333" width="19.109375" bestFit="1" customWidth="1"/>
    <col min="1334" max="1334" width="8" bestFit="1" customWidth="1"/>
    <col min="1335" max="1335" width="6.109375" bestFit="1" customWidth="1"/>
    <col min="1336" max="1336" width="14.77734375" bestFit="1" customWidth="1"/>
    <col min="1337" max="1337" width="7.77734375" bestFit="1" customWidth="1"/>
    <col min="1338" max="1338" width="19" bestFit="1" customWidth="1"/>
    <col min="1339" max="1339" width="19.44140625" bestFit="1" customWidth="1"/>
    <col min="1340" max="1340" width="12.6640625" bestFit="1" customWidth="1"/>
    <col min="1341" max="1341" width="14" bestFit="1" customWidth="1"/>
    <col min="1342" max="1342" width="18.33203125" bestFit="1" customWidth="1"/>
    <col min="1343" max="1343" width="7.6640625" bestFit="1" customWidth="1"/>
    <col min="1344" max="1344" width="16.6640625" bestFit="1" customWidth="1"/>
    <col min="1345" max="1345" width="12.77734375" bestFit="1" customWidth="1"/>
    <col min="1346" max="1346" width="10.5546875" bestFit="1" customWidth="1"/>
    <col min="1347" max="1347" width="22.109375" bestFit="1" customWidth="1"/>
    <col min="1348" max="1348" width="12.5546875" bestFit="1" customWidth="1"/>
    <col min="1349" max="1349" width="10.33203125" bestFit="1" customWidth="1"/>
    <col min="1350" max="1350" width="10.109375" bestFit="1" customWidth="1"/>
    <col min="1351" max="1351" width="11.88671875" bestFit="1" customWidth="1"/>
    <col min="1352" max="1352" width="8.5546875" bestFit="1" customWidth="1"/>
    <col min="1353" max="1353" width="14.77734375" bestFit="1" customWidth="1"/>
    <col min="1354" max="1354" width="5.6640625" bestFit="1" customWidth="1"/>
    <col min="1355" max="1355" width="5.77734375" bestFit="1" customWidth="1"/>
    <col min="1356" max="1356" width="12.44140625" bestFit="1" customWidth="1"/>
    <col min="1357" max="1357" width="4.5546875" bestFit="1" customWidth="1"/>
    <col min="1358" max="1358" width="21.6640625" bestFit="1" customWidth="1"/>
    <col min="1359" max="1359" width="12.109375" bestFit="1" customWidth="1"/>
    <col min="1360" max="1360" width="11.21875" bestFit="1" customWidth="1"/>
    <col min="1361" max="1361" width="22.44140625" bestFit="1" customWidth="1"/>
    <col min="1362" max="1362" width="12.77734375" bestFit="1" customWidth="1"/>
    <col min="1363" max="1363" width="9.44140625" bestFit="1" customWidth="1"/>
    <col min="1364" max="1364" width="25.109375" bestFit="1" customWidth="1"/>
    <col min="1365" max="1365" width="12.77734375" bestFit="1" customWidth="1"/>
    <col min="1366" max="1366" width="7.44140625" bestFit="1" customWidth="1"/>
    <col min="1367" max="1367" width="17.6640625" bestFit="1" customWidth="1"/>
    <col min="1368" max="1368" width="11.77734375" bestFit="1" customWidth="1"/>
    <col min="1369" max="1369" width="9" bestFit="1" customWidth="1"/>
    <col min="1370" max="1370" width="12.21875" bestFit="1" customWidth="1"/>
    <col min="1371" max="1371" width="5.109375" bestFit="1" customWidth="1"/>
    <col min="1372" max="1372" width="9.5546875" bestFit="1" customWidth="1"/>
    <col min="1373" max="1373" width="14.6640625" bestFit="1" customWidth="1"/>
    <col min="1374" max="1374" width="17" bestFit="1" customWidth="1"/>
    <col min="1375" max="1375" width="10.109375" bestFit="1" customWidth="1"/>
    <col min="1376" max="1376" width="19.77734375" bestFit="1" customWidth="1"/>
    <col min="1377" max="1377" width="14.44140625" bestFit="1" customWidth="1"/>
    <col min="1378" max="1378" width="16.33203125" bestFit="1" customWidth="1"/>
    <col min="1379" max="1379" width="7.5546875" bestFit="1" customWidth="1"/>
    <col min="1380" max="1380" width="7.6640625" bestFit="1" customWidth="1"/>
    <col min="1381" max="1381" width="15.77734375" bestFit="1" customWidth="1"/>
    <col min="1382" max="1382" width="6" bestFit="1" customWidth="1"/>
    <col min="1383" max="1383" width="21.77734375" bestFit="1" customWidth="1"/>
    <col min="1384" max="1384" width="20" bestFit="1" customWidth="1"/>
    <col min="1385" max="1385" width="23.44140625" bestFit="1" customWidth="1"/>
    <col min="1386" max="1386" width="13.21875" bestFit="1" customWidth="1"/>
    <col min="1387" max="1387" width="5" bestFit="1" customWidth="1"/>
    <col min="1388" max="1388" width="6" bestFit="1" customWidth="1"/>
    <col min="1389" max="1389" width="6.77734375" bestFit="1" customWidth="1"/>
    <col min="1390" max="1390" width="16.88671875" bestFit="1" customWidth="1"/>
    <col min="1391" max="1391" width="14.88671875" bestFit="1" customWidth="1"/>
    <col min="1392" max="1392" width="16.109375" bestFit="1" customWidth="1"/>
    <col min="1393" max="1393" width="9.21875" bestFit="1" customWidth="1"/>
    <col min="1394" max="1394" width="16" bestFit="1" customWidth="1"/>
    <col min="1395" max="1395" width="14.44140625" bestFit="1" customWidth="1"/>
    <col min="1396" max="1396" width="10.5546875" bestFit="1" customWidth="1"/>
    <col min="1397" max="1397" width="8.109375" bestFit="1" customWidth="1"/>
    <col min="1398" max="1398" width="13.88671875" bestFit="1" customWidth="1"/>
    <col min="1399" max="1399" width="7.77734375" bestFit="1" customWidth="1"/>
    <col min="1400" max="1400" width="13.109375" bestFit="1" customWidth="1"/>
    <col min="1401" max="1401" width="9.6640625" bestFit="1" customWidth="1"/>
    <col min="1402" max="1402" width="17.6640625" bestFit="1" customWidth="1"/>
    <col min="1403" max="1403" width="18.44140625" bestFit="1" customWidth="1"/>
    <col min="1404" max="1404" width="16.6640625" bestFit="1" customWidth="1"/>
    <col min="1405" max="1405" width="10.77734375" bestFit="1" customWidth="1"/>
    <col min="1406" max="1406" width="11.88671875" bestFit="1" customWidth="1"/>
    <col min="1407" max="1407" width="13.109375" bestFit="1" customWidth="1"/>
    <col min="1408" max="1408" width="14.109375" bestFit="1" customWidth="1"/>
    <col min="1409" max="1409" width="23.21875" bestFit="1" customWidth="1"/>
    <col min="1410" max="1410" width="11.5546875" bestFit="1" customWidth="1"/>
    <col min="1411" max="1411" width="5.88671875" bestFit="1" customWidth="1"/>
    <col min="1412" max="1412" width="13.44140625" bestFit="1" customWidth="1"/>
    <col min="1413" max="1413" width="19.44140625" bestFit="1" customWidth="1"/>
    <col min="1414" max="1414" width="10.77734375" bestFit="1" customWidth="1"/>
    <col min="1415" max="1415" width="14" bestFit="1" customWidth="1"/>
    <col min="1416" max="1416" width="22.109375" bestFit="1" customWidth="1"/>
    <col min="1417" max="1417" width="10.21875" bestFit="1" customWidth="1"/>
    <col min="1418" max="1418" width="16.21875" bestFit="1" customWidth="1"/>
    <col min="1419" max="1419" width="9.21875" bestFit="1" customWidth="1"/>
    <col min="1420" max="1420" width="15.88671875" bestFit="1" customWidth="1"/>
    <col min="1421" max="1421" width="7.5546875" bestFit="1" customWidth="1"/>
    <col min="1422" max="1422" width="21.109375" bestFit="1" customWidth="1"/>
    <col min="1423" max="1423" width="12.44140625" bestFit="1" customWidth="1"/>
    <col min="1424" max="1424" width="10.77734375" bestFit="1" customWidth="1"/>
    <col min="1425" max="1425" width="17.33203125" bestFit="1" customWidth="1"/>
    <col min="1426" max="1426" width="8" bestFit="1" customWidth="1"/>
    <col min="1427" max="1427" width="15.88671875" bestFit="1" customWidth="1"/>
    <col min="1428" max="1428" width="13.5546875" bestFit="1" customWidth="1"/>
    <col min="1429" max="1429" width="11.21875" bestFit="1" customWidth="1"/>
    <col min="1430" max="1430" width="9.109375" bestFit="1" customWidth="1"/>
    <col min="1431" max="1431" width="15.33203125" bestFit="1" customWidth="1"/>
    <col min="1432" max="1432" width="20.88671875" bestFit="1" customWidth="1"/>
    <col min="1433" max="1433" width="13.77734375" bestFit="1" customWidth="1"/>
    <col min="1434" max="1434" width="12" bestFit="1" customWidth="1"/>
    <col min="1435" max="1435" width="15.44140625" bestFit="1" customWidth="1"/>
    <col min="1436" max="1436" width="16.77734375" bestFit="1" customWidth="1"/>
    <col min="1437" max="1437" width="13.109375" bestFit="1" customWidth="1"/>
    <col min="1438" max="1438" width="7.5546875" bestFit="1" customWidth="1"/>
    <col min="1439" max="1439" width="13.21875" bestFit="1" customWidth="1"/>
    <col min="1440" max="1440" width="13.109375" bestFit="1" customWidth="1"/>
    <col min="1441" max="1441" width="10.21875" bestFit="1" customWidth="1"/>
    <col min="1442" max="1442" width="15.5546875" bestFit="1" customWidth="1"/>
    <col min="1443" max="1443" width="17.5546875" bestFit="1" customWidth="1"/>
    <col min="1444" max="1444" width="9.88671875" bestFit="1" customWidth="1"/>
    <col min="1445" max="1445" width="14.88671875" bestFit="1" customWidth="1"/>
    <col min="1446" max="1446" width="13.109375" bestFit="1" customWidth="1"/>
    <col min="1447" max="1447" width="6.6640625" bestFit="1" customWidth="1"/>
    <col min="1448" max="1448" width="17.33203125" bestFit="1" customWidth="1"/>
    <col min="1449" max="1449" width="5.109375" bestFit="1" customWidth="1"/>
    <col min="1450" max="1450" width="6.88671875" bestFit="1" customWidth="1"/>
    <col min="1451" max="1451" width="10.109375" bestFit="1" customWidth="1"/>
    <col min="1452" max="1452" width="6" bestFit="1" customWidth="1"/>
    <col min="1453" max="1453" width="12" bestFit="1" customWidth="1"/>
    <col min="1454" max="1454" width="8.44140625" bestFit="1" customWidth="1"/>
    <col min="1455" max="1455" width="7.44140625" bestFit="1" customWidth="1"/>
    <col min="1456" max="1456" width="10.33203125" bestFit="1" customWidth="1"/>
    <col min="1457" max="1457" width="13.77734375" bestFit="1" customWidth="1"/>
    <col min="1458" max="1458" width="11.88671875" bestFit="1" customWidth="1"/>
    <col min="1459" max="1459" width="19.21875" bestFit="1" customWidth="1"/>
    <col min="1460" max="1460" width="14.44140625" bestFit="1" customWidth="1"/>
    <col min="1461" max="1461" width="21.6640625" bestFit="1" customWidth="1"/>
    <col min="1462" max="1462" width="6" bestFit="1" customWidth="1"/>
    <col min="1463" max="1463" width="14.21875" bestFit="1" customWidth="1"/>
    <col min="1464" max="1464" width="10.6640625" bestFit="1" customWidth="1"/>
    <col min="1465" max="1465" width="10.44140625" bestFit="1" customWidth="1"/>
    <col min="1466" max="1466" width="18.44140625" bestFit="1" customWidth="1"/>
    <col min="1467" max="1467" width="16" bestFit="1" customWidth="1"/>
    <col min="1468" max="1468" width="19.5546875" bestFit="1" customWidth="1"/>
    <col min="1469" max="1469" width="20.5546875" bestFit="1" customWidth="1"/>
    <col min="1470" max="1470" width="14.77734375" bestFit="1" customWidth="1"/>
    <col min="1471" max="1471" width="22" bestFit="1" customWidth="1"/>
    <col min="1472" max="1472" width="9.6640625" bestFit="1" customWidth="1"/>
    <col min="1473" max="1473" width="12.6640625" bestFit="1" customWidth="1"/>
    <col min="1474" max="1474" width="18.6640625" bestFit="1" customWidth="1"/>
    <col min="1475" max="1475" width="10.5546875" bestFit="1" customWidth="1"/>
    <col min="1476" max="1476" width="15.109375" bestFit="1" customWidth="1"/>
    <col min="1477" max="1478" width="12.44140625" bestFit="1" customWidth="1"/>
    <col min="1479" max="1479" width="13.33203125" bestFit="1" customWidth="1"/>
    <col min="1480" max="1480" width="9.109375" bestFit="1" customWidth="1"/>
    <col min="1481" max="1481" width="17.77734375" bestFit="1" customWidth="1"/>
    <col min="1482" max="1482" width="6.6640625" bestFit="1" customWidth="1"/>
    <col min="1483" max="1483" width="8.109375" bestFit="1" customWidth="1"/>
    <col min="1484" max="1484" width="6.44140625" bestFit="1" customWidth="1"/>
    <col min="1485" max="1485" width="10.6640625" bestFit="1" customWidth="1"/>
    <col min="1486" max="1486" width="11.88671875" bestFit="1" customWidth="1"/>
    <col min="1487" max="1487" width="5" bestFit="1" customWidth="1"/>
    <col min="1488" max="1488" width="8.6640625" bestFit="1" customWidth="1"/>
    <col min="1489" max="1489" width="6.88671875" bestFit="1" customWidth="1"/>
    <col min="1490" max="1490" width="8.6640625" bestFit="1" customWidth="1"/>
    <col min="1491" max="1491" width="18.33203125" bestFit="1" customWidth="1"/>
    <col min="1492" max="1492" width="20.6640625" bestFit="1" customWidth="1"/>
    <col min="1493" max="1493" width="23.33203125" bestFit="1" customWidth="1"/>
    <col min="1494" max="1494" width="11.88671875" bestFit="1" customWidth="1"/>
    <col min="1495" max="1495" width="7.5546875" bestFit="1" customWidth="1"/>
    <col min="1496" max="1496" width="7.6640625" bestFit="1" customWidth="1"/>
    <col min="1497" max="1497" width="16.21875" bestFit="1" customWidth="1"/>
    <col min="1498" max="1499" width="7.21875" bestFit="1" customWidth="1"/>
    <col min="1500" max="1500" width="11.6640625" bestFit="1" customWidth="1"/>
    <col min="1501" max="1502" width="13.109375" bestFit="1" customWidth="1"/>
    <col min="1503" max="1503" width="12.21875" bestFit="1" customWidth="1"/>
    <col min="1504" max="1504" width="6.6640625" bestFit="1" customWidth="1"/>
    <col min="1505" max="1505" width="12.6640625" bestFit="1" customWidth="1"/>
    <col min="1506" max="1506" width="6" bestFit="1" customWidth="1"/>
    <col min="1507" max="1507" width="5.6640625" bestFit="1" customWidth="1"/>
    <col min="1508" max="1508" width="15.21875" bestFit="1" customWidth="1"/>
    <col min="1509" max="1509" width="8" bestFit="1" customWidth="1"/>
    <col min="1510" max="1510" width="9.88671875" bestFit="1" customWidth="1"/>
    <col min="1511" max="1511" width="6" bestFit="1" customWidth="1"/>
    <col min="1512" max="1512" width="14.44140625" bestFit="1" customWidth="1"/>
    <col min="1513" max="1513" width="14.33203125" bestFit="1" customWidth="1"/>
    <col min="1514" max="1514" width="13.33203125" bestFit="1" customWidth="1"/>
    <col min="1515" max="1515" width="9" bestFit="1" customWidth="1"/>
    <col min="1516" max="1516" width="6" bestFit="1" customWidth="1"/>
    <col min="1517" max="1517" width="6.44140625" bestFit="1" customWidth="1"/>
    <col min="1518" max="1518" width="20" bestFit="1" customWidth="1"/>
    <col min="1519" max="1519" width="14" bestFit="1" customWidth="1"/>
    <col min="1520" max="1520" width="14.88671875" bestFit="1" customWidth="1"/>
    <col min="1521" max="1521" width="15.77734375" bestFit="1" customWidth="1"/>
    <col min="1522" max="1522" width="12.6640625" bestFit="1" customWidth="1"/>
    <col min="1523" max="1523" width="15.88671875" bestFit="1" customWidth="1"/>
    <col min="1524" max="1524" width="9.33203125" bestFit="1" customWidth="1"/>
    <col min="1525" max="1525" width="5" bestFit="1" customWidth="1"/>
    <col min="1526" max="1526" width="18.77734375" bestFit="1" customWidth="1"/>
    <col min="1527" max="1527" width="18" bestFit="1" customWidth="1"/>
    <col min="1528" max="1528" width="13.5546875" bestFit="1" customWidth="1"/>
    <col min="1529" max="1529" width="18.109375" bestFit="1" customWidth="1"/>
    <col min="1530" max="1530" width="9.33203125" bestFit="1" customWidth="1"/>
    <col min="1531" max="1531" width="13.21875" bestFit="1" customWidth="1"/>
    <col min="1532" max="1532" width="17.5546875" bestFit="1" customWidth="1"/>
    <col min="1533" max="1533" width="6.6640625" bestFit="1" customWidth="1"/>
    <col min="1534" max="1534" width="8.5546875" bestFit="1" customWidth="1"/>
    <col min="1535" max="1535" width="19.6640625" bestFit="1" customWidth="1"/>
    <col min="1536" max="1536" width="11.109375" bestFit="1" customWidth="1"/>
    <col min="1537" max="1537" width="15" bestFit="1" customWidth="1"/>
    <col min="1538" max="1538" width="12.44140625" bestFit="1" customWidth="1"/>
    <col min="1539" max="1539" width="18.6640625" bestFit="1" customWidth="1"/>
    <col min="1540" max="1540" width="13.77734375" bestFit="1" customWidth="1"/>
    <col min="1541" max="1541" width="7" bestFit="1" customWidth="1"/>
    <col min="1542" max="1542" width="12.88671875" bestFit="1" customWidth="1"/>
    <col min="1543" max="1543" width="9.77734375" bestFit="1" customWidth="1"/>
    <col min="1544" max="1544" width="16.77734375" bestFit="1" customWidth="1"/>
    <col min="1545" max="1545" width="11.6640625" bestFit="1" customWidth="1"/>
    <col min="1546" max="1546" width="8.5546875" bestFit="1" customWidth="1"/>
    <col min="1547" max="1547" width="5" bestFit="1" customWidth="1"/>
    <col min="1548" max="1548" width="21.109375" bestFit="1" customWidth="1"/>
    <col min="1549" max="1549" width="5.88671875" bestFit="1" customWidth="1"/>
    <col min="1550" max="1550" width="20.44140625" bestFit="1" customWidth="1"/>
    <col min="1551" max="1551" width="21.5546875" bestFit="1" customWidth="1"/>
    <col min="1552" max="1552" width="15.5546875" bestFit="1" customWidth="1"/>
    <col min="1553" max="1553" width="10.21875" bestFit="1" customWidth="1"/>
    <col min="1554" max="1554" width="12.44140625" bestFit="1" customWidth="1"/>
    <col min="1555" max="1555" width="20.21875" bestFit="1" customWidth="1"/>
    <col min="1556" max="1556" width="7.5546875" bestFit="1" customWidth="1"/>
    <col min="1557" max="1557" width="17.44140625" bestFit="1" customWidth="1"/>
    <col min="1558" max="1558" width="17.21875" bestFit="1" customWidth="1"/>
    <col min="1559" max="1559" width="15.77734375" bestFit="1" customWidth="1"/>
    <col min="1560" max="1560" width="15.33203125" bestFit="1" customWidth="1"/>
    <col min="1561" max="1561" width="9.44140625" bestFit="1" customWidth="1"/>
    <col min="1562" max="1562" width="11.5546875" bestFit="1" customWidth="1"/>
    <col min="1563" max="1563" width="8" bestFit="1" customWidth="1"/>
    <col min="1564" max="1564" width="13.33203125" bestFit="1" customWidth="1"/>
    <col min="1565" max="1565" width="18.109375" bestFit="1" customWidth="1"/>
    <col min="1566" max="1566" width="12.5546875" bestFit="1" customWidth="1"/>
    <col min="1567" max="1567" width="17.33203125" bestFit="1" customWidth="1"/>
    <col min="1568" max="1568" width="12.109375" bestFit="1" customWidth="1"/>
    <col min="1569" max="1569" width="13.5546875" bestFit="1" customWidth="1"/>
    <col min="1570" max="1570" width="20.44140625" bestFit="1" customWidth="1"/>
    <col min="1571" max="1571" width="13.77734375" bestFit="1" customWidth="1"/>
    <col min="1572" max="1572" width="12.6640625" bestFit="1" customWidth="1"/>
    <col min="1573" max="1573" width="10.5546875" bestFit="1" customWidth="1"/>
    <col min="1574" max="1574" width="20" bestFit="1" customWidth="1"/>
    <col min="1575" max="1575" width="16.109375" bestFit="1" customWidth="1"/>
    <col min="1576" max="1576" width="18.88671875" bestFit="1" customWidth="1"/>
    <col min="1577" max="1577" width="14.33203125" bestFit="1" customWidth="1"/>
    <col min="1578" max="1578" width="21.109375" bestFit="1" customWidth="1"/>
    <col min="1579" max="1579" width="17.21875" bestFit="1" customWidth="1"/>
    <col min="1580" max="1580" width="23.44140625" bestFit="1" customWidth="1"/>
    <col min="1581" max="1581" width="26.5546875" bestFit="1" customWidth="1"/>
    <col min="1582" max="1582" width="11.6640625" bestFit="1" customWidth="1"/>
    <col min="1583" max="1583" width="7.5546875" bestFit="1" customWidth="1"/>
    <col min="1584" max="1584" width="7.88671875" bestFit="1" customWidth="1"/>
    <col min="1585" max="1585" width="9.6640625" bestFit="1" customWidth="1"/>
    <col min="1586" max="1586" width="17.6640625" bestFit="1" customWidth="1"/>
    <col min="1587" max="1587" width="5" bestFit="1" customWidth="1"/>
    <col min="1588" max="1588" width="13.21875" bestFit="1" customWidth="1"/>
    <col min="1589" max="1589" width="5" bestFit="1" customWidth="1"/>
    <col min="1590" max="1590" width="15.33203125" bestFit="1" customWidth="1"/>
    <col min="1591" max="1591" width="17.44140625" bestFit="1" customWidth="1"/>
    <col min="1592" max="1592" width="15.109375" bestFit="1" customWidth="1"/>
    <col min="1593" max="1593" width="12.33203125" bestFit="1" customWidth="1"/>
    <col min="1594" max="1594" width="12.77734375" bestFit="1" customWidth="1"/>
    <col min="1595" max="1595" width="20.88671875" bestFit="1" customWidth="1"/>
    <col min="1596" max="1596" width="15.44140625" bestFit="1" customWidth="1"/>
    <col min="1597" max="1597" width="8.6640625" bestFit="1" customWidth="1"/>
    <col min="1598" max="1599" width="6" bestFit="1" customWidth="1"/>
    <col min="1600" max="1600" width="9" bestFit="1" customWidth="1"/>
    <col min="1601" max="1601" width="12.21875" bestFit="1" customWidth="1"/>
    <col min="1602" max="1602" width="24.33203125" bestFit="1" customWidth="1"/>
    <col min="1603" max="1603" width="11" bestFit="1" customWidth="1"/>
    <col min="1604" max="1604" width="16.109375" bestFit="1" customWidth="1"/>
    <col min="1605" max="1605" width="5.21875" bestFit="1" customWidth="1"/>
    <col min="1606" max="1606" width="7.33203125" bestFit="1" customWidth="1"/>
    <col min="1607" max="1607" width="19.6640625" bestFit="1" customWidth="1"/>
    <col min="1608" max="1608" width="11.44140625" bestFit="1" customWidth="1"/>
    <col min="1609" max="1609" width="16.5546875" bestFit="1" customWidth="1"/>
    <col min="1610" max="1610" width="16.88671875" bestFit="1" customWidth="1"/>
    <col min="1611" max="1611" width="11.77734375" bestFit="1" customWidth="1"/>
    <col min="1612" max="1612" width="5" bestFit="1" customWidth="1"/>
    <col min="1613" max="1613" width="16.21875" bestFit="1" customWidth="1"/>
    <col min="1614" max="1614" width="20.33203125" bestFit="1" customWidth="1"/>
    <col min="1615" max="1615" width="13.88671875" bestFit="1" customWidth="1"/>
    <col min="1616" max="1616" width="14.21875" bestFit="1" customWidth="1"/>
    <col min="1617" max="1617" width="14.88671875" bestFit="1" customWidth="1"/>
    <col min="1618" max="1618" width="16.6640625" bestFit="1" customWidth="1"/>
    <col min="1619" max="1619" width="19.21875" bestFit="1" customWidth="1"/>
    <col min="1620" max="1620" width="23.44140625" bestFit="1" customWidth="1"/>
    <col min="1621" max="1621" width="14.6640625" bestFit="1" customWidth="1"/>
    <col min="1622" max="1622" width="13.109375" bestFit="1" customWidth="1"/>
    <col min="1623" max="1623" width="7" bestFit="1" customWidth="1"/>
    <col min="1624" max="1624" width="9.21875" bestFit="1" customWidth="1"/>
    <col min="1625" max="1625" width="14.88671875" bestFit="1" customWidth="1"/>
    <col min="1626" max="1626" width="22.88671875" bestFit="1" customWidth="1"/>
    <col min="1627" max="1627" width="10.77734375" bestFit="1" customWidth="1"/>
    <col min="1628" max="1628" width="12" bestFit="1" customWidth="1"/>
    <col min="1629" max="1629" width="20.6640625" bestFit="1" customWidth="1"/>
    <col min="1630" max="1630" width="19.88671875" bestFit="1" customWidth="1"/>
    <col min="1631" max="1631" width="17" bestFit="1" customWidth="1"/>
    <col min="1632" max="1632" width="9.33203125" bestFit="1" customWidth="1"/>
    <col min="1633" max="1633" width="9.88671875" bestFit="1" customWidth="1"/>
    <col min="1634" max="1634" width="10.44140625" bestFit="1" customWidth="1"/>
    <col min="1635" max="1635" width="7" bestFit="1" customWidth="1"/>
    <col min="1636" max="1636" width="9.6640625" bestFit="1" customWidth="1"/>
    <col min="1637" max="1637" width="10.5546875" bestFit="1" customWidth="1"/>
    <col min="1638" max="1638" width="14.21875" bestFit="1" customWidth="1"/>
    <col min="1639" max="1639" width="13.44140625" bestFit="1" customWidth="1"/>
    <col min="1640" max="1640" width="9.77734375" bestFit="1" customWidth="1"/>
    <col min="1641" max="1641" width="18.109375" bestFit="1" customWidth="1"/>
    <col min="1642" max="1642" width="16.33203125" bestFit="1" customWidth="1"/>
    <col min="1643" max="1643" width="17.21875" bestFit="1" customWidth="1"/>
    <col min="1644" max="1644" width="19.6640625" bestFit="1" customWidth="1"/>
    <col min="1645" max="1645" width="19.33203125" bestFit="1" customWidth="1"/>
    <col min="1646" max="1646" width="21.77734375" bestFit="1" customWidth="1"/>
    <col min="1647" max="1647" width="20.88671875" bestFit="1" customWidth="1"/>
    <col min="1648" max="1648" width="23.5546875" bestFit="1" customWidth="1"/>
    <col min="1649" max="1649" width="21.33203125" bestFit="1" customWidth="1"/>
    <col min="1650" max="1650" width="16.44140625" bestFit="1" customWidth="1"/>
    <col min="1651" max="1651" width="21.33203125" bestFit="1" customWidth="1"/>
    <col min="1652" max="1652" width="21.44140625" bestFit="1" customWidth="1"/>
    <col min="1653" max="1653" width="15.5546875" bestFit="1" customWidth="1"/>
    <col min="1654" max="1654" width="16.33203125" bestFit="1" customWidth="1"/>
    <col min="1655" max="1655" width="23.44140625" bestFit="1" customWidth="1"/>
    <col min="1656" max="1656" width="13.21875" bestFit="1" customWidth="1"/>
    <col min="1657" max="1657" width="15.6640625" bestFit="1" customWidth="1"/>
    <col min="1658" max="1658" width="7.33203125" bestFit="1" customWidth="1"/>
    <col min="1659" max="1659" width="14" bestFit="1" customWidth="1"/>
    <col min="1660" max="1660" width="9.44140625" bestFit="1" customWidth="1"/>
    <col min="1661" max="1661" width="13.88671875" bestFit="1" customWidth="1"/>
    <col min="1662" max="1662" width="11.5546875" bestFit="1" customWidth="1"/>
    <col min="1663" max="1663" width="8.109375" bestFit="1" customWidth="1"/>
    <col min="1664" max="1664" width="12.21875" bestFit="1" customWidth="1"/>
    <col min="1665" max="1665" width="21.6640625" bestFit="1" customWidth="1"/>
    <col min="1666" max="1666" width="12.77734375" bestFit="1" customWidth="1"/>
    <col min="1667" max="1667" width="11.44140625" bestFit="1" customWidth="1"/>
    <col min="1668" max="1668" width="15.88671875" bestFit="1" customWidth="1"/>
    <col min="1669" max="1669" width="13.77734375" bestFit="1" customWidth="1"/>
    <col min="1670" max="1670" width="9.109375" bestFit="1" customWidth="1"/>
    <col min="1671" max="1671" width="8.33203125" bestFit="1" customWidth="1"/>
    <col min="1672" max="1672" width="9.33203125" bestFit="1" customWidth="1"/>
    <col min="1674" max="1674" width="11.44140625" bestFit="1" customWidth="1"/>
    <col min="1675" max="1675" width="7.6640625" bestFit="1" customWidth="1"/>
    <col min="1676" max="1676" width="5.77734375" bestFit="1" customWidth="1"/>
    <col min="1677" max="1677" width="13.33203125" bestFit="1" customWidth="1"/>
    <col min="1678" max="1678" width="11.6640625" bestFit="1" customWidth="1"/>
    <col min="1679" max="1679" width="15.88671875" bestFit="1" customWidth="1"/>
    <col min="1680" max="1680" width="15.21875" bestFit="1" customWidth="1"/>
    <col min="1681" max="1681" width="6" bestFit="1" customWidth="1"/>
    <col min="1682" max="1682" width="21.88671875" bestFit="1" customWidth="1"/>
    <col min="1683" max="1683" width="20.109375" bestFit="1" customWidth="1"/>
    <col min="1684" max="1684" width="19.44140625" bestFit="1" customWidth="1"/>
    <col min="1685" max="1685" width="22.6640625" bestFit="1" customWidth="1"/>
    <col min="1686" max="1686" width="13.44140625" bestFit="1" customWidth="1"/>
    <col min="1687" max="1687" width="20.44140625" bestFit="1" customWidth="1"/>
    <col min="1688" max="1688" width="12" bestFit="1" customWidth="1"/>
    <col min="1689" max="1689" width="20.77734375" bestFit="1" customWidth="1"/>
    <col min="1690" max="1690" width="7.77734375" bestFit="1" customWidth="1"/>
    <col min="1691" max="1691" width="14.77734375" bestFit="1" customWidth="1"/>
    <col min="1692" max="1692" width="6.33203125" bestFit="1" customWidth="1"/>
    <col min="1693" max="1693" width="19.77734375" bestFit="1" customWidth="1"/>
    <col min="1694" max="1694" width="11.21875" bestFit="1" customWidth="1"/>
    <col min="1695" max="1695" width="9.21875" bestFit="1" customWidth="1"/>
    <col min="1696" max="1696" width="16.109375" bestFit="1" customWidth="1"/>
    <col min="1697" max="1697" width="7.109375" bestFit="1" customWidth="1"/>
    <col min="1698" max="1698" width="15.109375" bestFit="1" customWidth="1"/>
    <col min="1699" max="1699" width="11.77734375" bestFit="1" customWidth="1"/>
    <col min="1700" max="1700" width="20.21875" bestFit="1" customWidth="1"/>
    <col min="1701" max="1701" width="10" bestFit="1" customWidth="1"/>
    <col min="1702" max="1702" width="5" bestFit="1" customWidth="1"/>
    <col min="1703" max="1703" width="9.33203125" bestFit="1" customWidth="1"/>
    <col min="1704" max="1704" width="7.6640625" bestFit="1" customWidth="1"/>
    <col min="1705" max="1705" width="12.77734375" bestFit="1" customWidth="1"/>
    <col min="1706" max="1706" width="11.6640625" bestFit="1" customWidth="1"/>
    <col min="1707" max="1707" width="14.88671875" bestFit="1" customWidth="1"/>
    <col min="1708" max="1708" width="5.5546875" bestFit="1" customWidth="1"/>
    <col min="1709" max="1709" width="14.5546875" bestFit="1" customWidth="1"/>
    <col min="1710" max="1710" width="5.44140625" bestFit="1" customWidth="1"/>
    <col min="1711" max="1711" width="12.6640625" bestFit="1" customWidth="1"/>
    <col min="1712" max="1712" width="22" bestFit="1" customWidth="1"/>
    <col min="1713" max="1713" width="9.6640625" bestFit="1" customWidth="1"/>
    <col min="1714" max="1714" width="14.6640625" bestFit="1" customWidth="1"/>
    <col min="1715" max="1715" width="17" bestFit="1" customWidth="1"/>
    <col min="1716" max="1716" width="16.21875" bestFit="1" customWidth="1"/>
    <col min="1717" max="1717" width="7.33203125" bestFit="1" customWidth="1"/>
    <col min="1718" max="1718" width="19.5546875" bestFit="1" customWidth="1"/>
    <col min="1719" max="1719" width="16.5546875" bestFit="1" customWidth="1"/>
    <col min="1720" max="1720" width="7.21875" bestFit="1" customWidth="1"/>
    <col min="1721" max="1721" width="6.77734375" bestFit="1" customWidth="1"/>
    <col min="1722" max="1722" width="6.5546875" bestFit="1" customWidth="1"/>
    <col min="1723" max="1723" width="5.33203125" bestFit="1" customWidth="1"/>
    <col min="1724" max="1724" width="13.33203125" bestFit="1" customWidth="1"/>
    <col min="1725" max="1725" width="14.88671875" bestFit="1" customWidth="1"/>
    <col min="1726" max="1726" width="7" bestFit="1" customWidth="1"/>
    <col min="1727" max="1727" width="15.33203125" bestFit="1" customWidth="1"/>
    <col min="1728" max="1728" width="5.5546875" bestFit="1" customWidth="1"/>
    <col min="1729" max="1729" width="5.77734375" bestFit="1" customWidth="1"/>
    <col min="1730" max="1730" width="8" bestFit="1" customWidth="1"/>
    <col min="1731" max="1731" width="7.5546875" bestFit="1" customWidth="1"/>
    <col min="1732" max="1732" width="6" bestFit="1" customWidth="1"/>
    <col min="1733" max="1733" width="6.6640625" bestFit="1" customWidth="1"/>
    <col min="1734" max="1734" width="22.77734375" bestFit="1" customWidth="1"/>
    <col min="1735" max="1735" width="16.33203125" bestFit="1" customWidth="1"/>
    <col min="1736" max="1736" width="7.44140625" bestFit="1" customWidth="1"/>
    <col min="1737" max="1737" width="14.88671875" bestFit="1" customWidth="1"/>
    <col min="1738" max="1738" width="7.21875" bestFit="1" customWidth="1"/>
    <col min="1739" max="1739" width="20.44140625" bestFit="1" customWidth="1"/>
    <col min="1740" max="1740" width="6.33203125" bestFit="1" customWidth="1"/>
    <col min="1741" max="1741" width="15" bestFit="1" customWidth="1"/>
    <col min="1743" max="1743" width="13.44140625" bestFit="1" customWidth="1"/>
    <col min="1744" max="1745" width="18.77734375" bestFit="1" customWidth="1"/>
    <col min="1746" max="1746" width="11.44140625" bestFit="1" customWidth="1"/>
    <col min="1747" max="1747" width="11.77734375" bestFit="1" customWidth="1"/>
    <col min="1748" max="1749" width="7.21875" bestFit="1" customWidth="1"/>
    <col min="1750" max="1750" width="9.5546875" bestFit="1" customWidth="1"/>
    <col min="1751" max="1751" width="6" bestFit="1" customWidth="1"/>
    <col min="1752" max="1752" width="12.21875" bestFit="1" customWidth="1"/>
    <col min="1753" max="1753" width="11.6640625" bestFit="1" customWidth="1"/>
    <col min="1754" max="1754" width="5.21875" bestFit="1" customWidth="1"/>
    <col min="1755" max="1755" width="10" bestFit="1" customWidth="1"/>
    <col min="1756" max="1756" width="19.88671875" bestFit="1" customWidth="1"/>
    <col min="1757" max="1757" width="21" bestFit="1" customWidth="1"/>
    <col min="1758" max="1758" width="18.6640625" bestFit="1" customWidth="1"/>
    <col min="1759" max="1759" width="13.6640625" bestFit="1" customWidth="1"/>
    <col min="1760" max="1760" width="9.6640625" bestFit="1" customWidth="1"/>
    <col min="1761" max="1761" width="12.88671875" bestFit="1" customWidth="1"/>
    <col min="1762" max="1762" width="14.77734375" bestFit="1" customWidth="1"/>
    <col min="1763" max="1763" width="16.77734375" bestFit="1" customWidth="1"/>
    <col min="1764" max="1764" width="6.21875" bestFit="1" customWidth="1"/>
    <col min="1765" max="1765" width="10.77734375" bestFit="1" customWidth="1"/>
    <col min="1766" max="1766" width="11.5546875" bestFit="1" customWidth="1"/>
    <col min="1767" max="1767" width="6.88671875" bestFit="1" customWidth="1"/>
    <col min="1768" max="1768" width="8.109375" bestFit="1" customWidth="1"/>
    <col min="1769" max="1769" width="15.44140625" bestFit="1" customWidth="1"/>
    <col min="1770" max="1771" width="14.5546875" bestFit="1" customWidth="1"/>
    <col min="1772" max="1772" width="10.109375" bestFit="1" customWidth="1"/>
    <col min="1773" max="1773" width="16.21875" bestFit="1" customWidth="1"/>
    <col min="1774" max="1774" width="21.6640625" bestFit="1" customWidth="1"/>
    <col min="1775" max="1775" width="7.5546875" bestFit="1" customWidth="1"/>
    <col min="1776" max="1776" width="6.109375" bestFit="1" customWidth="1"/>
    <col min="1777" max="1777" width="7" bestFit="1" customWidth="1"/>
    <col min="1778" max="1778" width="10.21875" bestFit="1" customWidth="1"/>
    <col min="1779" max="1779" width="17.33203125" bestFit="1" customWidth="1"/>
    <col min="1780" max="1780" width="15.6640625" bestFit="1" customWidth="1"/>
    <col min="1781" max="1781" width="12.6640625" bestFit="1" customWidth="1"/>
    <col min="1782" max="1782" width="13.33203125" bestFit="1" customWidth="1"/>
    <col min="1784" max="1784" width="11.88671875" bestFit="1" customWidth="1"/>
    <col min="1785" max="1785" width="14.77734375" bestFit="1" customWidth="1"/>
    <col min="1786" max="1786" width="10.6640625" bestFit="1" customWidth="1"/>
    <col min="1787" max="1787" width="12.44140625" bestFit="1" customWidth="1"/>
    <col min="1788" max="1788" width="13.33203125" bestFit="1" customWidth="1"/>
    <col min="1789" max="1789" width="7.44140625" bestFit="1" customWidth="1"/>
    <col min="1790" max="1790" width="20.5546875" bestFit="1" customWidth="1"/>
    <col min="1791" max="1791" width="21.5546875" bestFit="1" customWidth="1"/>
    <col min="1792" max="1792" width="9.5546875" bestFit="1" customWidth="1"/>
    <col min="1793" max="1793" width="19.21875" bestFit="1" customWidth="1"/>
    <col min="1794" max="1794" width="7.5546875" bestFit="1" customWidth="1"/>
    <col min="1795" max="1795" width="20.88671875" bestFit="1" customWidth="1"/>
    <col min="1796" max="1796" width="16" bestFit="1" customWidth="1"/>
    <col min="1797" max="1797" width="6" bestFit="1" customWidth="1"/>
    <col min="1798" max="1798" width="16.44140625" bestFit="1" customWidth="1"/>
    <col min="1799" max="1799" width="11.44140625" bestFit="1" customWidth="1"/>
    <col min="1800" max="1800" width="6" bestFit="1" customWidth="1"/>
    <col min="1801" max="1801" width="13.21875" bestFit="1" customWidth="1"/>
    <col min="1802" max="1802" width="6" bestFit="1" customWidth="1"/>
    <col min="1803" max="1803" width="5" bestFit="1" customWidth="1"/>
    <col min="1804" max="1804" width="12.21875" bestFit="1" customWidth="1"/>
    <col min="1805" max="1805" width="17.21875" bestFit="1" customWidth="1"/>
    <col min="1806" max="1806" width="4.109375" bestFit="1" customWidth="1"/>
    <col min="1807" max="1807" width="14.44140625" bestFit="1" customWidth="1"/>
    <col min="1808" max="1808" width="8.109375" bestFit="1" customWidth="1"/>
    <col min="1809" max="1809" width="6.88671875" bestFit="1" customWidth="1"/>
    <col min="1810" max="1810" width="14.88671875" bestFit="1" customWidth="1"/>
    <col min="1812" max="1812" width="8" bestFit="1" customWidth="1"/>
    <col min="1813" max="1813" width="17.88671875" bestFit="1" customWidth="1"/>
    <col min="1814" max="1814" width="12.44140625" bestFit="1" customWidth="1"/>
    <col min="1815" max="1815" width="12" bestFit="1" customWidth="1"/>
    <col min="1816" max="1816" width="6.5546875" bestFit="1" customWidth="1"/>
    <col min="1817" max="1817" width="6" bestFit="1" customWidth="1"/>
    <col min="1818" max="1818" width="17" bestFit="1" customWidth="1"/>
    <col min="1819" max="1819" width="21.33203125" bestFit="1" customWidth="1"/>
    <col min="1820" max="1820" width="19.5546875" bestFit="1" customWidth="1"/>
    <col min="1821" max="1821" width="18.88671875" bestFit="1" customWidth="1"/>
    <col min="1822" max="1822" width="18.33203125" bestFit="1" customWidth="1"/>
    <col min="1823" max="1823" width="27.44140625" bestFit="1" customWidth="1"/>
    <col min="1824" max="1824" width="18" bestFit="1" customWidth="1"/>
    <col min="1825" max="1825" width="6.77734375" bestFit="1" customWidth="1"/>
    <col min="1826" max="1826" width="14.77734375" bestFit="1" customWidth="1"/>
    <col min="1827" max="1827" width="17.21875" bestFit="1" customWidth="1"/>
    <col min="1828" max="1828" width="14.5546875" bestFit="1" customWidth="1"/>
    <col min="1829" max="1829" width="5" bestFit="1" customWidth="1"/>
    <col min="1830" max="1830" width="14.5546875" bestFit="1" customWidth="1"/>
    <col min="1831" max="1831" width="16.109375" bestFit="1" customWidth="1"/>
    <col min="1832" max="1832" width="10.77734375" bestFit="1" customWidth="1"/>
    <col min="1833" max="1833" width="7.88671875" bestFit="1" customWidth="1"/>
    <col min="1834" max="1834" width="5" bestFit="1" customWidth="1"/>
    <col min="1835" max="1835" width="8.5546875" bestFit="1" customWidth="1"/>
    <col min="1836" max="1836" width="5" bestFit="1" customWidth="1"/>
    <col min="1837" max="1837" width="15.21875" bestFit="1" customWidth="1"/>
    <col min="1838" max="1838" width="6" bestFit="1" customWidth="1"/>
    <col min="1839" max="1839" width="12.6640625" bestFit="1" customWidth="1"/>
    <col min="1840" max="1840" width="13.88671875" bestFit="1" customWidth="1"/>
    <col min="1841" max="1841" width="17.6640625" bestFit="1" customWidth="1"/>
    <col min="1843" max="1843" width="12.33203125" bestFit="1" customWidth="1"/>
    <col min="1844" max="1844" width="21.109375" bestFit="1" customWidth="1"/>
    <col min="1845" max="1845" width="15.77734375" bestFit="1" customWidth="1"/>
    <col min="1846" max="1846" width="6.5546875" bestFit="1" customWidth="1"/>
    <col min="1847" max="1847" width="19.88671875" bestFit="1" customWidth="1"/>
    <col min="1848" max="1848" width="8.33203125" bestFit="1" customWidth="1"/>
    <col min="1849" max="1849" width="7.88671875" bestFit="1" customWidth="1"/>
    <col min="1850" max="1850" width="15.6640625" bestFit="1" customWidth="1"/>
    <col min="1851" max="1851" width="5" bestFit="1" customWidth="1"/>
    <col min="1852" max="1852" width="7.33203125" bestFit="1" customWidth="1"/>
    <col min="1853" max="1854" width="10.77734375" bestFit="1" customWidth="1"/>
    <col min="1855" max="1855" width="7.33203125" bestFit="1" customWidth="1"/>
    <col min="1856" max="1856" width="15.6640625" bestFit="1" customWidth="1"/>
    <col min="1857" max="1857" width="5" bestFit="1" customWidth="1"/>
    <col min="1858" max="1858" width="9.33203125" bestFit="1" customWidth="1"/>
    <col min="1859" max="1859" width="10.88671875" bestFit="1" customWidth="1"/>
    <col min="1860" max="1860" width="16.88671875" bestFit="1" customWidth="1"/>
    <col min="1861" max="1861" width="11.5546875" bestFit="1" customWidth="1"/>
    <col min="1862" max="1862" width="14.109375" bestFit="1" customWidth="1"/>
    <col min="1863" max="1863" width="15.109375" bestFit="1" customWidth="1"/>
    <col min="1864" max="1864" width="9.6640625" bestFit="1" customWidth="1"/>
    <col min="1865" max="1865" width="15.6640625" bestFit="1" customWidth="1"/>
    <col min="1866" max="1866" width="9.33203125" bestFit="1" customWidth="1"/>
    <col min="1867" max="1867" width="9" bestFit="1" customWidth="1"/>
    <col min="1868" max="1868" width="14.77734375" bestFit="1" customWidth="1"/>
    <col min="1869" max="1869" width="10.88671875" bestFit="1" customWidth="1"/>
    <col min="1870" max="1870" width="17.88671875" bestFit="1" customWidth="1"/>
    <col min="1871" max="1871" width="15.33203125" bestFit="1" customWidth="1"/>
    <col min="1872" max="1872" width="18.21875" bestFit="1" customWidth="1"/>
    <col min="1873" max="1873" width="15.109375" bestFit="1" customWidth="1"/>
    <col min="1874" max="1874" width="15.88671875" bestFit="1" customWidth="1"/>
    <col min="1875" max="1875" width="9.109375" bestFit="1" customWidth="1"/>
    <col min="1876" max="1876" width="10.5546875" bestFit="1" customWidth="1"/>
    <col min="1877" max="1877" width="20.6640625" bestFit="1" customWidth="1"/>
    <col min="1878" max="1878" width="19.77734375" bestFit="1" customWidth="1"/>
    <col min="1879" max="1879" width="11" bestFit="1" customWidth="1"/>
    <col min="1880" max="1880" width="17.6640625" bestFit="1" customWidth="1"/>
    <col min="1881" max="1881" width="13.77734375" bestFit="1" customWidth="1"/>
    <col min="1882" max="1882" width="20.5546875" bestFit="1" customWidth="1"/>
    <col min="1883" max="1883" width="18.77734375" bestFit="1" customWidth="1"/>
    <col min="1884" max="1884" width="13.21875" bestFit="1" customWidth="1"/>
    <col min="1885" max="1885" width="15.33203125" bestFit="1" customWidth="1"/>
    <col min="1886" max="1886" width="14" bestFit="1" customWidth="1"/>
    <col min="1887" max="1887" width="9.21875" bestFit="1" customWidth="1"/>
    <col min="1888" max="1888" width="9.88671875" bestFit="1" customWidth="1"/>
    <col min="1889" max="1890" width="18.6640625" bestFit="1" customWidth="1"/>
    <col min="1891" max="1891" width="16.21875" bestFit="1" customWidth="1"/>
    <col min="1892" max="1892" width="10.21875" bestFit="1" customWidth="1"/>
    <col min="1893" max="1893" width="11.44140625" bestFit="1" customWidth="1"/>
    <col min="1894" max="1894" width="15.77734375" bestFit="1" customWidth="1"/>
    <col min="1895" max="1895" width="18.88671875" bestFit="1" customWidth="1"/>
    <col min="1896" max="1896" width="15.5546875" bestFit="1" customWidth="1"/>
    <col min="1897" max="1897" width="15.88671875" bestFit="1" customWidth="1"/>
    <col min="1898" max="1898" width="6.109375" bestFit="1" customWidth="1"/>
    <col min="1899" max="1899" width="15.77734375" bestFit="1" customWidth="1"/>
    <col min="1900" max="1900" width="25" bestFit="1" customWidth="1"/>
    <col min="1901" max="1901" width="13.109375" bestFit="1" customWidth="1"/>
    <col min="1902" max="1902" width="8.5546875" bestFit="1" customWidth="1"/>
    <col min="1903" max="1903" width="13.77734375" bestFit="1" customWidth="1"/>
    <col min="1904" max="1904" width="18.88671875" bestFit="1" customWidth="1"/>
    <col min="1905" max="1905" width="11.21875" bestFit="1" customWidth="1"/>
    <col min="1906" max="1906" width="20.88671875" bestFit="1" customWidth="1"/>
    <col min="1907" max="1907" width="17.44140625" bestFit="1" customWidth="1"/>
    <col min="1908" max="1908" width="5" bestFit="1" customWidth="1"/>
    <col min="1909" max="1909" width="13.88671875" bestFit="1" customWidth="1"/>
    <col min="1910" max="1910" width="10.5546875" bestFit="1" customWidth="1"/>
    <col min="1911" max="1911" width="17.6640625" bestFit="1" customWidth="1"/>
    <col min="1912" max="1912" width="12.109375" bestFit="1" customWidth="1"/>
    <col min="1913" max="1913" width="6.5546875" bestFit="1" customWidth="1"/>
    <col min="1914" max="1914" width="10.6640625" bestFit="1" customWidth="1"/>
    <col min="1915" max="1915" width="5.77734375" bestFit="1" customWidth="1"/>
    <col min="1916" max="1916" width="5.44140625" bestFit="1" customWidth="1"/>
    <col min="1917" max="1917" width="9.21875" bestFit="1" customWidth="1"/>
    <col min="1918" max="1918" width="6.88671875" bestFit="1" customWidth="1"/>
    <col min="1919" max="1919" width="10.6640625" bestFit="1" customWidth="1"/>
    <col min="1920" max="1920" width="6.33203125" bestFit="1" customWidth="1"/>
    <col min="1921" max="1921" width="13.109375" bestFit="1" customWidth="1"/>
    <col min="1922" max="1922" width="14.109375" bestFit="1" customWidth="1"/>
    <col min="1923" max="1923" width="15" bestFit="1" customWidth="1"/>
    <col min="1924" max="1924" width="7.77734375" bestFit="1" customWidth="1"/>
    <col min="1925" max="1925" width="13.6640625" bestFit="1" customWidth="1"/>
    <col min="1926" max="1926" width="19.88671875" bestFit="1" customWidth="1"/>
    <col min="1927" max="1927" width="16.109375" bestFit="1" customWidth="1"/>
    <col min="1928" max="1928" width="18.88671875" bestFit="1" customWidth="1"/>
    <col min="1929" max="1929" width="11.77734375" bestFit="1" customWidth="1"/>
    <col min="1930" max="1930" width="16.109375" bestFit="1" customWidth="1"/>
    <col min="1931" max="1931" width="9.5546875" bestFit="1" customWidth="1"/>
    <col min="1932" max="1932" width="16.21875" bestFit="1" customWidth="1"/>
    <col min="1933" max="1933" width="13.88671875" bestFit="1" customWidth="1"/>
    <col min="1934" max="1934" width="11" bestFit="1" customWidth="1"/>
    <col min="1935" max="1935" width="15.21875" bestFit="1" customWidth="1"/>
    <col min="1936" max="1936" width="12.88671875" bestFit="1" customWidth="1"/>
    <col min="1937" max="1937" width="21.5546875" bestFit="1" customWidth="1"/>
    <col min="1938" max="1938" width="9.44140625" bestFit="1" customWidth="1"/>
    <col min="1939" max="1939" width="26.109375" bestFit="1" customWidth="1"/>
    <col min="1940" max="1940" width="11.33203125" bestFit="1" customWidth="1"/>
  </cols>
  <sheetData>
    <row r="1" spans="1:2" x14ac:dyDescent="0.3">
      <c r="A1" s="22" t="s">
        <v>1973</v>
      </c>
      <c r="B1" t="s">
        <v>2047</v>
      </c>
    </row>
    <row r="3" spans="1:2" x14ac:dyDescent="0.3">
      <c r="A3" s="22" t="s">
        <v>2095</v>
      </c>
      <c r="B3" t="s">
        <v>2097</v>
      </c>
    </row>
    <row r="4" spans="1:2" x14ac:dyDescent="0.3">
      <c r="A4" s="23" t="s">
        <v>1978</v>
      </c>
      <c r="B4" s="24">
        <v>16.41</v>
      </c>
    </row>
    <row r="5" spans="1:2" x14ac:dyDescent="0.3">
      <c r="A5" s="23" t="s">
        <v>1979</v>
      </c>
      <c r="B5" s="24">
        <v>12.898571428571428</v>
      </c>
    </row>
    <row r="6" spans="1:2" x14ac:dyDescent="0.3">
      <c r="A6" s="23" t="s">
        <v>1986</v>
      </c>
      <c r="B6" s="24">
        <v>14.24</v>
      </c>
    </row>
    <row r="7" spans="1:2" x14ac:dyDescent="0.3">
      <c r="A7" s="23" t="s">
        <v>2031</v>
      </c>
      <c r="B7" s="24">
        <v>3.8549999999999995</v>
      </c>
    </row>
    <row r="8" spans="1:2" x14ac:dyDescent="0.3">
      <c r="A8" s="23" t="s">
        <v>2017</v>
      </c>
      <c r="B8" s="24">
        <v>6.56</v>
      </c>
    </row>
    <row r="9" spans="1:2" x14ac:dyDescent="0.3">
      <c r="A9" s="23" t="s">
        <v>2022</v>
      </c>
      <c r="B9" s="24">
        <v>7.367</v>
      </c>
    </row>
    <row r="10" spans="1:2" x14ac:dyDescent="0.3">
      <c r="A10" s="23" t="s">
        <v>2030</v>
      </c>
      <c r="B10" s="24">
        <v>6.0433333333333339</v>
      </c>
    </row>
    <row r="11" spans="1:2" x14ac:dyDescent="0.3">
      <c r="A11" s="23" t="s">
        <v>1997</v>
      </c>
      <c r="B11" s="24">
        <v>22.25</v>
      </c>
    </row>
    <row r="12" spans="1:2" x14ac:dyDescent="0.3">
      <c r="A12" s="23" t="s">
        <v>2000</v>
      </c>
      <c r="B12" s="24">
        <v>12.682499999999999</v>
      </c>
    </row>
    <row r="13" spans="1:2" x14ac:dyDescent="0.3">
      <c r="A13" s="23" t="s">
        <v>2023</v>
      </c>
      <c r="B13" s="24">
        <v>7.4733333333333336</v>
      </c>
    </row>
    <row r="14" spans="1:2" x14ac:dyDescent="0.3">
      <c r="A14" s="23" t="s">
        <v>2005</v>
      </c>
      <c r="B14" s="24">
        <v>13.75</v>
      </c>
    </row>
    <row r="15" spans="1:2" x14ac:dyDescent="0.3">
      <c r="A15" s="23" t="s">
        <v>2015</v>
      </c>
      <c r="B15" s="24">
        <v>5.7949999999999999</v>
      </c>
    </row>
    <row r="16" spans="1:2" x14ac:dyDescent="0.3">
      <c r="A16" s="23" t="s">
        <v>2028</v>
      </c>
      <c r="B16" s="24">
        <v>9.9533333333333331</v>
      </c>
    </row>
    <row r="17" spans="1:2" x14ac:dyDescent="0.3">
      <c r="A17" s="23" t="s">
        <v>2027</v>
      </c>
      <c r="B17" s="24">
        <v>5.9950000000000001</v>
      </c>
    </row>
    <row r="18" spans="1:2" x14ac:dyDescent="0.3">
      <c r="A18" s="23" t="s">
        <v>1998</v>
      </c>
      <c r="B18" s="24">
        <v>9.0400000000000009</v>
      </c>
    </row>
    <row r="19" spans="1:2" x14ac:dyDescent="0.3">
      <c r="A19" s="23" t="s">
        <v>1988</v>
      </c>
      <c r="B19" s="24">
        <v>4.2866666666666662</v>
      </c>
    </row>
    <row r="20" spans="1:2" x14ac:dyDescent="0.3">
      <c r="A20" s="23" t="s">
        <v>2096</v>
      </c>
      <c r="B20" s="24">
        <v>8.8384999999999998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5415-1441-4FFD-AB49-12D5C8EF6D0B}">
  <sheetPr filterMode="1"/>
  <dimension ref="B2:H2005"/>
  <sheetViews>
    <sheetView tabSelected="1" workbookViewId="0">
      <selection activeCell="G2005" sqref="G2005"/>
    </sheetView>
  </sheetViews>
  <sheetFormatPr defaultRowHeight="14.4" x14ac:dyDescent="0.3"/>
  <cols>
    <col min="1" max="1" width="8.6640625" customWidth="1"/>
    <col min="2" max="2" width="9.109375" hidden="1" customWidth="1"/>
    <col min="3" max="3" width="21.6640625" customWidth="1"/>
    <col min="4" max="4" width="20.88671875" customWidth="1"/>
    <col min="5" max="5" width="19.109375" customWidth="1"/>
    <col min="6" max="6" width="21.6640625" customWidth="1"/>
    <col min="7" max="7" width="22.88671875" customWidth="1"/>
  </cols>
  <sheetData>
    <row r="2" spans="3:8" x14ac:dyDescent="0.3">
      <c r="G2" s="25">
        <v>0.2</v>
      </c>
      <c r="H2" t="s">
        <v>2098</v>
      </c>
    </row>
    <row r="4" spans="3:8" x14ac:dyDescent="0.3">
      <c r="C4" s="4" t="s">
        <v>1974</v>
      </c>
      <c r="D4" s="5" t="s">
        <v>1973</v>
      </c>
      <c r="E4" s="5" t="s">
        <v>1972</v>
      </c>
      <c r="F4" s="6" t="s">
        <v>1971</v>
      </c>
      <c r="G4" s="16" t="s">
        <v>2099</v>
      </c>
    </row>
    <row r="5" spans="3:8" hidden="1" x14ac:dyDescent="0.3">
      <c r="C5" s="7" t="s">
        <v>0</v>
      </c>
      <c r="D5" s="8" t="s">
        <v>2034</v>
      </c>
      <c r="E5" s="8" t="s">
        <v>1979</v>
      </c>
      <c r="F5" s="9">
        <v>120.32</v>
      </c>
    </row>
    <row r="6" spans="3:8" hidden="1" x14ac:dyDescent="0.3">
      <c r="C6" s="10" t="s">
        <v>1</v>
      </c>
      <c r="D6" s="11" t="s">
        <v>2034</v>
      </c>
      <c r="E6" s="11" t="s">
        <v>1992</v>
      </c>
      <c r="F6" s="12">
        <v>149.69999999999999</v>
      </c>
    </row>
    <row r="7" spans="3:8" hidden="1" x14ac:dyDescent="0.3">
      <c r="C7" s="7" t="s">
        <v>2</v>
      </c>
      <c r="D7" s="8" t="s">
        <v>2034</v>
      </c>
      <c r="E7" s="8" t="s">
        <v>1979</v>
      </c>
      <c r="F7" s="9">
        <v>85.39</v>
      </c>
    </row>
    <row r="8" spans="3:8" hidden="1" x14ac:dyDescent="0.3">
      <c r="C8" s="10" t="s">
        <v>3</v>
      </c>
      <c r="D8" s="11" t="s">
        <v>2034</v>
      </c>
      <c r="E8" s="11" t="s">
        <v>2005</v>
      </c>
      <c r="F8" s="12">
        <v>106.98</v>
      </c>
    </row>
    <row r="9" spans="3:8" hidden="1" x14ac:dyDescent="0.3">
      <c r="C9" s="7" t="s">
        <v>4</v>
      </c>
      <c r="D9" s="8" t="s">
        <v>2035</v>
      </c>
      <c r="E9" s="8" t="s">
        <v>1979</v>
      </c>
      <c r="F9" s="9">
        <v>76.38</v>
      </c>
    </row>
    <row r="10" spans="3:8" hidden="1" x14ac:dyDescent="0.3">
      <c r="C10" s="10" t="s">
        <v>5</v>
      </c>
      <c r="D10" s="11" t="s">
        <v>2034</v>
      </c>
      <c r="E10" s="11" t="s">
        <v>2022</v>
      </c>
      <c r="F10" s="12">
        <v>328.21</v>
      </c>
    </row>
    <row r="11" spans="3:8" hidden="1" x14ac:dyDescent="0.3">
      <c r="C11" s="7" t="s">
        <v>6</v>
      </c>
      <c r="D11" s="8" t="s">
        <v>2036</v>
      </c>
      <c r="E11" s="8" t="s">
        <v>2022</v>
      </c>
      <c r="F11" s="9">
        <v>306.73</v>
      </c>
    </row>
    <row r="12" spans="3:8" hidden="1" x14ac:dyDescent="0.3">
      <c r="C12" s="10" t="s">
        <v>7</v>
      </c>
      <c r="D12" s="11" t="s">
        <v>2035</v>
      </c>
      <c r="E12" s="11" t="s">
        <v>2022</v>
      </c>
      <c r="F12" s="12">
        <v>249.47</v>
      </c>
    </row>
    <row r="13" spans="3:8" hidden="1" x14ac:dyDescent="0.3">
      <c r="C13" s="7" t="s">
        <v>8</v>
      </c>
      <c r="D13" s="8" t="s">
        <v>2034</v>
      </c>
      <c r="E13" s="8" t="s">
        <v>1979</v>
      </c>
      <c r="F13" s="9">
        <v>79.900000000000006</v>
      </c>
    </row>
    <row r="14" spans="3:8" hidden="1" x14ac:dyDescent="0.3">
      <c r="C14" s="10" t="s">
        <v>9</v>
      </c>
      <c r="D14" s="11" t="s">
        <v>2037</v>
      </c>
      <c r="E14" s="11" t="s">
        <v>1998</v>
      </c>
      <c r="F14" s="12">
        <v>78.25</v>
      </c>
    </row>
    <row r="15" spans="3:8" hidden="1" x14ac:dyDescent="0.3">
      <c r="C15" s="7" t="s">
        <v>10</v>
      </c>
      <c r="D15" s="8" t="s">
        <v>2036</v>
      </c>
      <c r="E15" s="8" t="s">
        <v>1998</v>
      </c>
      <c r="F15" s="9">
        <v>137.11000000000001</v>
      </c>
    </row>
    <row r="16" spans="3:8" hidden="1" x14ac:dyDescent="0.3">
      <c r="C16" s="10" t="s">
        <v>11</v>
      </c>
      <c r="D16" s="11" t="s">
        <v>2038</v>
      </c>
      <c r="E16" s="11" t="s">
        <v>1997</v>
      </c>
      <c r="F16" s="12">
        <v>173.09</v>
      </c>
    </row>
    <row r="17" spans="3:6" hidden="1" x14ac:dyDescent="0.3">
      <c r="C17" s="7" t="s">
        <v>12</v>
      </c>
      <c r="D17" s="8" t="s">
        <v>2034</v>
      </c>
      <c r="E17" s="8" t="s">
        <v>2023</v>
      </c>
      <c r="F17" s="9">
        <v>312.43</v>
      </c>
    </row>
    <row r="18" spans="3:6" hidden="1" x14ac:dyDescent="0.3">
      <c r="C18" s="10" t="s">
        <v>13</v>
      </c>
      <c r="D18" s="11" t="s">
        <v>2035</v>
      </c>
      <c r="E18" s="11" t="s">
        <v>1979</v>
      </c>
      <c r="F18" s="12">
        <v>55.05</v>
      </c>
    </row>
    <row r="19" spans="3:6" hidden="1" x14ac:dyDescent="0.3">
      <c r="C19" s="7" t="s">
        <v>14</v>
      </c>
      <c r="D19" s="8" t="s">
        <v>2039</v>
      </c>
      <c r="E19" s="8" t="s">
        <v>2022</v>
      </c>
      <c r="F19" s="9">
        <v>144.94</v>
      </c>
    </row>
    <row r="20" spans="3:6" hidden="1" x14ac:dyDescent="0.3">
      <c r="C20" s="10" t="s">
        <v>15</v>
      </c>
      <c r="D20" s="11" t="s">
        <v>2034</v>
      </c>
      <c r="E20" s="11" t="s">
        <v>2022</v>
      </c>
      <c r="F20" s="12">
        <v>184.92</v>
      </c>
    </row>
    <row r="21" spans="3:6" hidden="1" x14ac:dyDescent="0.3">
      <c r="C21" s="7" t="s">
        <v>16</v>
      </c>
      <c r="D21" s="8" t="s">
        <v>2039</v>
      </c>
      <c r="E21" s="8" t="s">
        <v>1979</v>
      </c>
      <c r="F21" s="9">
        <v>60.9</v>
      </c>
    </row>
    <row r="22" spans="3:6" hidden="1" x14ac:dyDescent="0.3">
      <c r="C22" s="10" t="s">
        <v>17</v>
      </c>
      <c r="D22" s="11" t="s">
        <v>2034</v>
      </c>
      <c r="E22" s="11" t="s">
        <v>1998</v>
      </c>
      <c r="F22" s="12">
        <v>76.33</v>
      </c>
    </row>
    <row r="23" spans="3:6" hidden="1" x14ac:dyDescent="0.3">
      <c r="C23" s="7" t="s">
        <v>18</v>
      </c>
      <c r="D23" s="8" t="s">
        <v>2040</v>
      </c>
      <c r="E23" s="8" t="s">
        <v>1979</v>
      </c>
      <c r="F23" s="9">
        <v>44.81</v>
      </c>
    </row>
    <row r="24" spans="3:6" hidden="1" x14ac:dyDescent="0.3">
      <c r="C24" s="10" t="s">
        <v>19</v>
      </c>
      <c r="D24" s="11" t="s">
        <v>2035</v>
      </c>
      <c r="E24" s="11" t="s">
        <v>1979</v>
      </c>
      <c r="F24" s="12">
        <v>47.87</v>
      </c>
    </row>
    <row r="25" spans="3:6" hidden="1" x14ac:dyDescent="0.3">
      <c r="C25" s="7" t="s">
        <v>20</v>
      </c>
      <c r="D25" s="8" t="s">
        <v>2034</v>
      </c>
      <c r="E25" s="8" t="s">
        <v>2004</v>
      </c>
      <c r="F25" s="9">
        <v>61.68</v>
      </c>
    </row>
    <row r="26" spans="3:6" hidden="1" x14ac:dyDescent="0.3">
      <c r="C26" s="10" t="s">
        <v>21</v>
      </c>
      <c r="D26" s="11" t="s">
        <v>2034</v>
      </c>
      <c r="E26" s="11" t="s">
        <v>2022</v>
      </c>
      <c r="F26" s="12">
        <v>162.41</v>
      </c>
    </row>
    <row r="27" spans="3:6" hidden="1" x14ac:dyDescent="0.3">
      <c r="C27" s="7" t="s">
        <v>22</v>
      </c>
      <c r="D27" s="8" t="s">
        <v>2034</v>
      </c>
      <c r="E27" s="8" t="s">
        <v>2027</v>
      </c>
      <c r="F27" s="9">
        <v>91.13</v>
      </c>
    </row>
    <row r="28" spans="3:6" hidden="1" x14ac:dyDescent="0.3">
      <c r="C28" s="10" t="s">
        <v>23</v>
      </c>
      <c r="D28" s="11" t="s">
        <v>2035</v>
      </c>
      <c r="E28" s="11" t="s">
        <v>1979</v>
      </c>
      <c r="F28" s="12">
        <v>51.74</v>
      </c>
    </row>
    <row r="29" spans="3:6" hidden="1" x14ac:dyDescent="0.3">
      <c r="C29" s="7" t="s">
        <v>24</v>
      </c>
      <c r="D29" s="8" t="s">
        <v>2034</v>
      </c>
      <c r="E29" s="8" t="s">
        <v>2028</v>
      </c>
      <c r="F29" s="9">
        <v>75.11</v>
      </c>
    </row>
    <row r="30" spans="3:6" hidden="1" x14ac:dyDescent="0.3">
      <c r="C30" s="10" t="s">
        <v>25</v>
      </c>
      <c r="D30" s="11" t="s">
        <v>2034</v>
      </c>
      <c r="E30" s="11" t="s">
        <v>1979</v>
      </c>
      <c r="F30" s="12">
        <v>40.409999999999997</v>
      </c>
    </row>
    <row r="31" spans="3:6" hidden="1" x14ac:dyDescent="0.3">
      <c r="C31" s="7" t="s">
        <v>26</v>
      </c>
      <c r="D31" s="8" t="s">
        <v>2034</v>
      </c>
      <c r="E31" s="8" t="s">
        <v>2001</v>
      </c>
      <c r="F31" s="9">
        <v>68.92</v>
      </c>
    </row>
    <row r="32" spans="3:6" hidden="1" x14ac:dyDescent="0.3">
      <c r="C32" s="10" t="s">
        <v>27</v>
      </c>
      <c r="D32" s="11" t="s">
        <v>2039</v>
      </c>
      <c r="E32" s="11" t="s">
        <v>2005</v>
      </c>
      <c r="F32" s="12">
        <v>115.2</v>
      </c>
    </row>
    <row r="33" spans="3:6" hidden="1" x14ac:dyDescent="0.3">
      <c r="C33" s="7" t="s">
        <v>28</v>
      </c>
      <c r="D33" s="8" t="s">
        <v>2041</v>
      </c>
      <c r="E33" s="8" t="s">
        <v>2005</v>
      </c>
      <c r="F33" s="9">
        <v>124.41</v>
      </c>
    </row>
    <row r="34" spans="3:6" hidden="1" x14ac:dyDescent="0.3">
      <c r="C34" s="10" t="s">
        <v>29</v>
      </c>
      <c r="D34" s="11" t="s">
        <v>2037</v>
      </c>
      <c r="E34" s="11" t="s">
        <v>1998</v>
      </c>
      <c r="F34" s="12">
        <v>68.31</v>
      </c>
    </row>
    <row r="35" spans="3:6" hidden="1" x14ac:dyDescent="0.3">
      <c r="C35" s="7" t="s">
        <v>30</v>
      </c>
      <c r="D35" s="8" t="s">
        <v>2042</v>
      </c>
      <c r="E35" s="8" t="s">
        <v>2022</v>
      </c>
      <c r="F35" s="9">
        <v>83.09</v>
      </c>
    </row>
    <row r="36" spans="3:6" hidden="1" x14ac:dyDescent="0.3">
      <c r="C36" s="10" t="s">
        <v>31</v>
      </c>
      <c r="D36" s="11" t="s">
        <v>2038</v>
      </c>
      <c r="E36" s="11" t="s">
        <v>2028</v>
      </c>
      <c r="F36" s="12">
        <v>100.82</v>
      </c>
    </row>
    <row r="37" spans="3:6" hidden="1" x14ac:dyDescent="0.3">
      <c r="C37" s="7" t="s">
        <v>32</v>
      </c>
      <c r="D37" s="8" t="s">
        <v>2041</v>
      </c>
      <c r="E37" s="8" t="s">
        <v>2031</v>
      </c>
      <c r="F37" s="9">
        <v>66.67</v>
      </c>
    </row>
    <row r="38" spans="3:6" hidden="1" x14ac:dyDescent="0.3">
      <c r="C38" s="10" t="s">
        <v>33</v>
      </c>
      <c r="D38" s="11" t="s">
        <v>2034</v>
      </c>
      <c r="E38" s="11" t="s">
        <v>1998</v>
      </c>
      <c r="F38" s="12">
        <v>52.08</v>
      </c>
    </row>
    <row r="39" spans="3:6" hidden="1" x14ac:dyDescent="0.3">
      <c r="C39" s="7" t="s">
        <v>34</v>
      </c>
      <c r="D39" s="8" t="s">
        <v>2034</v>
      </c>
      <c r="E39" s="8" t="s">
        <v>1999</v>
      </c>
      <c r="F39" s="9">
        <v>51.3</v>
      </c>
    </row>
    <row r="40" spans="3:6" hidden="1" x14ac:dyDescent="0.3">
      <c r="C40" s="10" t="s">
        <v>35</v>
      </c>
      <c r="D40" s="11" t="s">
        <v>2034</v>
      </c>
      <c r="E40" s="11" t="s">
        <v>1998</v>
      </c>
      <c r="F40" s="12">
        <v>47.78</v>
      </c>
    </row>
    <row r="41" spans="3:6" hidden="1" x14ac:dyDescent="0.3">
      <c r="C41" s="7" t="s">
        <v>36</v>
      </c>
      <c r="D41" s="8" t="s">
        <v>2034</v>
      </c>
      <c r="E41" s="8" t="s">
        <v>1998</v>
      </c>
      <c r="F41" s="9">
        <v>52.46</v>
      </c>
    </row>
    <row r="42" spans="3:6" hidden="1" x14ac:dyDescent="0.3">
      <c r="C42" s="10" t="s">
        <v>37</v>
      </c>
      <c r="D42" s="11" t="s">
        <v>2036</v>
      </c>
      <c r="E42" s="11" t="s">
        <v>1998</v>
      </c>
      <c r="F42" s="12">
        <v>81.48</v>
      </c>
    </row>
    <row r="43" spans="3:6" hidden="1" x14ac:dyDescent="0.3">
      <c r="C43" s="7" t="s">
        <v>38</v>
      </c>
      <c r="D43" s="8" t="s">
        <v>2041</v>
      </c>
      <c r="E43" s="8" t="s">
        <v>2028</v>
      </c>
      <c r="F43" s="9">
        <v>78.53</v>
      </c>
    </row>
    <row r="44" spans="3:6" hidden="1" x14ac:dyDescent="0.3">
      <c r="C44" s="10" t="s">
        <v>39</v>
      </c>
      <c r="D44" s="11" t="s">
        <v>2034</v>
      </c>
      <c r="E44" s="11" t="s">
        <v>1979</v>
      </c>
      <c r="F44" s="12">
        <v>35.909999999999997</v>
      </c>
    </row>
    <row r="45" spans="3:6" hidden="1" x14ac:dyDescent="0.3">
      <c r="C45" s="7" t="s">
        <v>40</v>
      </c>
      <c r="D45" s="8" t="s">
        <v>2036</v>
      </c>
      <c r="E45" s="8" t="s">
        <v>1979</v>
      </c>
      <c r="F45" s="9">
        <v>50.03</v>
      </c>
    </row>
    <row r="46" spans="3:6" hidden="1" x14ac:dyDescent="0.3">
      <c r="C46" s="10" t="s">
        <v>41</v>
      </c>
      <c r="D46" s="11" t="s">
        <v>2034</v>
      </c>
      <c r="E46" s="11" t="s">
        <v>1998</v>
      </c>
      <c r="F46" s="12">
        <v>43.39</v>
      </c>
    </row>
    <row r="47" spans="3:6" hidden="1" x14ac:dyDescent="0.3">
      <c r="C47" s="7" t="s">
        <v>42</v>
      </c>
      <c r="D47" s="8" t="s">
        <v>2039</v>
      </c>
      <c r="E47" s="8" t="s">
        <v>1979</v>
      </c>
      <c r="F47" s="9">
        <v>49.68</v>
      </c>
    </row>
    <row r="48" spans="3:6" hidden="1" x14ac:dyDescent="0.3">
      <c r="C48" s="10" t="s">
        <v>43</v>
      </c>
      <c r="D48" s="11" t="s">
        <v>2038</v>
      </c>
      <c r="E48" s="11" t="s">
        <v>1979</v>
      </c>
      <c r="F48" s="12">
        <v>27.96</v>
      </c>
    </row>
    <row r="49" spans="3:7" hidden="1" x14ac:dyDescent="0.3">
      <c r="C49" s="7" t="s">
        <v>44</v>
      </c>
      <c r="D49" s="8" t="s">
        <v>2041</v>
      </c>
      <c r="E49" s="8" t="s">
        <v>1997</v>
      </c>
      <c r="F49" s="9">
        <v>177.04</v>
      </c>
    </row>
    <row r="50" spans="3:7" hidden="1" x14ac:dyDescent="0.3">
      <c r="C50" s="10" t="s">
        <v>45</v>
      </c>
      <c r="D50" s="11" t="s">
        <v>2039</v>
      </c>
      <c r="E50" s="11" t="s">
        <v>1979</v>
      </c>
      <c r="F50" s="12">
        <v>81.099999999999994</v>
      </c>
    </row>
    <row r="51" spans="3:7" hidden="1" x14ac:dyDescent="0.3">
      <c r="C51" s="7" t="s">
        <v>46</v>
      </c>
      <c r="D51" s="8" t="s">
        <v>2035</v>
      </c>
      <c r="E51" s="8" t="s">
        <v>1979</v>
      </c>
      <c r="F51" s="9">
        <v>52.38</v>
      </c>
    </row>
    <row r="52" spans="3:7" hidden="1" x14ac:dyDescent="0.3">
      <c r="C52" s="10" t="s">
        <v>47</v>
      </c>
      <c r="D52" s="11" t="s">
        <v>2043</v>
      </c>
      <c r="E52" s="11" t="s">
        <v>2025</v>
      </c>
      <c r="F52" s="12">
        <v>79.180000000000007</v>
      </c>
    </row>
    <row r="53" spans="3:7" hidden="1" x14ac:dyDescent="0.3">
      <c r="C53" s="7" t="s">
        <v>48</v>
      </c>
      <c r="D53" s="8" t="s">
        <v>2034</v>
      </c>
      <c r="E53" s="8" t="s">
        <v>2028</v>
      </c>
      <c r="F53" s="9">
        <v>43.86</v>
      </c>
    </row>
    <row r="54" spans="3:7" hidden="1" x14ac:dyDescent="0.3">
      <c r="C54" s="10" t="s">
        <v>49</v>
      </c>
      <c r="D54" s="11" t="s">
        <v>2037</v>
      </c>
      <c r="E54" s="11" t="s">
        <v>2001</v>
      </c>
      <c r="F54" s="12">
        <v>76.11</v>
      </c>
    </row>
    <row r="55" spans="3:7" hidden="1" x14ac:dyDescent="0.3">
      <c r="C55" s="7" t="s">
        <v>50</v>
      </c>
      <c r="D55" s="8" t="s">
        <v>2044</v>
      </c>
      <c r="E55" s="8" t="s">
        <v>2022</v>
      </c>
      <c r="F55" s="9">
        <v>58.43</v>
      </c>
    </row>
    <row r="56" spans="3:7" hidden="1" x14ac:dyDescent="0.3">
      <c r="C56" s="10" t="s">
        <v>51</v>
      </c>
      <c r="D56" s="11" t="s">
        <v>2045</v>
      </c>
      <c r="E56" s="11" t="s">
        <v>2022</v>
      </c>
      <c r="F56" s="12">
        <v>46.95</v>
      </c>
    </row>
    <row r="57" spans="3:7" x14ac:dyDescent="0.3">
      <c r="C57" s="7" t="s">
        <v>329</v>
      </c>
      <c r="D57" s="8" t="s">
        <v>2046</v>
      </c>
      <c r="E57" s="8" t="s">
        <v>1979</v>
      </c>
      <c r="F57" s="9">
        <v>7.84</v>
      </c>
      <c r="G57" s="26">
        <f>F57*$G$2</f>
        <v>1.5680000000000001</v>
      </c>
    </row>
    <row r="58" spans="3:7" hidden="1" x14ac:dyDescent="0.3">
      <c r="C58" s="10" t="s">
        <v>53</v>
      </c>
      <c r="D58" s="11" t="s">
        <v>2039</v>
      </c>
      <c r="E58" s="11" t="s">
        <v>2028</v>
      </c>
      <c r="F58" s="12">
        <v>57.96</v>
      </c>
    </row>
    <row r="59" spans="3:7" hidden="1" x14ac:dyDescent="0.3">
      <c r="C59" s="7" t="s">
        <v>54</v>
      </c>
      <c r="D59" s="8" t="s">
        <v>2034</v>
      </c>
      <c r="E59" s="8" t="s">
        <v>2026</v>
      </c>
      <c r="F59" s="9">
        <v>41.36</v>
      </c>
    </row>
    <row r="60" spans="3:7" hidden="1" x14ac:dyDescent="0.3">
      <c r="C60" s="10" t="s">
        <v>55</v>
      </c>
      <c r="D60" s="11" t="s">
        <v>2041</v>
      </c>
      <c r="E60" s="11" t="s">
        <v>1998</v>
      </c>
      <c r="F60" s="12">
        <v>29.82</v>
      </c>
    </row>
    <row r="61" spans="3:7" hidden="1" x14ac:dyDescent="0.3">
      <c r="C61" s="7" t="s">
        <v>56</v>
      </c>
      <c r="D61" s="8" t="s">
        <v>2034</v>
      </c>
      <c r="E61" s="8" t="s">
        <v>1999</v>
      </c>
      <c r="F61" s="9">
        <v>50.51</v>
      </c>
    </row>
    <row r="62" spans="3:7" hidden="1" x14ac:dyDescent="0.3">
      <c r="C62" s="10" t="s">
        <v>57</v>
      </c>
      <c r="D62" s="11" t="s">
        <v>2040</v>
      </c>
      <c r="E62" s="11" t="s">
        <v>1979</v>
      </c>
      <c r="F62" s="12">
        <v>28.21</v>
      </c>
    </row>
    <row r="63" spans="3:7" hidden="1" x14ac:dyDescent="0.3">
      <c r="C63" s="7" t="s">
        <v>58</v>
      </c>
      <c r="D63" s="8" t="s">
        <v>2039</v>
      </c>
      <c r="E63" s="8" t="s">
        <v>1999</v>
      </c>
      <c r="F63" s="9">
        <v>32.28</v>
      </c>
    </row>
    <row r="64" spans="3:7" hidden="1" x14ac:dyDescent="0.3">
      <c r="C64" s="10" t="s">
        <v>59</v>
      </c>
      <c r="D64" s="11" t="s">
        <v>2034</v>
      </c>
      <c r="E64" s="11" t="s">
        <v>2005</v>
      </c>
      <c r="F64" s="12">
        <v>44.78</v>
      </c>
    </row>
    <row r="65" spans="3:6" hidden="1" x14ac:dyDescent="0.3">
      <c r="C65" s="7" t="s">
        <v>60</v>
      </c>
      <c r="D65" s="8" t="s">
        <v>2041</v>
      </c>
      <c r="E65" s="8" t="s">
        <v>1992</v>
      </c>
      <c r="F65" s="9">
        <v>90.68</v>
      </c>
    </row>
    <row r="66" spans="3:6" hidden="1" x14ac:dyDescent="0.3">
      <c r="C66" s="10" t="s">
        <v>61</v>
      </c>
      <c r="D66" s="11" t="s">
        <v>2038</v>
      </c>
      <c r="E66" s="11" t="s">
        <v>1979</v>
      </c>
      <c r="F66" s="12">
        <v>23.5</v>
      </c>
    </row>
    <row r="67" spans="3:6" hidden="1" x14ac:dyDescent="0.3">
      <c r="C67" s="7" t="s">
        <v>62</v>
      </c>
      <c r="D67" s="8" t="s">
        <v>2038</v>
      </c>
      <c r="E67" s="8" t="s">
        <v>1997</v>
      </c>
      <c r="F67" s="9">
        <v>80.709999999999994</v>
      </c>
    </row>
    <row r="68" spans="3:6" hidden="1" x14ac:dyDescent="0.3">
      <c r="C68" s="10" t="s">
        <v>63</v>
      </c>
      <c r="D68" s="11" t="s">
        <v>2039</v>
      </c>
      <c r="E68" s="11" t="s">
        <v>2031</v>
      </c>
      <c r="F68" s="12">
        <v>63.68</v>
      </c>
    </row>
    <row r="69" spans="3:6" hidden="1" x14ac:dyDescent="0.3">
      <c r="C69" s="7" t="s">
        <v>64</v>
      </c>
      <c r="D69" s="8" t="s">
        <v>2045</v>
      </c>
      <c r="E69" s="8" t="s">
        <v>1979</v>
      </c>
      <c r="F69" s="9">
        <v>19.399999999999999</v>
      </c>
    </row>
    <row r="70" spans="3:6" hidden="1" x14ac:dyDescent="0.3">
      <c r="C70" s="10" t="s">
        <v>65</v>
      </c>
      <c r="D70" s="11" t="s">
        <v>2038</v>
      </c>
      <c r="E70" s="11" t="s">
        <v>1997</v>
      </c>
      <c r="F70" s="12">
        <v>80.02</v>
      </c>
    </row>
    <row r="71" spans="3:6" hidden="1" x14ac:dyDescent="0.3">
      <c r="C71" s="7" t="s">
        <v>66</v>
      </c>
      <c r="D71" s="8" t="s">
        <v>2034</v>
      </c>
      <c r="E71" s="8" t="s">
        <v>2027</v>
      </c>
      <c r="F71" s="9">
        <v>87.9</v>
      </c>
    </row>
    <row r="72" spans="3:6" hidden="1" x14ac:dyDescent="0.3">
      <c r="C72" s="10" t="s">
        <v>67</v>
      </c>
      <c r="D72" s="11" t="s">
        <v>2034</v>
      </c>
      <c r="E72" s="11" t="s">
        <v>2017</v>
      </c>
      <c r="F72" s="12">
        <v>43.65</v>
      </c>
    </row>
    <row r="73" spans="3:6" hidden="1" x14ac:dyDescent="0.3">
      <c r="C73" s="7" t="s">
        <v>68</v>
      </c>
      <c r="D73" s="8" t="s">
        <v>2042</v>
      </c>
      <c r="E73" s="8" t="s">
        <v>2005</v>
      </c>
      <c r="F73" s="9">
        <v>88.95</v>
      </c>
    </row>
    <row r="74" spans="3:6" hidden="1" x14ac:dyDescent="0.3">
      <c r="C74" s="10" t="s">
        <v>69</v>
      </c>
      <c r="D74" s="11" t="s">
        <v>2037</v>
      </c>
      <c r="E74" s="11" t="s">
        <v>2005</v>
      </c>
      <c r="F74" s="12">
        <v>64.930000000000007</v>
      </c>
    </row>
    <row r="75" spans="3:6" hidden="1" x14ac:dyDescent="0.3">
      <c r="C75" s="7" t="s">
        <v>70</v>
      </c>
      <c r="D75" s="8" t="s">
        <v>2034</v>
      </c>
      <c r="E75" s="8" t="s">
        <v>2023</v>
      </c>
      <c r="F75" s="9">
        <v>81.510000000000005</v>
      </c>
    </row>
    <row r="76" spans="3:6" hidden="1" x14ac:dyDescent="0.3">
      <c r="C76" s="10" t="s">
        <v>71</v>
      </c>
      <c r="D76" s="11" t="s">
        <v>2041</v>
      </c>
      <c r="E76" s="11" t="s">
        <v>2031</v>
      </c>
      <c r="F76" s="12">
        <v>55.63</v>
      </c>
    </row>
    <row r="77" spans="3:6" hidden="1" x14ac:dyDescent="0.3">
      <c r="C77" s="7" t="s">
        <v>72</v>
      </c>
      <c r="D77" s="8" t="s">
        <v>2034</v>
      </c>
      <c r="E77" s="8" t="s">
        <v>2005</v>
      </c>
      <c r="F77" s="9">
        <v>31.71</v>
      </c>
    </row>
    <row r="78" spans="3:6" hidden="1" x14ac:dyDescent="0.3">
      <c r="C78" s="10" t="s">
        <v>73</v>
      </c>
      <c r="D78" s="11" t="s">
        <v>2034</v>
      </c>
      <c r="E78" s="11" t="s">
        <v>2025</v>
      </c>
      <c r="F78" s="12">
        <v>38.83</v>
      </c>
    </row>
    <row r="79" spans="3:6" hidden="1" x14ac:dyDescent="0.3">
      <c r="C79" s="7" t="s">
        <v>74</v>
      </c>
      <c r="D79" s="8" t="s">
        <v>2034</v>
      </c>
      <c r="E79" s="8" t="s">
        <v>1998</v>
      </c>
      <c r="F79" s="9">
        <v>32.42</v>
      </c>
    </row>
    <row r="80" spans="3:6" hidden="1" x14ac:dyDescent="0.3">
      <c r="C80" s="10" t="s">
        <v>75</v>
      </c>
      <c r="D80" s="11" t="s">
        <v>2040</v>
      </c>
      <c r="E80" s="11" t="s">
        <v>2028</v>
      </c>
      <c r="F80" s="12">
        <v>41.14</v>
      </c>
    </row>
    <row r="81" spans="3:6" hidden="1" x14ac:dyDescent="0.3">
      <c r="C81" s="7" t="s">
        <v>76</v>
      </c>
      <c r="D81" s="8" t="s">
        <v>2045</v>
      </c>
      <c r="E81" s="8" t="s">
        <v>2022</v>
      </c>
      <c r="F81" s="9">
        <v>70.319999999999993</v>
      </c>
    </row>
    <row r="82" spans="3:6" hidden="1" x14ac:dyDescent="0.3">
      <c r="C82" s="10" t="s">
        <v>77</v>
      </c>
      <c r="D82" s="11" t="s">
        <v>2035</v>
      </c>
      <c r="E82" s="11" t="s">
        <v>2005</v>
      </c>
      <c r="F82" s="12">
        <v>75.61</v>
      </c>
    </row>
    <row r="83" spans="3:6" hidden="1" x14ac:dyDescent="0.3">
      <c r="C83" s="7" t="s">
        <v>78</v>
      </c>
      <c r="D83" s="8" t="s">
        <v>2042</v>
      </c>
      <c r="E83" s="8" t="s">
        <v>2031</v>
      </c>
      <c r="F83" s="9">
        <v>46.58</v>
      </c>
    </row>
    <row r="84" spans="3:6" hidden="1" x14ac:dyDescent="0.3">
      <c r="C84" s="10" t="s">
        <v>79</v>
      </c>
      <c r="D84" s="11" t="s">
        <v>2041</v>
      </c>
      <c r="E84" s="11" t="s">
        <v>2005</v>
      </c>
      <c r="F84" s="12">
        <v>62.06</v>
      </c>
    </row>
    <row r="85" spans="3:6" hidden="1" x14ac:dyDescent="0.3">
      <c r="C85" s="7" t="s">
        <v>80</v>
      </c>
      <c r="D85" s="8" t="s">
        <v>2042</v>
      </c>
      <c r="E85" s="8" t="s">
        <v>2028</v>
      </c>
      <c r="F85" s="9">
        <v>37.18</v>
      </c>
    </row>
    <row r="86" spans="3:6" hidden="1" x14ac:dyDescent="0.3">
      <c r="C86" s="10" t="s">
        <v>81</v>
      </c>
      <c r="D86" s="11" t="s">
        <v>2035</v>
      </c>
      <c r="E86" s="11" t="s">
        <v>1999</v>
      </c>
      <c r="F86" s="12">
        <v>37.22</v>
      </c>
    </row>
    <row r="87" spans="3:6" hidden="1" x14ac:dyDescent="0.3">
      <c r="C87" s="7" t="s">
        <v>82</v>
      </c>
      <c r="D87" s="8" t="s">
        <v>2037</v>
      </c>
      <c r="E87" s="8" t="s">
        <v>1999</v>
      </c>
      <c r="F87" s="9">
        <v>30.58</v>
      </c>
    </row>
    <row r="88" spans="3:6" hidden="1" x14ac:dyDescent="0.3">
      <c r="C88" s="10" t="s">
        <v>83</v>
      </c>
      <c r="D88" s="11" t="s">
        <v>2047</v>
      </c>
      <c r="E88" s="11" t="s">
        <v>1979</v>
      </c>
      <c r="F88" s="12">
        <v>24.96</v>
      </c>
    </row>
    <row r="89" spans="3:6" hidden="1" x14ac:dyDescent="0.3">
      <c r="C89" s="7" t="s">
        <v>84</v>
      </c>
      <c r="D89" s="8" t="s">
        <v>2042</v>
      </c>
      <c r="E89" s="8" t="s">
        <v>1979</v>
      </c>
      <c r="F89" s="9">
        <v>21.02</v>
      </c>
    </row>
    <row r="90" spans="3:6" hidden="1" x14ac:dyDescent="0.3">
      <c r="C90" s="10" t="s">
        <v>85</v>
      </c>
      <c r="D90" s="11" t="s">
        <v>1975</v>
      </c>
      <c r="E90" s="11" t="s">
        <v>1979</v>
      </c>
      <c r="F90" s="12">
        <v>26.36</v>
      </c>
    </row>
    <row r="91" spans="3:6" hidden="1" x14ac:dyDescent="0.3">
      <c r="C91" s="7" t="s">
        <v>86</v>
      </c>
      <c r="D91" s="8" t="s">
        <v>2048</v>
      </c>
      <c r="E91" s="8" t="s">
        <v>2001</v>
      </c>
      <c r="F91" s="9">
        <v>49.35</v>
      </c>
    </row>
    <row r="92" spans="3:6" hidden="1" x14ac:dyDescent="0.3">
      <c r="C92" s="10" t="s">
        <v>87</v>
      </c>
      <c r="D92" s="11" t="s">
        <v>2034</v>
      </c>
      <c r="E92" s="11" t="s">
        <v>1998</v>
      </c>
      <c r="F92" s="12">
        <v>24.27</v>
      </c>
    </row>
    <row r="93" spans="3:6" hidden="1" x14ac:dyDescent="0.3">
      <c r="C93" s="7" t="s">
        <v>88</v>
      </c>
      <c r="D93" s="8" t="s">
        <v>2041</v>
      </c>
      <c r="E93" s="8" t="s">
        <v>2030</v>
      </c>
      <c r="F93" s="9">
        <v>58.58</v>
      </c>
    </row>
    <row r="94" spans="3:6" hidden="1" x14ac:dyDescent="0.3">
      <c r="C94" s="10" t="s">
        <v>89</v>
      </c>
      <c r="D94" s="11" t="s">
        <v>2039</v>
      </c>
      <c r="E94" s="11" t="s">
        <v>2031</v>
      </c>
      <c r="F94" s="12">
        <v>55.28</v>
      </c>
    </row>
    <row r="95" spans="3:6" hidden="1" x14ac:dyDescent="0.3">
      <c r="C95" s="7" t="s">
        <v>90</v>
      </c>
      <c r="D95" s="8" t="s">
        <v>2041</v>
      </c>
      <c r="E95" s="8" t="s">
        <v>1997</v>
      </c>
      <c r="F95" s="9">
        <v>60.16</v>
      </c>
    </row>
    <row r="96" spans="3:6" hidden="1" x14ac:dyDescent="0.3">
      <c r="C96" s="10" t="s">
        <v>91</v>
      </c>
      <c r="D96" s="11" t="s">
        <v>2034</v>
      </c>
      <c r="E96" s="11" t="s">
        <v>1979</v>
      </c>
      <c r="F96" s="12">
        <v>21.23</v>
      </c>
    </row>
    <row r="97" spans="3:6" hidden="1" x14ac:dyDescent="0.3">
      <c r="C97" s="7" t="s">
        <v>92</v>
      </c>
      <c r="D97" s="8" t="s">
        <v>2034</v>
      </c>
      <c r="E97" s="8" t="s">
        <v>1978</v>
      </c>
      <c r="F97" s="9">
        <v>54.85</v>
      </c>
    </row>
    <row r="98" spans="3:6" hidden="1" x14ac:dyDescent="0.3">
      <c r="C98" s="10" t="s">
        <v>93</v>
      </c>
      <c r="D98" s="11" t="s">
        <v>2047</v>
      </c>
      <c r="E98" s="11" t="s">
        <v>2005</v>
      </c>
      <c r="F98" s="12">
        <v>26.7</v>
      </c>
    </row>
    <row r="99" spans="3:6" hidden="1" x14ac:dyDescent="0.3">
      <c r="C99" s="7" t="s">
        <v>94</v>
      </c>
      <c r="D99" s="8" t="s">
        <v>2039</v>
      </c>
      <c r="E99" s="8" t="s">
        <v>1997</v>
      </c>
      <c r="F99" s="9">
        <v>55.24</v>
      </c>
    </row>
    <row r="100" spans="3:6" hidden="1" x14ac:dyDescent="0.3">
      <c r="C100" s="10" t="s">
        <v>95</v>
      </c>
      <c r="D100" s="11" t="s">
        <v>2049</v>
      </c>
      <c r="E100" s="11" t="s">
        <v>2022</v>
      </c>
      <c r="F100" s="12">
        <v>57.81</v>
      </c>
    </row>
    <row r="101" spans="3:6" hidden="1" x14ac:dyDescent="0.3">
      <c r="C101" s="7" t="s">
        <v>96</v>
      </c>
      <c r="D101" s="8" t="s">
        <v>2037</v>
      </c>
      <c r="E101" s="8" t="s">
        <v>1999</v>
      </c>
      <c r="F101" s="9">
        <v>26.96</v>
      </c>
    </row>
    <row r="102" spans="3:6" hidden="1" x14ac:dyDescent="0.3">
      <c r="C102" s="10" t="s">
        <v>97</v>
      </c>
      <c r="D102" s="11" t="s">
        <v>2036</v>
      </c>
      <c r="E102" s="11" t="s">
        <v>2005</v>
      </c>
      <c r="F102" s="12">
        <v>46.38</v>
      </c>
    </row>
    <row r="103" spans="3:6" hidden="1" x14ac:dyDescent="0.3">
      <c r="C103" s="7" t="s">
        <v>98</v>
      </c>
      <c r="D103" s="8" t="s">
        <v>2038</v>
      </c>
      <c r="E103" s="8" t="s">
        <v>2031</v>
      </c>
      <c r="F103" s="9">
        <v>47.09</v>
      </c>
    </row>
    <row r="104" spans="3:6" hidden="1" x14ac:dyDescent="0.3">
      <c r="C104" s="10" t="s">
        <v>99</v>
      </c>
      <c r="D104" s="11" t="s">
        <v>2034</v>
      </c>
      <c r="E104" s="11" t="s">
        <v>2028</v>
      </c>
      <c r="F104" s="12">
        <v>34.68</v>
      </c>
    </row>
    <row r="105" spans="3:6" hidden="1" x14ac:dyDescent="0.3">
      <c r="C105" s="7" t="s">
        <v>100</v>
      </c>
      <c r="D105" s="8" t="s">
        <v>1976</v>
      </c>
      <c r="E105" s="8" t="s">
        <v>2015</v>
      </c>
      <c r="F105" s="9">
        <v>29.84</v>
      </c>
    </row>
    <row r="106" spans="3:6" hidden="1" x14ac:dyDescent="0.3">
      <c r="C106" s="10" t="s">
        <v>101</v>
      </c>
      <c r="D106" s="11" t="s">
        <v>2034</v>
      </c>
      <c r="E106" s="11" t="s">
        <v>1979</v>
      </c>
      <c r="F106" s="12">
        <v>16.600000000000001</v>
      </c>
    </row>
    <row r="107" spans="3:6" hidden="1" x14ac:dyDescent="0.3">
      <c r="C107" s="7" t="s">
        <v>102</v>
      </c>
      <c r="D107" s="8" t="s">
        <v>2034</v>
      </c>
      <c r="E107" s="8" t="s">
        <v>2002</v>
      </c>
      <c r="F107" s="9">
        <v>45.37</v>
      </c>
    </row>
    <row r="108" spans="3:6" hidden="1" x14ac:dyDescent="0.3">
      <c r="C108" s="10" t="s">
        <v>103</v>
      </c>
      <c r="D108" s="11" t="s">
        <v>2050</v>
      </c>
      <c r="E108" s="11" t="s">
        <v>1979</v>
      </c>
      <c r="F108" s="12">
        <v>24.48</v>
      </c>
    </row>
    <row r="109" spans="3:6" hidden="1" x14ac:dyDescent="0.3">
      <c r="C109" s="7" t="s">
        <v>104</v>
      </c>
      <c r="D109" s="8" t="s">
        <v>2051</v>
      </c>
      <c r="E109" s="8" t="s">
        <v>1992</v>
      </c>
      <c r="F109" s="9">
        <v>39.369999999999997</v>
      </c>
    </row>
    <row r="110" spans="3:6" hidden="1" x14ac:dyDescent="0.3">
      <c r="C110" s="10" t="s">
        <v>105</v>
      </c>
      <c r="D110" s="11" t="s">
        <v>2034</v>
      </c>
      <c r="E110" s="11" t="s">
        <v>1988</v>
      </c>
      <c r="F110" s="12">
        <v>46.31</v>
      </c>
    </row>
    <row r="111" spans="3:6" hidden="1" x14ac:dyDescent="0.3">
      <c r="C111" s="7" t="s">
        <v>106</v>
      </c>
      <c r="D111" s="8" t="s">
        <v>2038</v>
      </c>
      <c r="E111" s="8" t="s">
        <v>2027</v>
      </c>
      <c r="F111" s="9">
        <v>66.8</v>
      </c>
    </row>
    <row r="112" spans="3:6" hidden="1" x14ac:dyDescent="0.3">
      <c r="C112" s="10" t="s">
        <v>107</v>
      </c>
      <c r="D112" s="11" t="s">
        <v>2034</v>
      </c>
      <c r="E112" s="11" t="s">
        <v>1992</v>
      </c>
      <c r="F112" s="12">
        <v>42.73</v>
      </c>
    </row>
    <row r="113" spans="3:6" hidden="1" x14ac:dyDescent="0.3">
      <c r="C113" s="7" t="s">
        <v>108</v>
      </c>
      <c r="D113" s="8" t="s">
        <v>2034</v>
      </c>
      <c r="E113" s="8" t="s">
        <v>2030</v>
      </c>
      <c r="F113" s="9">
        <v>42.58</v>
      </c>
    </row>
    <row r="114" spans="3:6" hidden="1" x14ac:dyDescent="0.3">
      <c r="C114" s="10" t="s">
        <v>109</v>
      </c>
      <c r="D114" s="11" t="s">
        <v>2042</v>
      </c>
      <c r="E114" s="11" t="s">
        <v>1979</v>
      </c>
      <c r="F114" s="12">
        <v>19.809999999999999</v>
      </c>
    </row>
    <row r="115" spans="3:6" hidden="1" x14ac:dyDescent="0.3">
      <c r="C115" s="7" t="s">
        <v>110</v>
      </c>
      <c r="D115" s="8" t="s">
        <v>2034</v>
      </c>
      <c r="E115" s="8" t="s">
        <v>2005</v>
      </c>
      <c r="F115" s="9">
        <v>35.380000000000003</v>
      </c>
    </row>
    <row r="116" spans="3:6" hidden="1" x14ac:dyDescent="0.3">
      <c r="C116" s="10" t="s">
        <v>111</v>
      </c>
      <c r="D116" s="11" t="s">
        <v>2052</v>
      </c>
      <c r="E116" s="11" t="s">
        <v>2028</v>
      </c>
      <c r="F116" s="12">
        <v>23.3</v>
      </c>
    </row>
    <row r="117" spans="3:6" hidden="1" x14ac:dyDescent="0.3">
      <c r="C117" s="7" t="s">
        <v>112</v>
      </c>
      <c r="D117" s="8" t="s">
        <v>1975</v>
      </c>
      <c r="E117" s="8" t="s">
        <v>1979</v>
      </c>
      <c r="F117" s="9">
        <v>17.96</v>
      </c>
    </row>
    <row r="118" spans="3:6" hidden="1" x14ac:dyDescent="0.3">
      <c r="C118" s="10" t="s">
        <v>113</v>
      </c>
      <c r="D118" s="11" t="s">
        <v>2041</v>
      </c>
      <c r="E118" s="11" t="s">
        <v>1997</v>
      </c>
      <c r="F118" s="12">
        <v>112.61</v>
      </c>
    </row>
    <row r="119" spans="3:6" hidden="1" x14ac:dyDescent="0.3">
      <c r="C119" s="7" t="s">
        <v>114</v>
      </c>
      <c r="D119" s="8" t="s">
        <v>2034</v>
      </c>
      <c r="E119" s="8" t="s">
        <v>2002</v>
      </c>
      <c r="F119" s="9">
        <v>45.14</v>
      </c>
    </row>
    <row r="120" spans="3:6" hidden="1" x14ac:dyDescent="0.3">
      <c r="C120" s="10" t="s">
        <v>115</v>
      </c>
      <c r="D120" s="11" t="s">
        <v>2035</v>
      </c>
      <c r="E120" s="11" t="s">
        <v>2015</v>
      </c>
      <c r="F120" s="12">
        <v>27.89</v>
      </c>
    </row>
    <row r="121" spans="3:6" hidden="1" x14ac:dyDescent="0.3">
      <c r="C121" s="7" t="s">
        <v>116</v>
      </c>
      <c r="D121" s="8" t="s">
        <v>2034</v>
      </c>
      <c r="E121" s="8" t="s">
        <v>2027</v>
      </c>
      <c r="F121" s="9">
        <v>25.95</v>
      </c>
    </row>
    <row r="122" spans="3:6" hidden="1" x14ac:dyDescent="0.3">
      <c r="C122" s="10" t="s">
        <v>117</v>
      </c>
      <c r="D122" s="11" t="s">
        <v>2034</v>
      </c>
      <c r="E122" s="11" t="s">
        <v>2017</v>
      </c>
      <c r="F122" s="12">
        <v>32.130000000000003</v>
      </c>
    </row>
    <row r="123" spans="3:6" hidden="1" x14ac:dyDescent="0.3">
      <c r="C123" s="7" t="s">
        <v>118</v>
      </c>
      <c r="D123" s="8" t="s">
        <v>2039</v>
      </c>
      <c r="E123" s="8" t="s">
        <v>2000</v>
      </c>
      <c r="F123" s="9">
        <v>98.6</v>
      </c>
    </row>
    <row r="124" spans="3:6" hidden="1" x14ac:dyDescent="0.3">
      <c r="C124" s="10" t="s">
        <v>119</v>
      </c>
      <c r="D124" s="11" t="s">
        <v>2041</v>
      </c>
      <c r="E124" s="11" t="s">
        <v>1988</v>
      </c>
      <c r="F124" s="12">
        <v>50.53</v>
      </c>
    </row>
    <row r="125" spans="3:6" hidden="1" x14ac:dyDescent="0.3">
      <c r="C125" s="7" t="s">
        <v>120</v>
      </c>
      <c r="D125" s="8" t="s">
        <v>2050</v>
      </c>
      <c r="E125" s="8" t="s">
        <v>1979</v>
      </c>
      <c r="F125" s="9">
        <v>22.14</v>
      </c>
    </row>
    <row r="126" spans="3:6" hidden="1" x14ac:dyDescent="0.3">
      <c r="C126" s="10" t="s">
        <v>121</v>
      </c>
      <c r="D126" s="11" t="s">
        <v>2035</v>
      </c>
      <c r="E126" s="11" t="s">
        <v>2000</v>
      </c>
      <c r="F126" s="12">
        <v>65.33</v>
      </c>
    </row>
    <row r="127" spans="3:6" hidden="1" x14ac:dyDescent="0.3">
      <c r="C127" s="7" t="s">
        <v>122</v>
      </c>
      <c r="D127" s="8" t="s">
        <v>2034</v>
      </c>
      <c r="E127" s="8" t="s">
        <v>1999</v>
      </c>
      <c r="F127" s="9">
        <v>22.01</v>
      </c>
    </row>
    <row r="128" spans="3:6" hidden="1" x14ac:dyDescent="0.3">
      <c r="C128" s="10" t="s">
        <v>123</v>
      </c>
      <c r="D128" s="11" t="s">
        <v>2034</v>
      </c>
      <c r="E128" s="11" t="s">
        <v>2027</v>
      </c>
      <c r="F128" s="12">
        <v>36.840000000000003</v>
      </c>
    </row>
    <row r="129" spans="3:7" hidden="1" x14ac:dyDescent="0.3">
      <c r="C129" s="7" t="s">
        <v>124</v>
      </c>
      <c r="D129" s="8" t="s">
        <v>2034</v>
      </c>
      <c r="E129" s="8" t="s">
        <v>2005</v>
      </c>
      <c r="F129" s="9">
        <v>27.08</v>
      </c>
    </row>
    <row r="130" spans="3:7" hidden="1" x14ac:dyDescent="0.3">
      <c r="C130" s="10" t="s">
        <v>125</v>
      </c>
      <c r="D130" s="11" t="s">
        <v>2038</v>
      </c>
      <c r="E130" s="11" t="s">
        <v>2029</v>
      </c>
      <c r="F130" s="12">
        <v>38.75</v>
      </c>
    </row>
    <row r="131" spans="3:7" hidden="1" x14ac:dyDescent="0.3">
      <c r="C131" s="7" t="s">
        <v>126</v>
      </c>
      <c r="D131" s="8" t="s">
        <v>2034</v>
      </c>
      <c r="E131" s="8" t="s">
        <v>1987</v>
      </c>
      <c r="F131" s="9">
        <v>36.340000000000003</v>
      </c>
    </row>
    <row r="132" spans="3:7" hidden="1" x14ac:dyDescent="0.3">
      <c r="C132" s="10" t="s">
        <v>127</v>
      </c>
      <c r="D132" s="11" t="s">
        <v>2034</v>
      </c>
      <c r="E132" s="11" t="s">
        <v>2001</v>
      </c>
      <c r="F132" s="12">
        <v>32.56</v>
      </c>
    </row>
    <row r="133" spans="3:7" hidden="1" x14ac:dyDescent="0.3">
      <c r="C133" s="7" t="s">
        <v>128</v>
      </c>
      <c r="D133" s="8" t="s">
        <v>2040</v>
      </c>
      <c r="E133" s="8" t="s">
        <v>2022</v>
      </c>
      <c r="F133" s="9">
        <v>47.64</v>
      </c>
    </row>
    <row r="134" spans="3:7" hidden="1" x14ac:dyDescent="0.3">
      <c r="C134" s="10" t="s">
        <v>129</v>
      </c>
      <c r="D134" s="11" t="s">
        <v>2034</v>
      </c>
      <c r="E134" s="11" t="s">
        <v>2017</v>
      </c>
      <c r="F134" s="12">
        <v>24.5</v>
      </c>
    </row>
    <row r="135" spans="3:7" hidden="1" x14ac:dyDescent="0.3">
      <c r="C135" s="7" t="s">
        <v>130</v>
      </c>
      <c r="D135" s="8" t="s">
        <v>2034</v>
      </c>
      <c r="E135" s="8" t="s">
        <v>2028</v>
      </c>
      <c r="F135" s="9">
        <v>20.55</v>
      </c>
    </row>
    <row r="136" spans="3:7" hidden="1" x14ac:dyDescent="0.3">
      <c r="C136" s="10" t="s">
        <v>131</v>
      </c>
      <c r="D136" s="11" t="s">
        <v>2034</v>
      </c>
      <c r="E136" s="11" t="s">
        <v>2022</v>
      </c>
      <c r="F136" s="12">
        <v>82.16</v>
      </c>
    </row>
    <row r="137" spans="3:7" hidden="1" x14ac:dyDescent="0.3">
      <c r="C137" s="7" t="s">
        <v>132</v>
      </c>
      <c r="D137" s="8" t="s">
        <v>2034</v>
      </c>
      <c r="E137" s="8" t="s">
        <v>1997</v>
      </c>
      <c r="F137" s="9">
        <v>178.1</v>
      </c>
    </row>
    <row r="138" spans="3:7" hidden="1" x14ac:dyDescent="0.3">
      <c r="C138" s="10" t="s">
        <v>133</v>
      </c>
      <c r="D138" s="11" t="s">
        <v>2047</v>
      </c>
      <c r="E138" s="11" t="s">
        <v>1979</v>
      </c>
      <c r="F138" s="12">
        <v>15.56</v>
      </c>
    </row>
    <row r="139" spans="3:7" hidden="1" x14ac:dyDescent="0.3">
      <c r="C139" s="7" t="s">
        <v>134</v>
      </c>
      <c r="D139" s="8" t="s">
        <v>2036</v>
      </c>
      <c r="E139" s="8" t="s">
        <v>1992</v>
      </c>
      <c r="F139" s="9">
        <v>35.93</v>
      </c>
    </row>
    <row r="140" spans="3:7" hidden="1" x14ac:dyDescent="0.3">
      <c r="C140" s="10" t="s">
        <v>135</v>
      </c>
      <c r="D140" s="11" t="s">
        <v>2035</v>
      </c>
      <c r="E140" s="11" t="s">
        <v>2028</v>
      </c>
      <c r="F140" s="12">
        <v>35.200000000000003</v>
      </c>
    </row>
    <row r="141" spans="3:7" hidden="1" x14ac:dyDescent="0.3">
      <c r="C141" s="7" t="s">
        <v>136</v>
      </c>
      <c r="D141" s="8" t="s">
        <v>2037</v>
      </c>
      <c r="E141" s="8" t="s">
        <v>2005</v>
      </c>
      <c r="F141" s="9">
        <v>31.68</v>
      </c>
    </row>
    <row r="142" spans="3:7" hidden="1" x14ac:dyDescent="0.3">
      <c r="C142" s="10" t="s">
        <v>137</v>
      </c>
      <c r="D142" s="11" t="s">
        <v>2034</v>
      </c>
      <c r="E142" s="11" t="s">
        <v>2023</v>
      </c>
      <c r="F142" s="12">
        <v>52.62</v>
      </c>
    </row>
    <row r="143" spans="3:7" x14ac:dyDescent="0.3">
      <c r="C143" s="7" t="s">
        <v>202</v>
      </c>
      <c r="D143" s="8" t="s">
        <v>2046</v>
      </c>
      <c r="E143" s="8" t="s">
        <v>2031</v>
      </c>
      <c r="F143" s="9">
        <v>24.52</v>
      </c>
      <c r="G143" s="26">
        <f>F143*$G$2</f>
        <v>4.9039999999999999</v>
      </c>
    </row>
    <row r="144" spans="3:7" hidden="1" x14ac:dyDescent="0.3">
      <c r="C144" s="10" t="s">
        <v>139</v>
      </c>
      <c r="D144" s="11" t="s">
        <v>2038</v>
      </c>
      <c r="E144" s="11" t="s">
        <v>1986</v>
      </c>
      <c r="F144" s="12">
        <v>31.8</v>
      </c>
    </row>
    <row r="145" spans="3:6" hidden="1" x14ac:dyDescent="0.3">
      <c r="C145" s="7" t="s">
        <v>140</v>
      </c>
      <c r="D145" s="8" t="s">
        <v>2040</v>
      </c>
      <c r="E145" s="8" t="s">
        <v>2031</v>
      </c>
      <c r="F145" s="9">
        <v>20.69</v>
      </c>
    </row>
    <row r="146" spans="3:6" hidden="1" x14ac:dyDescent="0.3">
      <c r="C146" s="10" t="s">
        <v>141</v>
      </c>
      <c r="D146" s="11" t="s">
        <v>2053</v>
      </c>
      <c r="E146" s="11" t="s">
        <v>2027</v>
      </c>
      <c r="F146" s="12">
        <v>40.409999999999997</v>
      </c>
    </row>
    <row r="147" spans="3:6" hidden="1" x14ac:dyDescent="0.3">
      <c r="C147" s="7" t="s">
        <v>142</v>
      </c>
      <c r="D147" s="8" t="s">
        <v>2047</v>
      </c>
      <c r="E147" s="8" t="s">
        <v>1979</v>
      </c>
      <c r="F147" s="9">
        <v>15.84</v>
      </c>
    </row>
    <row r="148" spans="3:6" hidden="1" x14ac:dyDescent="0.3">
      <c r="C148" s="10" t="s">
        <v>143</v>
      </c>
      <c r="D148" s="11" t="s">
        <v>2034</v>
      </c>
      <c r="E148" s="11" t="s">
        <v>2001</v>
      </c>
      <c r="F148" s="12">
        <v>23.1</v>
      </c>
    </row>
    <row r="149" spans="3:6" hidden="1" x14ac:dyDescent="0.3">
      <c r="C149" s="7" t="s">
        <v>144</v>
      </c>
      <c r="D149" s="8" t="s">
        <v>2054</v>
      </c>
      <c r="E149" s="8" t="s">
        <v>2030</v>
      </c>
      <c r="F149" s="9">
        <v>30.27</v>
      </c>
    </row>
    <row r="150" spans="3:6" hidden="1" x14ac:dyDescent="0.3">
      <c r="C150" s="10" t="s">
        <v>1980</v>
      </c>
      <c r="D150" s="11" t="s">
        <v>1975</v>
      </c>
      <c r="E150" s="11" t="s">
        <v>1979</v>
      </c>
      <c r="F150" s="12">
        <v>15.87</v>
      </c>
    </row>
    <row r="151" spans="3:6" hidden="1" x14ac:dyDescent="0.3">
      <c r="C151" s="7" t="s">
        <v>145</v>
      </c>
      <c r="D151" s="8" t="s">
        <v>2034</v>
      </c>
      <c r="E151" s="8" t="s">
        <v>2027</v>
      </c>
      <c r="F151" s="9">
        <v>55.91</v>
      </c>
    </row>
    <row r="152" spans="3:6" hidden="1" x14ac:dyDescent="0.3">
      <c r="C152" s="10" t="s">
        <v>146</v>
      </c>
      <c r="D152" s="11" t="s">
        <v>2055</v>
      </c>
      <c r="E152" s="11" t="s">
        <v>1988</v>
      </c>
      <c r="F152" s="12">
        <v>18.27</v>
      </c>
    </row>
    <row r="153" spans="3:6" hidden="1" x14ac:dyDescent="0.3">
      <c r="C153" s="7" t="s">
        <v>147</v>
      </c>
      <c r="D153" s="8" t="s">
        <v>2054</v>
      </c>
      <c r="E153" s="8" t="s">
        <v>1979</v>
      </c>
      <c r="F153" s="9">
        <v>21.04</v>
      </c>
    </row>
    <row r="154" spans="3:6" hidden="1" x14ac:dyDescent="0.3">
      <c r="C154" s="10" t="s">
        <v>148</v>
      </c>
      <c r="D154" s="11" t="s">
        <v>2034</v>
      </c>
      <c r="E154" s="11" t="s">
        <v>2005</v>
      </c>
      <c r="F154" s="12">
        <v>24.37</v>
      </c>
    </row>
    <row r="155" spans="3:6" hidden="1" x14ac:dyDescent="0.3">
      <c r="C155" s="7" t="s">
        <v>149</v>
      </c>
      <c r="D155" s="8" t="s">
        <v>2043</v>
      </c>
      <c r="E155" s="8" t="s">
        <v>2031</v>
      </c>
      <c r="F155" s="9">
        <v>23.14</v>
      </c>
    </row>
    <row r="156" spans="3:6" hidden="1" x14ac:dyDescent="0.3">
      <c r="C156" s="10" t="s">
        <v>150</v>
      </c>
      <c r="D156" s="11" t="s">
        <v>2036</v>
      </c>
      <c r="E156" s="11" t="s">
        <v>1978</v>
      </c>
      <c r="F156" s="12">
        <v>43.09</v>
      </c>
    </row>
    <row r="157" spans="3:6" hidden="1" x14ac:dyDescent="0.3">
      <c r="C157" s="7" t="s">
        <v>151</v>
      </c>
      <c r="D157" s="8" t="s">
        <v>2042</v>
      </c>
      <c r="E157" s="8" t="s">
        <v>1979</v>
      </c>
      <c r="F157" s="9">
        <v>15.98</v>
      </c>
    </row>
    <row r="158" spans="3:6" hidden="1" x14ac:dyDescent="0.3">
      <c r="C158" s="10" t="s">
        <v>152</v>
      </c>
      <c r="D158" s="11" t="s">
        <v>2034</v>
      </c>
      <c r="E158" s="11" t="s">
        <v>1999</v>
      </c>
      <c r="F158" s="12">
        <v>18.760000000000002</v>
      </c>
    </row>
    <row r="159" spans="3:6" hidden="1" x14ac:dyDescent="0.3">
      <c r="C159" s="7" t="s">
        <v>153</v>
      </c>
      <c r="D159" s="8" t="s">
        <v>2056</v>
      </c>
      <c r="E159" s="8" t="s">
        <v>2015</v>
      </c>
      <c r="F159" s="9">
        <v>39.01</v>
      </c>
    </row>
    <row r="160" spans="3:6" hidden="1" x14ac:dyDescent="0.3">
      <c r="C160" s="10" t="s">
        <v>154</v>
      </c>
      <c r="D160" s="11" t="s">
        <v>2052</v>
      </c>
      <c r="E160" s="11" t="s">
        <v>1992</v>
      </c>
      <c r="F160" s="12">
        <v>17.32</v>
      </c>
    </row>
    <row r="161" spans="3:6" hidden="1" x14ac:dyDescent="0.3">
      <c r="C161" s="7" t="s">
        <v>155</v>
      </c>
      <c r="D161" s="8" t="s">
        <v>2057</v>
      </c>
      <c r="E161" s="8" t="s">
        <v>1979</v>
      </c>
      <c r="F161" s="9">
        <v>13.7</v>
      </c>
    </row>
    <row r="162" spans="3:6" hidden="1" x14ac:dyDescent="0.3">
      <c r="C162" s="10" t="s">
        <v>156</v>
      </c>
      <c r="D162" s="11" t="s">
        <v>2041</v>
      </c>
      <c r="E162" s="11" t="s">
        <v>1979</v>
      </c>
      <c r="F162" s="12">
        <v>22.61</v>
      </c>
    </row>
    <row r="163" spans="3:6" hidden="1" x14ac:dyDescent="0.3">
      <c r="C163" s="7" t="s">
        <v>157</v>
      </c>
      <c r="D163" s="8" t="s">
        <v>2058</v>
      </c>
      <c r="E163" s="8" t="s">
        <v>2015</v>
      </c>
      <c r="F163" s="9">
        <v>18.34</v>
      </c>
    </row>
    <row r="164" spans="3:6" hidden="1" x14ac:dyDescent="0.3">
      <c r="C164" s="10" t="s">
        <v>158</v>
      </c>
      <c r="D164" s="11" t="s">
        <v>2034</v>
      </c>
      <c r="E164" s="11" t="s">
        <v>1999</v>
      </c>
      <c r="F164" s="12">
        <v>22.34</v>
      </c>
    </row>
    <row r="165" spans="3:6" hidden="1" x14ac:dyDescent="0.3">
      <c r="C165" s="7" t="s">
        <v>1981</v>
      </c>
      <c r="D165" s="8" t="s">
        <v>1975</v>
      </c>
      <c r="E165" s="8" t="s">
        <v>1979</v>
      </c>
      <c r="F165" s="9">
        <v>14.23</v>
      </c>
    </row>
    <row r="166" spans="3:6" hidden="1" x14ac:dyDescent="0.3">
      <c r="C166" s="10" t="s">
        <v>159</v>
      </c>
      <c r="D166" s="11" t="s">
        <v>2045</v>
      </c>
      <c r="E166" s="11" t="s">
        <v>2028</v>
      </c>
      <c r="F166" s="12">
        <v>19.47</v>
      </c>
    </row>
    <row r="167" spans="3:6" hidden="1" x14ac:dyDescent="0.3">
      <c r="C167" s="7" t="s">
        <v>160</v>
      </c>
      <c r="D167" s="8" t="s">
        <v>2034</v>
      </c>
      <c r="E167" s="8" t="s">
        <v>1998</v>
      </c>
      <c r="F167" s="9">
        <v>18.54</v>
      </c>
    </row>
    <row r="168" spans="3:6" hidden="1" x14ac:dyDescent="0.3">
      <c r="C168" s="10" t="s">
        <v>161</v>
      </c>
      <c r="D168" s="11" t="s">
        <v>2034</v>
      </c>
      <c r="E168" s="11" t="s">
        <v>2023</v>
      </c>
      <c r="F168" s="12">
        <v>43.24</v>
      </c>
    </row>
    <row r="169" spans="3:6" hidden="1" x14ac:dyDescent="0.3">
      <c r="C169" s="7" t="s">
        <v>162</v>
      </c>
      <c r="D169" s="8" t="s">
        <v>2047</v>
      </c>
      <c r="E169" s="8" t="s">
        <v>2005</v>
      </c>
      <c r="F169" s="9">
        <v>18.739999999999998</v>
      </c>
    </row>
    <row r="170" spans="3:6" hidden="1" x14ac:dyDescent="0.3">
      <c r="C170" s="10" t="s">
        <v>163</v>
      </c>
      <c r="D170" s="11" t="s">
        <v>2035</v>
      </c>
      <c r="E170" s="11" t="s">
        <v>2005</v>
      </c>
      <c r="F170" s="12">
        <v>49.15</v>
      </c>
    </row>
    <row r="171" spans="3:6" hidden="1" x14ac:dyDescent="0.3">
      <c r="C171" s="7" t="s">
        <v>164</v>
      </c>
      <c r="D171" s="8" t="s">
        <v>2035</v>
      </c>
      <c r="E171" s="8" t="s">
        <v>1999</v>
      </c>
      <c r="F171" s="9">
        <v>22.69</v>
      </c>
    </row>
    <row r="172" spans="3:6" hidden="1" x14ac:dyDescent="0.3">
      <c r="C172" s="10" t="s">
        <v>165</v>
      </c>
      <c r="D172" s="11" t="s">
        <v>2034</v>
      </c>
      <c r="E172" s="11" t="s">
        <v>2017</v>
      </c>
      <c r="F172" s="12">
        <v>22.26</v>
      </c>
    </row>
    <row r="173" spans="3:6" hidden="1" x14ac:dyDescent="0.3">
      <c r="C173" s="7" t="s">
        <v>166</v>
      </c>
      <c r="D173" s="8" t="s">
        <v>2047</v>
      </c>
      <c r="E173" s="8" t="s">
        <v>1979</v>
      </c>
      <c r="F173" s="9">
        <v>12.78</v>
      </c>
    </row>
    <row r="174" spans="3:6" hidden="1" x14ac:dyDescent="0.3">
      <c r="C174" s="10" t="s">
        <v>167</v>
      </c>
      <c r="D174" s="11" t="s">
        <v>2043</v>
      </c>
      <c r="E174" s="11" t="s">
        <v>1997</v>
      </c>
      <c r="F174" s="12">
        <v>51.3</v>
      </c>
    </row>
    <row r="175" spans="3:6" hidden="1" x14ac:dyDescent="0.3">
      <c r="C175" s="7" t="s">
        <v>168</v>
      </c>
      <c r="D175" s="8" t="s">
        <v>2034</v>
      </c>
      <c r="E175" s="8" t="s">
        <v>1988</v>
      </c>
      <c r="F175" s="9">
        <v>28.49</v>
      </c>
    </row>
    <row r="176" spans="3:6" hidden="1" x14ac:dyDescent="0.3">
      <c r="C176" s="10" t="s">
        <v>169</v>
      </c>
      <c r="D176" s="11" t="s">
        <v>2038</v>
      </c>
      <c r="E176" s="11" t="s">
        <v>1979</v>
      </c>
      <c r="F176" s="12">
        <v>9.39</v>
      </c>
    </row>
    <row r="177" spans="3:6" hidden="1" x14ac:dyDescent="0.3">
      <c r="C177" s="7" t="s">
        <v>170</v>
      </c>
      <c r="D177" s="8" t="s">
        <v>2038</v>
      </c>
      <c r="E177" s="8" t="s">
        <v>2015</v>
      </c>
      <c r="F177" s="9">
        <v>31.62</v>
      </c>
    </row>
    <row r="178" spans="3:6" hidden="1" x14ac:dyDescent="0.3">
      <c r="C178" s="10" t="s">
        <v>171</v>
      </c>
      <c r="D178" s="11" t="s">
        <v>2035</v>
      </c>
      <c r="E178" s="11" t="s">
        <v>2001</v>
      </c>
      <c r="F178" s="12">
        <v>20.66</v>
      </c>
    </row>
    <row r="179" spans="3:6" hidden="1" x14ac:dyDescent="0.3">
      <c r="C179" s="7" t="s">
        <v>172</v>
      </c>
      <c r="D179" s="8" t="s">
        <v>2034</v>
      </c>
      <c r="E179" s="8" t="s">
        <v>2022</v>
      </c>
      <c r="F179" s="9">
        <v>44.46</v>
      </c>
    </row>
    <row r="180" spans="3:6" hidden="1" x14ac:dyDescent="0.3">
      <c r="C180" s="10" t="s">
        <v>173</v>
      </c>
      <c r="D180" s="11" t="s">
        <v>2044</v>
      </c>
      <c r="E180" s="11" t="s">
        <v>1979</v>
      </c>
      <c r="F180" s="12">
        <v>19.38</v>
      </c>
    </row>
    <row r="181" spans="3:6" hidden="1" x14ac:dyDescent="0.3">
      <c r="C181" s="7" t="s">
        <v>174</v>
      </c>
      <c r="D181" s="8" t="s">
        <v>2039</v>
      </c>
      <c r="E181" s="8" t="s">
        <v>2031</v>
      </c>
      <c r="F181" s="9">
        <v>24.6</v>
      </c>
    </row>
    <row r="182" spans="3:6" hidden="1" x14ac:dyDescent="0.3">
      <c r="C182" s="10" t="s">
        <v>175</v>
      </c>
      <c r="D182" s="11" t="s">
        <v>2049</v>
      </c>
      <c r="E182" s="11" t="s">
        <v>1992</v>
      </c>
      <c r="F182" s="12">
        <v>25.79</v>
      </c>
    </row>
    <row r="183" spans="3:6" hidden="1" x14ac:dyDescent="0.3">
      <c r="C183" s="7" t="s">
        <v>176</v>
      </c>
      <c r="D183" s="8" t="s">
        <v>2034</v>
      </c>
      <c r="E183" s="8" t="s">
        <v>2003</v>
      </c>
      <c r="F183" s="9">
        <v>20.46</v>
      </c>
    </row>
    <row r="184" spans="3:6" hidden="1" x14ac:dyDescent="0.3">
      <c r="C184" s="10" t="s">
        <v>177</v>
      </c>
      <c r="D184" s="11" t="s">
        <v>2039</v>
      </c>
      <c r="E184" s="11" t="s">
        <v>2017</v>
      </c>
      <c r="F184" s="12">
        <v>29.07</v>
      </c>
    </row>
    <row r="185" spans="3:6" hidden="1" x14ac:dyDescent="0.3">
      <c r="C185" s="7" t="s">
        <v>178</v>
      </c>
      <c r="D185" s="8" t="s">
        <v>2039</v>
      </c>
      <c r="E185" s="8" t="s">
        <v>1993</v>
      </c>
      <c r="F185" s="9">
        <v>43.45</v>
      </c>
    </row>
    <row r="186" spans="3:6" hidden="1" x14ac:dyDescent="0.3">
      <c r="C186" s="10" t="s">
        <v>179</v>
      </c>
      <c r="D186" s="11" t="s">
        <v>2034</v>
      </c>
      <c r="E186" s="11" t="s">
        <v>1978</v>
      </c>
      <c r="F186" s="12">
        <v>37.21</v>
      </c>
    </row>
    <row r="187" spans="3:6" hidden="1" x14ac:dyDescent="0.3">
      <c r="C187" s="7" t="s">
        <v>180</v>
      </c>
      <c r="D187" s="8" t="s">
        <v>2034</v>
      </c>
      <c r="E187" s="8" t="s">
        <v>2002</v>
      </c>
      <c r="F187" s="9">
        <v>22.49</v>
      </c>
    </row>
    <row r="188" spans="3:6" hidden="1" x14ac:dyDescent="0.3">
      <c r="C188" s="10" t="s">
        <v>181</v>
      </c>
      <c r="D188" s="11" t="s">
        <v>2034</v>
      </c>
      <c r="E188" s="11" t="s">
        <v>1992</v>
      </c>
      <c r="F188" s="12">
        <v>27.65</v>
      </c>
    </row>
    <row r="189" spans="3:6" hidden="1" x14ac:dyDescent="0.3">
      <c r="C189" s="7" t="s">
        <v>182</v>
      </c>
      <c r="D189" s="8" t="s">
        <v>2035</v>
      </c>
      <c r="E189" s="8" t="s">
        <v>1998</v>
      </c>
      <c r="F189" s="9">
        <v>24.97</v>
      </c>
    </row>
    <row r="190" spans="3:6" hidden="1" x14ac:dyDescent="0.3">
      <c r="C190" s="10" t="s">
        <v>183</v>
      </c>
      <c r="D190" s="11" t="s">
        <v>2036</v>
      </c>
      <c r="E190" s="11" t="s">
        <v>2015</v>
      </c>
      <c r="F190" s="12">
        <v>26.86</v>
      </c>
    </row>
    <row r="191" spans="3:6" hidden="1" x14ac:dyDescent="0.3">
      <c r="C191" s="7" t="s">
        <v>184</v>
      </c>
      <c r="D191" s="8" t="s">
        <v>2044</v>
      </c>
      <c r="E191" s="8" t="s">
        <v>1979</v>
      </c>
      <c r="F191" s="9">
        <v>17.38</v>
      </c>
    </row>
    <row r="192" spans="3:6" hidden="1" x14ac:dyDescent="0.3">
      <c r="C192" s="10" t="s">
        <v>185</v>
      </c>
      <c r="D192" s="11" t="s">
        <v>2038</v>
      </c>
      <c r="E192" s="11" t="s">
        <v>2029</v>
      </c>
      <c r="F192" s="12">
        <v>32.9</v>
      </c>
    </row>
    <row r="193" spans="3:6" hidden="1" x14ac:dyDescent="0.3">
      <c r="C193" s="7" t="s">
        <v>186</v>
      </c>
      <c r="D193" s="8" t="s">
        <v>2047</v>
      </c>
      <c r="E193" s="8" t="s">
        <v>2022</v>
      </c>
      <c r="F193" s="9">
        <v>14.81</v>
      </c>
    </row>
    <row r="194" spans="3:6" hidden="1" x14ac:dyDescent="0.3">
      <c r="C194" s="10" t="s">
        <v>187</v>
      </c>
      <c r="D194" s="11" t="s">
        <v>2034</v>
      </c>
      <c r="E194" s="11" t="s">
        <v>2031</v>
      </c>
      <c r="F194" s="12">
        <v>16.75</v>
      </c>
    </row>
    <row r="195" spans="3:6" hidden="1" x14ac:dyDescent="0.3">
      <c r="C195" s="7" t="s">
        <v>188</v>
      </c>
      <c r="D195" s="8" t="s">
        <v>2057</v>
      </c>
      <c r="E195" s="8" t="s">
        <v>2027</v>
      </c>
      <c r="F195" s="9">
        <v>19.079999999999998</v>
      </c>
    </row>
    <row r="196" spans="3:6" hidden="1" x14ac:dyDescent="0.3">
      <c r="C196" s="10" t="s">
        <v>189</v>
      </c>
      <c r="D196" s="11" t="s">
        <v>2034</v>
      </c>
      <c r="E196" s="11" t="s">
        <v>1999</v>
      </c>
      <c r="F196" s="12">
        <v>19.21</v>
      </c>
    </row>
    <row r="197" spans="3:6" hidden="1" x14ac:dyDescent="0.3">
      <c r="C197" s="7" t="s">
        <v>190</v>
      </c>
      <c r="D197" s="8" t="s">
        <v>2034</v>
      </c>
      <c r="E197" s="8" t="s">
        <v>1999</v>
      </c>
      <c r="F197" s="9">
        <v>12.43</v>
      </c>
    </row>
    <row r="198" spans="3:6" hidden="1" x14ac:dyDescent="0.3">
      <c r="C198" s="10" t="s">
        <v>191</v>
      </c>
      <c r="D198" s="11" t="s">
        <v>2038</v>
      </c>
      <c r="E198" s="11" t="s">
        <v>2030</v>
      </c>
      <c r="F198" s="12">
        <v>23.67</v>
      </c>
    </row>
    <row r="199" spans="3:6" hidden="1" x14ac:dyDescent="0.3">
      <c r="C199" s="7" t="s">
        <v>192</v>
      </c>
      <c r="D199" s="8" t="s">
        <v>1975</v>
      </c>
      <c r="E199" s="8" t="s">
        <v>2028</v>
      </c>
      <c r="F199" s="9">
        <v>16.87</v>
      </c>
    </row>
    <row r="200" spans="3:6" hidden="1" x14ac:dyDescent="0.3">
      <c r="C200" s="10" t="s">
        <v>193</v>
      </c>
      <c r="D200" s="11" t="s">
        <v>2034</v>
      </c>
      <c r="E200" s="11" t="s">
        <v>1979</v>
      </c>
      <c r="F200" s="12">
        <v>10.88</v>
      </c>
    </row>
    <row r="201" spans="3:6" hidden="1" x14ac:dyDescent="0.3">
      <c r="C201" s="7" t="s">
        <v>194</v>
      </c>
      <c r="D201" s="8" t="s">
        <v>2035</v>
      </c>
      <c r="E201" s="8" t="s">
        <v>2005</v>
      </c>
      <c r="F201" s="9">
        <v>52.53</v>
      </c>
    </row>
    <row r="202" spans="3:6" hidden="1" x14ac:dyDescent="0.3">
      <c r="C202" s="10" t="s">
        <v>195</v>
      </c>
      <c r="D202" s="11" t="s">
        <v>2034</v>
      </c>
      <c r="E202" s="11" t="s">
        <v>1992</v>
      </c>
      <c r="F202" s="12">
        <v>21.17</v>
      </c>
    </row>
    <row r="203" spans="3:6" hidden="1" x14ac:dyDescent="0.3">
      <c r="C203" s="7" t="s">
        <v>196</v>
      </c>
      <c r="D203" s="8" t="s">
        <v>2035</v>
      </c>
      <c r="E203" s="8" t="s">
        <v>2031</v>
      </c>
      <c r="F203" s="9">
        <v>16.11</v>
      </c>
    </row>
    <row r="204" spans="3:6" hidden="1" x14ac:dyDescent="0.3">
      <c r="C204" s="10" t="s">
        <v>197</v>
      </c>
      <c r="D204" s="11" t="s">
        <v>2034</v>
      </c>
      <c r="E204" s="11" t="s">
        <v>1998</v>
      </c>
      <c r="F204" s="12">
        <v>31.02</v>
      </c>
    </row>
    <row r="205" spans="3:6" hidden="1" x14ac:dyDescent="0.3">
      <c r="C205" s="7" t="s">
        <v>198</v>
      </c>
      <c r="D205" s="8" t="s">
        <v>2038</v>
      </c>
      <c r="E205" s="8" t="s">
        <v>1997</v>
      </c>
      <c r="F205" s="9">
        <v>81.3</v>
      </c>
    </row>
    <row r="206" spans="3:6" hidden="1" x14ac:dyDescent="0.3">
      <c r="C206" s="10" t="s">
        <v>199</v>
      </c>
      <c r="D206" s="11" t="s">
        <v>2041</v>
      </c>
      <c r="E206" s="11" t="s">
        <v>1988</v>
      </c>
      <c r="F206" s="12">
        <v>40.380000000000003</v>
      </c>
    </row>
    <row r="207" spans="3:6" hidden="1" x14ac:dyDescent="0.3">
      <c r="C207" s="7" t="s">
        <v>200</v>
      </c>
      <c r="D207" s="8" t="s">
        <v>2034</v>
      </c>
      <c r="E207" s="8" t="s">
        <v>1998</v>
      </c>
      <c r="F207" s="9">
        <v>12.08</v>
      </c>
    </row>
    <row r="208" spans="3:6" hidden="1" x14ac:dyDescent="0.3">
      <c r="C208" s="10" t="s">
        <v>201</v>
      </c>
      <c r="D208" s="11" t="s">
        <v>2039</v>
      </c>
      <c r="E208" s="11" t="s">
        <v>1997</v>
      </c>
      <c r="F208" s="12">
        <v>66.510000000000005</v>
      </c>
    </row>
    <row r="209" spans="3:7" x14ac:dyDescent="0.3">
      <c r="C209" s="7" t="s">
        <v>52</v>
      </c>
      <c r="D209" s="8" t="s">
        <v>2046</v>
      </c>
      <c r="E209" s="8" t="s">
        <v>2022</v>
      </c>
      <c r="F209" s="9">
        <v>36.47</v>
      </c>
      <c r="G209" s="26">
        <f>F209*$G$2</f>
        <v>7.2940000000000005</v>
      </c>
    </row>
    <row r="210" spans="3:7" hidden="1" x14ac:dyDescent="0.3">
      <c r="C210" s="10" t="s">
        <v>203</v>
      </c>
      <c r="D210" s="11" t="s">
        <v>2034</v>
      </c>
      <c r="E210" s="11" t="s">
        <v>2022</v>
      </c>
      <c r="F210" s="12">
        <v>15.02</v>
      </c>
    </row>
    <row r="211" spans="3:7" hidden="1" x14ac:dyDescent="0.3">
      <c r="C211" s="7" t="s">
        <v>204</v>
      </c>
      <c r="D211" s="8" t="s">
        <v>2038</v>
      </c>
      <c r="E211" s="8" t="s">
        <v>2005</v>
      </c>
      <c r="F211" s="9">
        <v>26.61</v>
      </c>
    </row>
    <row r="212" spans="3:7" hidden="1" x14ac:dyDescent="0.3">
      <c r="C212" s="10" t="s">
        <v>205</v>
      </c>
      <c r="D212" s="11" t="s">
        <v>2034</v>
      </c>
      <c r="E212" s="11" t="s">
        <v>2002</v>
      </c>
      <c r="F212" s="12">
        <v>77.849999999999994</v>
      </c>
    </row>
    <row r="213" spans="3:7" hidden="1" x14ac:dyDescent="0.3">
      <c r="C213" s="7" t="s">
        <v>206</v>
      </c>
      <c r="D213" s="8" t="s">
        <v>2039</v>
      </c>
      <c r="E213" s="8" t="s">
        <v>2004</v>
      </c>
      <c r="F213" s="9">
        <v>17.18</v>
      </c>
    </row>
    <row r="214" spans="3:7" hidden="1" x14ac:dyDescent="0.3">
      <c r="C214" s="10" t="s">
        <v>207</v>
      </c>
      <c r="D214" s="11" t="s">
        <v>2034</v>
      </c>
      <c r="E214" s="11" t="s">
        <v>1978</v>
      </c>
      <c r="F214" s="12">
        <v>30.72</v>
      </c>
    </row>
    <row r="215" spans="3:7" hidden="1" x14ac:dyDescent="0.3">
      <c r="C215" s="7" t="s">
        <v>208</v>
      </c>
      <c r="D215" s="8" t="s">
        <v>2034</v>
      </c>
      <c r="E215" s="8" t="s">
        <v>1979</v>
      </c>
      <c r="F215" s="9">
        <v>11.04</v>
      </c>
    </row>
    <row r="216" spans="3:7" hidden="1" x14ac:dyDescent="0.3">
      <c r="C216" s="10" t="s">
        <v>209</v>
      </c>
      <c r="D216" s="11" t="s">
        <v>2034</v>
      </c>
      <c r="E216" s="11" t="s">
        <v>2015</v>
      </c>
      <c r="F216" s="12">
        <v>26.16</v>
      </c>
    </row>
    <row r="217" spans="3:7" hidden="1" x14ac:dyDescent="0.3">
      <c r="C217" s="7" t="s">
        <v>210</v>
      </c>
      <c r="D217" s="8" t="s">
        <v>2041</v>
      </c>
      <c r="E217" s="8" t="s">
        <v>2000</v>
      </c>
      <c r="F217" s="9">
        <v>76.540000000000006</v>
      </c>
    </row>
    <row r="218" spans="3:7" hidden="1" x14ac:dyDescent="0.3">
      <c r="C218" s="10" t="s">
        <v>211</v>
      </c>
      <c r="D218" s="11" t="s">
        <v>2038</v>
      </c>
      <c r="E218" s="11" t="s">
        <v>2015</v>
      </c>
      <c r="F218" s="12">
        <v>26.16</v>
      </c>
    </row>
    <row r="219" spans="3:7" hidden="1" x14ac:dyDescent="0.3">
      <c r="C219" s="7" t="s">
        <v>212</v>
      </c>
      <c r="D219" s="8" t="s">
        <v>2034</v>
      </c>
      <c r="E219" s="8" t="s">
        <v>1999</v>
      </c>
      <c r="F219" s="9">
        <v>14.65</v>
      </c>
    </row>
    <row r="220" spans="3:7" hidden="1" x14ac:dyDescent="0.3">
      <c r="C220" s="10" t="s">
        <v>213</v>
      </c>
      <c r="D220" s="11" t="s">
        <v>2043</v>
      </c>
      <c r="E220" s="11" t="s">
        <v>2015</v>
      </c>
      <c r="F220" s="12">
        <v>23.16</v>
      </c>
    </row>
    <row r="221" spans="3:7" hidden="1" x14ac:dyDescent="0.3">
      <c r="C221" s="7" t="s">
        <v>214</v>
      </c>
      <c r="D221" s="8" t="s">
        <v>2057</v>
      </c>
      <c r="E221" s="8" t="s">
        <v>1987</v>
      </c>
      <c r="F221" s="9">
        <v>30.23</v>
      </c>
    </row>
    <row r="222" spans="3:7" hidden="1" x14ac:dyDescent="0.3">
      <c r="C222" s="10" t="s">
        <v>215</v>
      </c>
      <c r="D222" s="11" t="s">
        <v>2034</v>
      </c>
      <c r="E222" s="11" t="s">
        <v>2005</v>
      </c>
      <c r="F222" s="12">
        <v>14.36</v>
      </c>
    </row>
    <row r="223" spans="3:7" hidden="1" x14ac:dyDescent="0.3">
      <c r="C223" s="7" t="s">
        <v>216</v>
      </c>
      <c r="D223" s="8" t="s">
        <v>2034</v>
      </c>
      <c r="E223" s="8" t="s">
        <v>2031</v>
      </c>
      <c r="F223" s="9">
        <v>18.04</v>
      </c>
    </row>
    <row r="224" spans="3:7" hidden="1" x14ac:dyDescent="0.3">
      <c r="C224" s="10" t="s">
        <v>217</v>
      </c>
      <c r="D224" s="11" t="s">
        <v>2034</v>
      </c>
      <c r="E224" s="11" t="s">
        <v>2030</v>
      </c>
      <c r="F224" s="12">
        <v>30.85</v>
      </c>
    </row>
    <row r="225" spans="3:6" hidden="1" x14ac:dyDescent="0.3">
      <c r="C225" s="7" t="s">
        <v>218</v>
      </c>
      <c r="D225" s="8" t="s">
        <v>2034</v>
      </c>
      <c r="E225" s="8" t="s">
        <v>2005</v>
      </c>
      <c r="F225" s="9">
        <v>16.02</v>
      </c>
    </row>
    <row r="226" spans="3:6" hidden="1" x14ac:dyDescent="0.3">
      <c r="C226" s="10" t="s">
        <v>219</v>
      </c>
      <c r="D226" s="11" t="s">
        <v>2038</v>
      </c>
      <c r="E226" s="11" t="s">
        <v>1997</v>
      </c>
      <c r="F226" s="12">
        <v>26.12</v>
      </c>
    </row>
    <row r="227" spans="3:6" hidden="1" x14ac:dyDescent="0.3">
      <c r="C227" s="7" t="s">
        <v>220</v>
      </c>
      <c r="D227" s="8" t="s">
        <v>2039</v>
      </c>
      <c r="E227" s="8" t="s">
        <v>2005</v>
      </c>
      <c r="F227" s="9">
        <v>38.130000000000003</v>
      </c>
    </row>
    <row r="228" spans="3:6" hidden="1" x14ac:dyDescent="0.3">
      <c r="C228" s="10" t="s">
        <v>221</v>
      </c>
      <c r="D228" s="11" t="s">
        <v>2047</v>
      </c>
      <c r="E228" s="11" t="s">
        <v>2028</v>
      </c>
      <c r="F228" s="12">
        <v>16.43</v>
      </c>
    </row>
    <row r="229" spans="3:6" hidden="1" x14ac:dyDescent="0.3">
      <c r="C229" s="7" t="s">
        <v>222</v>
      </c>
      <c r="D229" s="8" t="s">
        <v>2040</v>
      </c>
      <c r="E229" s="8" t="s">
        <v>2031</v>
      </c>
      <c r="F229" s="9">
        <v>13.88</v>
      </c>
    </row>
    <row r="230" spans="3:6" hidden="1" x14ac:dyDescent="0.3">
      <c r="C230" s="10" t="s">
        <v>223</v>
      </c>
      <c r="D230" s="11" t="s">
        <v>2038</v>
      </c>
      <c r="E230" s="11" t="s">
        <v>1998</v>
      </c>
      <c r="F230" s="12">
        <v>10.02</v>
      </c>
    </row>
    <row r="231" spans="3:6" hidden="1" x14ac:dyDescent="0.3">
      <c r="C231" s="7" t="s">
        <v>224</v>
      </c>
      <c r="D231" s="8" t="s">
        <v>2038</v>
      </c>
      <c r="E231" s="8" t="s">
        <v>2000</v>
      </c>
      <c r="F231" s="9">
        <v>31.36</v>
      </c>
    </row>
    <row r="232" spans="3:6" hidden="1" x14ac:dyDescent="0.3">
      <c r="C232" s="10" t="s">
        <v>225</v>
      </c>
      <c r="D232" s="11" t="s">
        <v>2034</v>
      </c>
      <c r="E232" s="11" t="s">
        <v>2031</v>
      </c>
      <c r="F232" s="12">
        <v>15.36</v>
      </c>
    </row>
    <row r="233" spans="3:6" hidden="1" x14ac:dyDescent="0.3">
      <c r="C233" s="7" t="s">
        <v>226</v>
      </c>
      <c r="D233" s="8" t="s">
        <v>2038</v>
      </c>
      <c r="E233" s="8" t="s">
        <v>2028</v>
      </c>
      <c r="F233" s="9">
        <v>27.24</v>
      </c>
    </row>
    <row r="234" spans="3:6" hidden="1" x14ac:dyDescent="0.3">
      <c r="C234" s="10" t="s">
        <v>227</v>
      </c>
      <c r="D234" s="11" t="s">
        <v>2034</v>
      </c>
      <c r="E234" s="11" t="s">
        <v>2023</v>
      </c>
      <c r="F234" s="12">
        <v>22.39</v>
      </c>
    </row>
    <row r="235" spans="3:6" hidden="1" x14ac:dyDescent="0.3">
      <c r="C235" s="7" t="s">
        <v>228</v>
      </c>
      <c r="D235" s="8" t="s">
        <v>2034</v>
      </c>
      <c r="E235" s="8" t="s">
        <v>2031</v>
      </c>
      <c r="F235" s="9">
        <v>13.55</v>
      </c>
    </row>
    <row r="236" spans="3:6" hidden="1" x14ac:dyDescent="0.3">
      <c r="C236" s="10" t="s">
        <v>229</v>
      </c>
      <c r="D236" s="11" t="s">
        <v>2035</v>
      </c>
      <c r="E236" s="11" t="s">
        <v>1979</v>
      </c>
      <c r="F236" s="12">
        <v>8.0500000000000007</v>
      </c>
    </row>
    <row r="237" spans="3:6" hidden="1" x14ac:dyDescent="0.3">
      <c r="C237" s="7" t="s">
        <v>230</v>
      </c>
      <c r="D237" s="8" t="s">
        <v>2034</v>
      </c>
      <c r="E237" s="8" t="s">
        <v>2005</v>
      </c>
      <c r="F237" s="9">
        <v>13.93</v>
      </c>
    </row>
    <row r="238" spans="3:6" hidden="1" x14ac:dyDescent="0.3">
      <c r="C238" s="10" t="s">
        <v>231</v>
      </c>
      <c r="D238" s="11" t="s">
        <v>2034</v>
      </c>
      <c r="E238" s="11" t="s">
        <v>2023</v>
      </c>
      <c r="F238" s="12">
        <v>43.21</v>
      </c>
    </row>
    <row r="239" spans="3:6" hidden="1" x14ac:dyDescent="0.3">
      <c r="C239" s="7" t="s">
        <v>232</v>
      </c>
      <c r="D239" s="8" t="s">
        <v>2039</v>
      </c>
      <c r="E239" s="8" t="s">
        <v>1993</v>
      </c>
      <c r="F239" s="9">
        <v>31.75</v>
      </c>
    </row>
    <row r="240" spans="3:6" hidden="1" x14ac:dyDescent="0.3">
      <c r="C240" s="10" t="s">
        <v>233</v>
      </c>
      <c r="D240" s="11" t="s">
        <v>2038</v>
      </c>
      <c r="E240" s="11" t="s">
        <v>1992</v>
      </c>
      <c r="F240" s="12">
        <v>84.22</v>
      </c>
    </row>
    <row r="241" spans="3:6" hidden="1" x14ac:dyDescent="0.3">
      <c r="C241" s="7" t="s">
        <v>234</v>
      </c>
      <c r="D241" s="8" t="s">
        <v>2059</v>
      </c>
      <c r="E241" s="8" t="s">
        <v>2003</v>
      </c>
      <c r="F241" s="9">
        <v>11.09</v>
      </c>
    </row>
    <row r="242" spans="3:6" hidden="1" x14ac:dyDescent="0.3">
      <c r="C242" s="10" t="s">
        <v>235</v>
      </c>
      <c r="D242" s="11" t="s">
        <v>2041</v>
      </c>
      <c r="E242" s="11" t="s">
        <v>2015</v>
      </c>
      <c r="F242" s="12">
        <v>50.56</v>
      </c>
    </row>
    <row r="243" spans="3:6" hidden="1" x14ac:dyDescent="0.3">
      <c r="C243" s="7" t="s">
        <v>236</v>
      </c>
      <c r="D243" s="8" t="s">
        <v>2034</v>
      </c>
      <c r="E243" s="8" t="s">
        <v>1998</v>
      </c>
      <c r="F243" s="9">
        <v>11.55</v>
      </c>
    </row>
    <row r="244" spans="3:6" hidden="1" x14ac:dyDescent="0.3">
      <c r="C244" s="10" t="s">
        <v>237</v>
      </c>
      <c r="D244" s="11" t="s">
        <v>2034</v>
      </c>
      <c r="E244" s="11" t="s">
        <v>2026</v>
      </c>
      <c r="F244" s="12">
        <v>12.89</v>
      </c>
    </row>
    <row r="245" spans="3:6" hidden="1" x14ac:dyDescent="0.3">
      <c r="C245" s="7" t="s">
        <v>238</v>
      </c>
      <c r="D245" s="8" t="s">
        <v>2034</v>
      </c>
      <c r="E245" s="8" t="s">
        <v>1987</v>
      </c>
      <c r="F245" s="9">
        <v>22.01</v>
      </c>
    </row>
    <row r="246" spans="3:6" hidden="1" x14ac:dyDescent="0.3">
      <c r="C246" s="10" t="s">
        <v>239</v>
      </c>
      <c r="D246" s="11" t="s">
        <v>2034</v>
      </c>
      <c r="E246" s="11" t="s">
        <v>1986</v>
      </c>
      <c r="F246" s="12">
        <v>18.239999999999998</v>
      </c>
    </row>
    <row r="247" spans="3:6" hidden="1" x14ac:dyDescent="0.3">
      <c r="C247" s="7" t="s">
        <v>240</v>
      </c>
      <c r="D247" s="8" t="s">
        <v>2060</v>
      </c>
      <c r="E247" s="8" t="s">
        <v>1993</v>
      </c>
      <c r="F247" s="9">
        <v>15.33</v>
      </c>
    </row>
    <row r="248" spans="3:6" hidden="1" x14ac:dyDescent="0.3">
      <c r="C248" s="10" t="s">
        <v>241</v>
      </c>
      <c r="D248" s="11" t="s">
        <v>2036</v>
      </c>
      <c r="E248" s="11" t="s">
        <v>2022</v>
      </c>
      <c r="F248" s="12">
        <v>14.72</v>
      </c>
    </row>
    <row r="249" spans="3:6" hidden="1" x14ac:dyDescent="0.3">
      <c r="C249" s="7" t="s">
        <v>242</v>
      </c>
      <c r="D249" s="8" t="s">
        <v>2035</v>
      </c>
      <c r="E249" s="8" t="s">
        <v>2001</v>
      </c>
      <c r="F249" s="9">
        <v>12.06</v>
      </c>
    </row>
    <row r="250" spans="3:6" hidden="1" x14ac:dyDescent="0.3">
      <c r="C250" s="10" t="s">
        <v>243</v>
      </c>
      <c r="D250" s="11" t="s">
        <v>2034</v>
      </c>
      <c r="E250" s="11" t="s">
        <v>2022</v>
      </c>
      <c r="F250" s="12">
        <v>10.74</v>
      </c>
    </row>
    <row r="251" spans="3:6" hidden="1" x14ac:dyDescent="0.3">
      <c r="C251" s="7" t="s">
        <v>244</v>
      </c>
      <c r="D251" s="8" t="s">
        <v>2034</v>
      </c>
      <c r="E251" s="8" t="s">
        <v>1979</v>
      </c>
      <c r="F251" s="9">
        <v>8.31</v>
      </c>
    </row>
    <row r="252" spans="3:6" hidden="1" x14ac:dyDescent="0.3">
      <c r="C252" s="10" t="s">
        <v>245</v>
      </c>
      <c r="D252" s="11" t="s">
        <v>2034</v>
      </c>
      <c r="E252" s="11" t="s">
        <v>2026</v>
      </c>
      <c r="F252" s="12">
        <v>10.49</v>
      </c>
    </row>
    <row r="253" spans="3:6" hidden="1" x14ac:dyDescent="0.3">
      <c r="C253" s="7" t="s">
        <v>246</v>
      </c>
      <c r="D253" s="8" t="s">
        <v>2034</v>
      </c>
      <c r="E253" s="8" t="s">
        <v>2030</v>
      </c>
      <c r="F253" s="9">
        <v>12.99</v>
      </c>
    </row>
    <row r="254" spans="3:6" hidden="1" x14ac:dyDescent="0.3">
      <c r="C254" s="10" t="s">
        <v>247</v>
      </c>
      <c r="D254" s="11" t="s">
        <v>2034</v>
      </c>
      <c r="E254" s="11" t="s">
        <v>2002</v>
      </c>
      <c r="F254" s="12">
        <v>16.68</v>
      </c>
    </row>
    <row r="255" spans="3:6" hidden="1" x14ac:dyDescent="0.3">
      <c r="C255" s="7" t="s">
        <v>248</v>
      </c>
      <c r="D255" s="8" t="s">
        <v>2038</v>
      </c>
      <c r="E255" s="8" t="s">
        <v>2031</v>
      </c>
      <c r="F255" s="9">
        <v>19.899999999999999</v>
      </c>
    </row>
    <row r="256" spans="3:6" hidden="1" x14ac:dyDescent="0.3">
      <c r="C256" s="10" t="s">
        <v>249</v>
      </c>
      <c r="D256" s="11" t="s">
        <v>2038</v>
      </c>
      <c r="E256" s="11" t="s">
        <v>1999</v>
      </c>
      <c r="F256" s="12">
        <v>10.48</v>
      </c>
    </row>
    <row r="257" spans="3:7" hidden="1" x14ac:dyDescent="0.3">
      <c r="C257" s="7" t="s">
        <v>250</v>
      </c>
      <c r="D257" s="8" t="s">
        <v>2038</v>
      </c>
      <c r="E257" s="8" t="s">
        <v>2031</v>
      </c>
      <c r="F257" s="9">
        <v>24.38</v>
      </c>
    </row>
    <row r="258" spans="3:7" hidden="1" x14ac:dyDescent="0.3">
      <c r="C258" s="10" t="s">
        <v>251</v>
      </c>
      <c r="D258" s="11" t="s">
        <v>2039</v>
      </c>
      <c r="E258" s="11" t="s">
        <v>1993</v>
      </c>
      <c r="F258" s="12">
        <v>18.88</v>
      </c>
    </row>
    <row r="259" spans="3:7" hidden="1" x14ac:dyDescent="0.3">
      <c r="C259" s="7" t="s">
        <v>252</v>
      </c>
      <c r="D259" s="8" t="s">
        <v>2034</v>
      </c>
      <c r="E259" s="8" t="s">
        <v>2002</v>
      </c>
      <c r="F259" s="9">
        <v>24.46</v>
      </c>
    </row>
    <row r="260" spans="3:7" hidden="1" x14ac:dyDescent="0.3">
      <c r="C260" s="10" t="s">
        <v>253</v>
      </c>
      <c r="D260" s="11" t="s">
        <v>2061</v>
      </c>
      <c r="E260" s="11" t="s">
        <v>2022</v>
      </c>
      <c r="F260" s="12">
        <v>13.27</v>
      </c>
    </row>
    <row r="261" spans="3:7" hidden="1" x14ac:dyDescent="0.3">
      <c r="C261" s="7" t="s">
        <v>254</v>
      </c>
      <c r="D261" s="8" t="s">
        <v>2035</v>
      </c>
      <c r="E261" s="8" t="s">
        <v>2031</v>
      </c>
      <c r="F261" s="9">
        <v>23.11</v>
      </c>
    </row>
    <row r="262" spans="3:7" hidden="1" x14ac:dyDescent="0.3">
      <c r="C262" s="10" t="s">
        <v>255</v>
      </c>
      <c r="D262" s="11" t="s">
        <v>2034</v>
      </c>
      <c r="E262" s="11" t="s">
        <v>2022</v>
      </c>
      <c r="F262" s="12">
        <v>20.99</v>
      </c>
    </row>
    <row r="263" spans="3:7" hidden="1" x14ac:dyDescent="0.3">
      <c r="C263" s="7" t="s">
        <v>256</v>
      </c>
      <c r="D263" s="8" t="s">
        <v>2035</v>
      </c>
      <c r="E263" s="8" t="s">
        <v>1978</v>
      </c>
      <c r="F263" s="9">
        <v>18.93</v>
      </c>
    </row>
    <row r="264" spans="3:7" hidden="1" x14ac:dyDescent="0.3">
      <c r="C264" s="10" t="s">
        <v>257</v>
      </c>
      <c r="D264" s="11" t="s">
        <v>2039</v>
      </c>
      <c r="E264" s="11" t="s">
        <v>1993</v>
      </c>
      <c r="F264" s="12">
        <v>26.49</v>
      </c>
    </row>
    <row r="265" spans="3:7" x14ac:dyDescent="0.3">
      <c r="C265" s="7" t="s">
        <v>138</v>
      </c>
      <c r="D265" s="8" t="s">
        <v>2046</v>
      </c>
      <c r="E265" s="8" t="s">
        <v>2022</v>
      </c>
      <c r="F265" s="9">
        <v>35.08</v>
      </c>
      <c r="G265" s="26">
        <f>F265*$G$2</f>
        <v>7.016</v>
      </c>
    </row>
    <row r="266" spans="3:7" hidden="1" x14ac:dyDescent="0.3">
      <c r="C266" s="10" t="s">
        <v>259</v>
      </c>
      <c r="D266" s="11" t="s">
        <v>2039</v>
      </c>
      <c r="E266" s="11" t="s">
        <v>2023</v>
      </c>
      <c r="F266" s="12">
        <v>32.85</v>
      </c>
    </row>
    <row r="267" spans="3:7" hidden="1" x14ac:dyDescent="0.3">
      <c r="C267" s="7" t="s">
        <v>260</v>
      </c>
      <c r="D267" s="8" t="s">
        <v>2057</v>
      </c>
      <c r="E267" s="8" t="s">
        <v>1979</v>
      </c>
      <c r="F267" s="9">
        <v>9.01</v>
      </c>
    </row>
    <row r="268" spans="3:7" hidden="1" x14ac:dyDescent="0.3">
      <c r="C268" s="10" t="s">
        <v>261</v>
      </c>
      <c r="D268" s="11" t="s">
        <v>2034</v>
      </c>
      <c r="E268" s="11" t="s">
        <v>2023</v>
      </c>
      <c r="F268" s="12">
        <v>54.28</v>
      </c>
    </row>
    <row r="269" spans="3:7" hidden="1" x14ac:dyDescent="0.3">
      <c r="C269" s="7" t="s">
        <v>262</v>
      </c>
      <c r="D269" s="8" t="s">
        <v>2057</v>
      </c>
      <c r="E269" s="8" t="s">
        <v>1979</v>
      </c>
      <c r="F269" s="9">
        <v>12.14</v>
      </c>
    </row>
    <row r="270" spans="3:7" hidden="1" x14ac:dyDescent="0.3">
      <c r="C270" s="10" t="s">
        <v>263</v>
      </c>
      <c r="D270" s="11" t="s">
        <v>2034</v>
      </c>
      <c r="E270" s="11" t="s">
        <v>1979</v>
      </c>
      <c r="F270" s="12">
        <v>7.83</v>
      </c>
    </row>
    <row r="271" spans="3:7" hidden="1" x14ac:dyDescent="0.3">
      <c r="C271" s="7" t="s">
        <v>264</v>
      </c>
      <c r="D271" s="8" t="s">
        <v>2062</v>
      </c>
      <c r="E271" s="8" t="s">
        <v>1979</v>
      </c>
      <c r="F271" s="9">
        <v>7.58</v>
      </c>
    </row>
    <row r="272" spans="3:7" hidden="1" x14ac:dyDescent="0.3">
      <c r="C272" s="10" t="s">
        <v>265</v>
      </c>
      <c r="D272" s="11" t="s">
        <v>2034</v>
      </c>
      <c r="E272" s="11" t="s">
        <v>1978</v>
      </c>
      <c r="F272" s="12">
        <v>21.24</v>
      </c>
    </row>
    <row r="273" spans="3:6" hidden="1" x14ac:dyDescent="0.3">
      <c r="C273" s="7" t="s">
        <v>266</v>
      </c>
      <c r="D273" s="8" t="s">
        <v>2036</v>
      </c>
      <c r="E273" s="8" t="s">
        <v>2028</v>
      </c>
      <c r="F273" s="9">
        <v>13.81</v>
      </c>
    </row>
    <row r="274" spans="3:6" hidden="1" x14ac:dyDescent="0.3">
      <c r="C274" s="10" t="s">
        <v>267</v>
      </c>
      <c r="D274" s="11" t="s">
        <v>2038</v>
      </c>
      <c r="E274" s="11" t="s">
        <v>2029</v>
      </c>
      <c r="F274" s="12">
        <v>19.12</v>
      </c>
    </row>
    <row r="275" spans="3:6" hidden="1" x14ac:dyDescent="0.3">
      <c r="C275" s="7" t="s">
        <v>268</v>
      </c>
      <c r="D275" s="8" t="s">
        <v>2034</v>
      </c>
      <c r="E275" s="8" t="s">
        <v>2030</v>
      </c>
      <c r="F275" s="9">
        <v>13.58</v>
      </c>
    </row>
    <row r="276" spans="3:6" hidden="1" x14ac:dyDescent="0.3">
      <c r="C276" s="10" t="s">
        <v>269</v>
      </c>
      <c r="D276" s="11" t="s">
        <v>2034</v>
      </c>
      <c r="E276" s="11" t="s">
        <v>2002</v>
      </c>
      <c r="F276" s="12">
        <v>11</v>
      </c>
    </row>
    <row r="277" spans="3:6" hidden="1" x14ac:dyDescent="0.3">
      <c r="C277" s="7" t="s">
        <v>270</v>
      </c>
      <c r="D277" s="8" t="s">
        <v>2034</v>
      </c>
      <c r="E277" s="8" t="s">
        <v>1992</v>
      </c>
      <c r="F277" s="9">
        <v>17.88</v>
      </c>
    </row>
    <row r="278" spans="3:6" hidden="1" x14ac:dyDescent="0.3">
      <c r="C278" s="10" t="s">
        <v>271</v>
      </c>
      <c r="D278" s="11" t="s">
        <v>2034</v>
      </c>
      <c r="E278" s="11" t="s">
        <v>2015</v>
      </c>
      <c r="F278" s="12">
        <v>24.1</v>
      </c>
    </row>
    <row r="279" spans="3:6" hidden="1" x14ac:dyDescent="0.3">
      <c r="C279" s="7" t="s">
        <v>272</v>
      </c>
      <c r="D279" s="8" t="s">
        <v>2039</v>
      </c>
      <c r="E279" s="8" t="s">
        <v>2001</v>
      </c>
      <c r="F279" s="9">
        <v>15.39</v>
      </c>
    </row>
    <row r="280" spans="3:6" hidden="1" x14ac:dyDescent="0.3">
      <c r="C280" s="10" t="s">
        <v>273</v>
      </c>
      <c r="D280" s="11" t="s">
        <v>2038</v>
      </c>
      <c r="E280" s="11" t="s">
        <v>2005</v>
      </c>
      <c r="F280" s="12">
        <v>18.760000000000002</v>
      </c>
    </row>
    <row r="281" spans="3:6" hidden="1" x14ac:dyDescent="0.3">
      <c r="C281" s="7" t="s">
        <v>274</v>
      </c>
      <c r="D281" s="8" t="s">
        <v>2034</v>
      </c>
      <c r="E281" s="8" t="s">
        <v>2001</v>
      </c>
      <c r="F281" s="9">
        <v>35.83</v>
      </c>
    </row>
    <row r="282" spans="3:6" hidden="1" x14ac:dyDescent="0.3">
      <c r="C282" s="10" t="s">
        <v>275</v>
      </c>
      <c r="D282" s="11" t="s">
        <v>2038</v>
      </c>
      <c r="E282" s="11" t="s">
        <v>2030</v>
      </c>
      <c r="F282" s="12">
        <v>13.15</v>
      </c>
    </row>
    <row r="283" spans="3:6" hidden="1" x14ac:dyDescent="0.3">
      <c r="C283" s="7" t="s">
        <v>276</v>
      </c>
      <c r="D283" s="8" t="s">
        <v>2034</v>
      </c>
      <c r="E283" s="8" t="s">
        <v>1979</v>
      </c>
      <c r="F283" s="9">
        <v>7.5</v>
      </c>
    </row>
    <row r="284" spans="3:6" hidden="1" x14ac:dyDescent="0.3">
      <c r="C284" s="10" t="s">
        <v>277</v>
      </c>
      <c r="D284" s="11" t="s">
        <v>2034</v>
      </c>
      <c r="E284" s="11" t="s">
        <v>2005</v>
      </c>
      <c r="F284" s="12">
        <v>10.5</v>
      </c>
    </row>
    <row r="285" spans="3:6" hidden="1" x14ac:dyDescent="0.3">
      <c r="C285" s="7" t="s">
        <v>278</v>
      </c>
      <c r="D285" s="8" t="s">
        <v>2034</v>
      </c>
      <c r="E285" s="8" t="s">
        <v>2001</v>
      </c>
      <c r="F285" s="9">
        <v>15.04</v>
      </c>
    </row>
    <row r="286" spans="3:6" hidden="1" x14ac:dyDescent="0.3">
      <c r="C286" s="10" t="s">
        <v>279</v>
      </c>
      <c r="D286" s="11" t="s">
        <v>2051</v>
      </c>
      <c r="E286" s="11" t="s">
        <v>2005</v>
      </c>
      <c r="F286" s="12">
        <v>13.09</v>
      </c>
    </row>
    <row r="287" spans="3:6" hidden="1" x14ac:dyDescent="0.3">
      <c r="C287" s="7" t="s">
        <v>280</v>
      </c>
      <c r="D287" s="8" t="s">
        <v>2034</v>
      </c>
      <c r="E287" s="8" t="s">
        <v>2027</v>
      </c>
      <c r="F287" s="9">
        <v>16.190000000000001</v>
      </c>
    </row>
    <row r="288" spans="3:6" hidden="1" x14ac:dyDescent="0.3">
      <c r="C288" s="10" t="s">
        <v>281</v>
      </c>
      <c r="D288" s="11" t="s">
        <v>2034</v>
      </c>
      <c r="E288" s="11" t="s">
        <v>2025</v>
      </c>
      <c r="F288" s="12">
        <v>13.39</v>
      </c>
    </row>
    <row r="289" spans="3:6" hidden="1" x14ac:dyDescent="0.3">
      <c r="C289" s="7" t="s">
        <v>282</v>
      </c>
      <c r="D289" s="8" t="s">
        <v>2063</v>
      </c>
      <c r="E289" s="8" t="s">
        <v>1979</v>
      </c>
      <c r="F289" s="9">
        <v>9.34</v>
      </c>
    </row>
    <row r="290" spans="3:6" hidden="1" x14ac:dyDescent="0.3">
      <c r="C290" s="10" t="s">
        <v>283</v>
      </c>
      <c r="D290" s="11" t="s">
        <v>2043</v>
      </c>
      <c r="E290" s="11" t="s">
        <v>1979</v>
      </c>
      <c r="F290" s="12">
        <v>13.21</v>
      </c>
    </row>
    <row r="291" spans="3:6" hidden="1" x14ac:dyDescent="0.3">
      <c r="C291" s="7" t="s">
        <v>284</v>
      </c>
      <c r="D291" s="8" t="s">
        <v>2034</v>
      </c>
      <c r="E291" s="8" t="s">
        <v>2023</v>
      </c>
      <c r="F291" s="9">
        <v>37.01</v>
      </c>
    </row>
    <row r="292" spans="3:6" hidden="1" x14ac:dyDescent="0.3">
      <c r="C292" s="10" t="s">
        <v>285</v>
      </c>
      <c r="D292" s="11" t="s">
        <v>2034</v>
      </c>
      <c r="E292" s="11" t="s">
        <v>2023</v>
      </c>
      <c r="F292" s="12">
        <v>38.950000000000003</v>
      </c>
    </row>
    <row r="293" spans="3:6" hidden="1" x14ac:dyDescent="0.3">
      <c r="C293" s="7" t="s">
        <v>286</v>
      </c>
      <c r="D293" s="8" t="s">
        <v>2034</v>
      </c>
      <c r="E293" s="8" t="s">
        <v>2031</v>
      </c>
      <c r="F293" s="9">
        <v>10.44</v>
      </c>
    </row>
    <row r="294" spans="3:6" hidden="1" x14ac:dyDescent="0.3">
      <c r="C294" s="10" t="s">
        <v>287</v>
      </c>
      <c r="D294" s="11" t="s">
        <v>2038</v>
      </c>
      <c r="E294" s="11" t="s">
        <v>1997</v>
      </c>
      <c r="F294" s="12">
        <v>22.8</v>
      </c>
    </row>
    <row r="295" spans="3:6" hidden="1" x14ac:dyDescent="0.3">
      <c r="C295" s="7" t="s">
        <v>288</v>
      </c>
      <c r="D295" s="8" t="s">
        <v>2034</v>
      </c>
      <c r="E295" s="8" t="s">
        <v>1979</v>
      </c>
      <c r="F295" s="9">
        <v>7.9</v>
      </c>
    </row>
    <row r="296" spans="3:6" hidden="1" x14ac:dyDescent="0.3">
      <c r="C296" s="10" t="s">
        <v>289</v>
      </c>
      <c r="D296" s="11" t="s">
        <v>2034</v>
      </c>
      <c r="E296" s="11" t="s">
        <v>1979</v>
      </c>
      <c r="F296" s="12">
        <v>6.66</v>
      </c>
    </row>
    <row r="297" spans="3:6" hidden="1" x14ac:dyDescent="0.3">
      <c r="C297" s="7" t="s">
        <v>290</v>
      </c>
      <c r="D297" s="8" t="s">
        <v>2038</v>
      </c>
      <c r="E297" s="8" t="s">
        <v>2022</v>
      </c>
      <c r="F297" s="9">
        <v>35.54</v>
      </c>
    </row>
    <row r="298" spans="3:6" hidden="1" x14ac:dyDescent="0.3">
      <c r="C298" s="10" t="s">
        <v>291</v>
      </c>
      <c r="D298" s="11" t="s">
        <v>2047</v>
      </c>
      <c r="E298" s="11" t="s">
        <v>1998</v>
      </c>
      <c r="F298" s="12">
        <v>20.27</v>
      </c>
    </row>
    <row r="299" spans="3:6" hidden="1" x14ac:dyDescent="0.3">
      <c r="C299" s="7" t="s">
        <v>292</v>
      </c>
      <c r="D299" s="8" t="s">
        <v>2062</v>
      </c>
      <c r="E299" s="8" t="s">
        <v>1979</v>
      </c>
      <c r="F299" s="9">
        <v>7.31</v>
      </c>
    </row>
    <row r="300" spans="3:6" hidden="1" x14ac:dyDescent="0.3">
      <c r="C300" s="10" t="s">
        <v>293</v>
      </c>
      <c r="D300" s="11" t="s">
        <v>2043</v>
      </c>
      <c r="E300" s="11" t="s">
        <v>1979</v>
      </c>
      <c r="F300" s="12">
        <v>8.68</v>
      </c>
    </row>
    <row r="301" spans="3:6" hidden="1" x14ac:dyDescent="0.3">
      <c r="C301" s="7" t="s">
        <v>2006</v>
      </c>
      <c r="D301" s="8" t="s">
        <v>2045</v>
      </c>
      <c r="E301" s="8" t="s">
        <v>2005</v>
      </c>
      <c r="F301" s="9">
        <v>9.41</v>
      </c>
    </row>
    <row r="302" spans="3:6" hidden="1" x14ac:dyDescent="0.3">
      <c r="C302" s="10" t="s">
        <v>294</v>
      </c>
      <c r="D302" s="11" t="s">
        <v>2061</v>
      </c>
      <c r="E302" s="11" t="s">
        <v>2022</v>
      </c>
      <c r="F302" s="12">
        <v>15.08</v>
      </c>
    </row>
    <row r="303" spans="3:6" hidden="1" x14ac:dyDescent="0.3">
      <c r="C303" s="7" t="s">
        <v>295</v>
      </c>
      <c r="D303" s="8" t="s">
        <v>2034</v>
      </c>
      <c r="E303" s="8" t="s">
        <v>2002</v>
      </c>
      <c r="F303" s="9">
        <v>85.88</v>
      </c>
    </row>
    <row r="304" spans="3:6" hidden="1" x14ac:dyDescent="0.3">
      <c r="C304" s="10" t="s">
        <v>296</v>
      </c>
      <c r="D304" s="11" t="s">
        <v>2060</v>
      </c>
      <c r="E304" s="11" t="s">
        <v>2028</v>
      </c>
      <c r="F304" s="12">
        <v>17.170000000000002</v>
      </c>
    </row>
    <row r="305" spans="3:6" hidden="1" x14ac:dyDescent="0.3">
      <c r="C305" s="7" t="s">
        <v>297</v>
      </c>
      <c r="D305" s="8" t="s">
        <v>2035</v>
      </c>
      <c r="E305" s="8" t="s">
        <v>2022</v>
      </c>
      <c r="F305" s="9">
        <v>9.32</v>
      </c>
    </row>
    <row r="306" spans="3:6" hidden="1" x14ac:dyDescent="0.3">
      <c r="C306" s="10" t="s">
        <v>298</v>
      </c>
      <c r="D306" s="11" t="s">
        <v>2034</v>
      </c>
      <c r="E306" s="11" t="s">
        <v>1998</v>
      </c>
      <c r="F306" s="12">
        <v>6.52</v>
      </c>
    </row>
    <row r="307" spans="3:6" hidden="1" x14ac:dyDescent="0.3">
      <c r="C307" s="7" t="s">
        <v>299</v>
      </c>
      <c r="D307" s="8" t="s">
        <v>2034</v>
      </c>
      <c r="E307" s="8" t="s">
        <v>2004</v>
      </c>
      <c r="F307" s="9">
        <v>15.9</v>
      </c>
    </row>
    <row r="308" spans="3:6" hidden="1" x14ac:dyDescent="0.3">
      <c r="C308" s="10" t="s">
        <v>300</v>
      </c>
      <c r="D308" s="11" t="s">
        <v>2043</v>
      </c>
      <c r="E308" s="11" t="s">
        <v>2022</v>
      </c>
      <c r="F308" s="12">
        <v>41.71</v>
      </c>
    </row>
    <row r="309" spans="3:6" hidden="1" x14ac:dyDescent="0.3">
      <c r="C309" s="7" t="s">
        <v>301</v>
      </c>
      <c r="D309" s="8" t="s">
        <v>2044</v>
      </c>
      <c r="E309" s="8" t="s">
        <v>2015</v>
      </c>
      <c r="F309" s="9">
        <v>10.37</v>
      </c>
    </row>
    <row r="310" spans="3:6" hidden="1" x14ac:dyDescent="0.3">
      <c r="C310" s="10" t="s">
        <v>302</v>
      </c>
      <c r="D310" s="11" t="s">
        <v>2034</v>
      </c>
      <c r="E310" s="11" t="s">
        <v>1978</v>
      </c>
      <c r="F310" s="12">
        <v>21.89</v>
      </c>
    </row>
    <row r="311" spans="3:6" hidden="1" x14ac:dyDescent="0.3">
      <c r="C311" s="7" t="s">
        <v>303</v>
      </c>
      <c r="D311" s="8" t="s">
        <v>1977</v>
      </c>
      <c r="E311" s="8" t="s">
        <v>1979</v>
      </c>
      <c r="F311" s="9">
        <v>9.09</v>
      </c>
    </row>
    <row r="312" spans="3:6" hidden="1" x14ac:dyDescent="0.3">
      <c r="C312" s="10" t="s">
        <v>304</v>
      </c>
      <c r="D312" s="11" t="s">
        <v>2057</v>
      </c>
      <c r="E312" s="11" t="s">
        <v>2028</v>
      </c>
      <c r="F312" s="12">
        <v>11.02</v>
      </c>
    </row>
    <row r="313" spans="3:6" hidden="1" x14ac:dyDescent="0.3">
      <c r="C313" s="7" t="s">
        <v>305</v>
      </c>
      <c r="D313" s="8" t="s">
        <v>2047</v>
      </c>
      <c r="E313" s="8" t="s">
        <v>2022</v>
      </c>
      <c r="F313" s="9">
        <v>15.12</v>
      </c>
    </row>
    <row r="314" spans="3:6" hidden="1" x14ac:dyDescent="0.3">
      <c r="C314" s="10" t="s">
        <v>306</v>
      </c>
      <c r="D314" s="11" t="s">
        <v>2061</v>
      </c>
      <c r="E314" s="11" t="s">
        <v>1979</v>
      </c>
      <c r="F314" s="12">
        <v>12.47</v>
      </c>
    </row>
    <row r="315" spans="3:6" hidden="1" x14ac:dyDescent="0.3">
      <c r="C315" s="7" t="s">
        <v>307</v>
      </c>
      <c r="D315" s="8" t="s">
        <v>2061</v>
      </c>
      <c r="E315" s="8" t="s">
        <v>2022</v>
      </c>
      <c r="F315" s="9">
        <v>30.13</v>
      </c>
    </row>
    <row r="316" spans="3:6" hidden="1" x14ac:dyDescent="0.3">
      <c r="C316" s="10" t="s">
        <v>308</v>
      </c>
      <c r="D316" s="11" t="s">
        <v>2038</v>
      </c>
      <c r="E316" s="11" t="s">
        <v>2001</v>
      </c>
      <c r="F316" s="12">
        <v>18.75</v>
      </c>
    </row>
    <row r="317" spans="3:6" hidden="1" x14ac:dyDescent="0.3">
      <c r="C317" s="7" t="s">
        <v>309</v>
      </c>
      <c r="D317" s="8" t="s">
        <v>2038</v>
      </c>
      <c r="E317" s="8" t="s">
        <v>2004</v>
      </c>
      <c r="F317" s="9">
        <v>23.58</v>
      </c>
    </row>
    <row r="318" spans="3:6" hidden="1" x14ac:dyDescent="0.3">
      <c r="C318" s="10" t="s">
        <v>310</v>
      </c>
      <c r="D318" s="11" t="s">
        <v>2043</v>
      </c>
      <c r="E318" s="11" t="s">
        <v>1997</v>
      </c>
      <c r="F318" s="12">
        <v>43.98</v>
      </c>
    </row>
    <row r="319" spans="3:6" hidden="1" x14ac:dyDescent="0.3">
      <c r="C319" s="7" t="s">
        <v>311</v>
      </c>
      <c r="D319" s="8" t="s">
        <v>2038</v>
      </c>
      <c r="E319" s="8" t="s">
        <v>1987</v>
      </c>
      <c r="F319" s="9">
        <v>31.82</v>
      </c>
    </row>
    <row r="320" spans="3:6" hidden="1" x14ac:dyDescent="0.3">
      <c r="C320" s="10" t="s">
        <v>312</v>
      </c>
      <c r="D320" s="11" t="s">
        <v>2039</v>
      </c>
      <c r="E320" s="11" t="s">
        <v>2027</v>
      </c>
      <c r="F320" s="12">
        <v>15.53</v>
      </c>
    </row>
    <row r="321" spans="3:6" hidden="1" x14ac:dyDescent="0.3">
      <c r="C321" s="7" t="s">
        <v>313</v>
      </c>
      <c r="D321" s="8" t="s">
        <v>2050</v>
      </c>
      <c r="E321" s="8" t="s">
        <v>2001</v>
      </c>
      <c r="F321" s="9">
        <v>11.63</v>
      </c>
    </row>
    <row r="322" spans="3:6" hidden="1" x14ac:dyDescent="0.3">
      <c r="C322" s="10" t="s">
        <v>314</v>
      </c>
      <c r="D322" s="11" t="s">
        <v>2034</v>
      </c>
      <c r="E322" s="11" t="s">
        <v>2015</v>
      </c>
      <c r="F322" s="12">
        <v>22.63</v>
      </c>
    </row>
    <row r="323" spans="3:6" hidden="1" x14ac:dyDescent="0.3">
      <c r="C323" s="7" t="s">
        <v>315</v>
      </c>
      <c r="D323" s="8" t="s">
        <v>2064</v>
      </c>
      <c r="E323" s="8" t="s">
        <v>1979</v>
      </c>
      <c r="F323" s="9">
        <v>14.29</v>
      </c>
    </row>
    <row r="324" spans="3:6" hidden="1" x14ac:dyDescent="0.3">
      <c r="C324" s="10" t="s">
        <v>316</v>
      </c>
      <c r="D324" s="11" t="s">
        <v>2065</v>
      </c>
      <c r="E324" s="11" t="s">
        <v>2005</v>
      </c>
      <c r="F324" s="12">
        <v>9.4</v>
      </c>
    </row>
    <row r="325" spans="3:6" hidden="1" x14ac:dyDescent="0.3">
      <c r="C325" s="7" t="s">
        <v>317</v>
      </c>
      <c r="D325" s="8" t="s">
        <v>2037</v>
      </c>
      <c r="E325" s="8" t="s">
        <v>1987</v>
      </c>
      <c r="F325" s="9">
        <v>21.3</v>
      </c>
    </row>
    <row r="326" spans="3:6" hidden="1" x14ac:dyDescent="0.3">
      <c r="C326" s="10" t="s">
        <v>318</v>
      </c>
      <c r="D326" s="11" t="s">
        <v>2038</v>
      </c>
      <c r="E326" s="11" t="s">
        <v>2023</v>
      </c>
      <c r="F326" s="12">
        <v>40.15</v>
      </c>
    </row>
    <row r="327" spans="3:6" hidden="1" x14ac:dyDescent="0.3">
      <c r="C327" s="7" t="s">
        <v>319</v>
      </c>
      <c r="D327" s="8" t="s">
        <v>2034</v>
      </c>
      <c r="E327" s="8" t="s">
        <v>2005</v>
      </c>
      <c r="F327" s="9">
        <v>14.3</v>
      </c>
    </row>
    <row r="328" spans="3:6" hidden="1" x14ac:dyDescent="0.3">
      <c r="C328" s="10" t="s">
        <v>320</v>
      </c>
      <c r="D328" s="11" t="s">
        <v>2034</v>
      </c>
      <c r="E328" s="11" t="s">
        <v>2023</v>
      </c>
      <c r="F328" s="12">
        <v>29.38</v>
      </c>
    </row>
    <row r="329" spans="3:6" hidden="1" x14ac:dyDescent="0.3">
      <c r="C329" s="7" t="s">
        <v>321</v>
      </c>
      <c r="D329" s="8" t="s">
        <v>2057</v>
      </c>
      <c r="E329" s="8" t="s">
        <v>1979</v>
      </c>
      <c r="F329" s="9">
        <v>7.99</v>
      </c>
    </row>
    <row r="330" spans="3:6" hidden="1" x14ac:dyDescent="0.3">
      <c r="C330" s="10" t="s">
        <v>322</v>
      </c>
      <c r="D330" s="11" t="s">
        <v>2038</v>
      </c>
      <c r="E330" s="11" t="s">
        <v>2027</v>
      </c>
      <c r="F330" s="12">
        <v>54.45</v>
      </c>
    </row>
    <row r="331" spans="3:6" hidden="1" x14ac:dyDescent="0.3">
      <c r="C331" s="7" t="s">
        <v>323</v>
      </c>
      <c r="D331" s="8" t="s">
        <v>2034</v>
      </c>
      <c r="E331" s="8" t="s">
        <v>1986</v>
      </c>
      <c r="F331" s="9">
        <v>8.83</v>
      </c>
    </row>
    <row r="332" spans="3:6" hidden="1" x14ac:dyDescent="0.3">
      <c r="C332" s="10" t="s">
        <v>324</v>
      </c>
      <c r="D332" s="11" t="s">
        <v>2038</v>
      </c>
      <c r="E332" s="11" t="s">
        <v>2027</v>
      </c>
      <c r="F332" s="12">
        <v>23.7</v>
      </c>
    </row>
    <row r="333" spans="3:6" hidden="1" x14ac:dyDescent="0.3">
      <c r="C333" s="7" t="s">
        <v>325</v>
      </c>
      <c r="D333" s="8" t="s">
        <v>2034</v>
      </c>
      <c r="E333" s="8" t="s">
        <v>2031</v>
      </c>
      <c r="F333" s="9">
        <v>11.2</v>
      </c>
    </row>
    <row r="334" spans="3:6" hidden="1" x14ac:dyDescent="0.3">
      <c r="C334" s="10" t="s">
        <v>326</v>
      </c>
      <c r="D334" s="11" t="s">
        <v>2034</v>
      </c>
      <c r="E334" s="11" t="s">
        <v>2028</v>
      </c>
      <c r="F334" s="12">
        <v>9.49</v>
      </c>
    </row>
    <row r="335" spans="3:6" hidden="1" x14ac:dyDescent="0.3">
      <c r="C335" s="7" t="s">
        <v>327</v>
      </c>
      <c r="D335" s="8" t="s">
        <v>2039</v>
      </c>
      <c r="E335" s="8" t="s">
        <v>2004</v>
      </c>
      <c r="F335" s="9">
        <v>17.91</v>
      </c>
    </row>
    <row r="336" spans="3:6" hidden="1" x14ac:dyDescent="0.3">
      <c r="C336" s="10" t="s">
        <v>328</v>
      </c>
      <c r="D336" s="11" t="s">
        <v>2039</v>
      </c>
      <c r="E336" s="11" t="s">
        <v>1987</v>
      </c>
      <c r="F336" s="12">
        <v>13.8</v>
      </c>
    </row>
    <row r="337" spans="3:7" x14ac:dyDescent="0.3">
      <c r="C337" s="7" t="s">
        <v>258</v>
      </c>
      <c r="D337" s="8" t="s">
        <v>2046</v>
      </c>
      <c r="E337" s="8" t="s">
        <v>2022</v>
      </c>
      <c r="F337" s="9">
        <v>10</v>
      </c>
      <c r="G337" s="26">
        <f>F337*$G$2</f>
        <v>2</v>
      </c>
    </row>
    <row r="338" spans="3:7" hidden="1" x14ac:dyDescent="0.3">
      <c r="C338" s="10" t="s">
        <v>330</v>
      </c>
      <c r="D338" s="11" t="s">
        <v>2038</v>
      </c>
      <c r="E338" s="11" t="s">
        <v>2029</v>
      </c>
      <c r="F338" s="12">
        <v>18.54</v>
      </c>
    </row>
    <row r="339" spans="3:7" hidden="1" x14ac:dyDescent="0.3">
      <c r="C339" s="7" t="s">
        <v>331</v>
      </c>
      <c r="D339" s="8" t="s">
        <v>2034</v>
      </c>
      <c r="E339" s="8" t="s">
        <v>2022</v>
      </c>
      <c r="F339" s="9">
        <v>7.59</v>
      </c>
    </row>
    <row r="340" spans="3:7" hidden="1" x14ac:dyDescent="0.3">
      <c r="C340" s="10" t="s">
        <v>332</v>
      </c>
      <c r="D340" s="11" t="s">
        <v>2041</v>
      </c>
      <c r="E340" s="11" t="s">
        <v>2004</v>
      </c>
      <c r="F340" s="12">
        <v>14.37</v>
      </c>
    </row>
    <row r="341" spans="3:7" hidden="1" x14ac:dyDescent="0.3">
      <c r="C341" s="7" t="s">
        <v>333</v>
      </c>
      <c r="D341" s="8" t="s">
        <v>2038</v>
      </c>
      <c r="E341" s="8" t="s">
        <v>2027</v>
      </c>
      <c r="F341" s="9">
        <v>45.3</v>
      </c>
    </row>
    <row r="342" spans="3:7" hidden="1" x14ac:dyDescent="0.3">
      <c r="C342" s="10" t="s">
        <v>334</v>
      </c>
      <c r="D342" s="11" t="s">
        <v>2043</v>
      </c>
      <c r="E342" s="11" t="s">
        <v>1979</v>
      </c>
      <c r="F342" s="12">
        <v>9.36</v>
      </c>
    </row>
    <row r="343" spans="3:7" hidden="1" x14ac:dyDescent="0.3">
      <c r="C343" s="7" t="s">
        <v>335</v>
      </c>
      <c r="D343" s="8" t="s">
        <v>2065</v>
      </c>
      <c r="E343" s="8" t="s">
        <v>2025</v>
      </c>
      <c r="F343" s="9">
        <v>8.17</v>
      </c>
    </row>
    <row r="344" spans="3:7" hidden="1" x14ac:dyDescent="0.3">
      <c r="C344" s="10" t="s">
        <v>336</v>
      </c>
      <c r="D344" s="11" t="s">
        <v>2039</v>
      </c>
      <c r="E344" s="11" t="s">
        <v>2015</v>
      </c>
      <c r="F344" s="12">
        <v>15.07</v>
      </c>
    </row>
    <row r="345" spans="3:7" hidden="1" x14ac:dyDescent="0.3">
      <c r="C345" s="7" t="s">
        <v>337</v>
      </c>
      <c r="D345" s="8" t="s">
        <v>2034</v>
      </c>
      <c r="E345" s="8" t="s">
        <v>1998</v>
      </c>
      <c r="F345" s="9">
        <v>9.01</v>
      </c>
    </row>
    <row r="346" spans="3:7" hidden="1" x14ac:dyDescent="0.3">
      <c r="C346" s="10" t="s">
        <v>338</v>
      </c>
      <c r="D346" s="11" t="s">
        <v>2049</v>
      </c>
      <c r="E346" s="11" t="s">
        <v>1979</v>
      </c>
      <c r="F346" s="12">
        <v>6.53</v>
      </c>
    </row>
    <row r="347" spans="3:7" hidden="1" x14ac:dyDescent="0.3">
      <c r="C347" s="7" t="s">
        <v>339</v>
      </c>
      <c r="D347" s="8" t="s">
        <v>2034</v>
      </c>
      <c r="E347" s="8" t="s">
        <v>1997</v>
      </c>
      <c r="F347" s="9">
        <v>27.99</v>
      </c>
    </row>
    <row r="348" spans="3:7" hidden="1" x14ac:dyDescent="0.3">
      <c r="C348" s="10" t="s">
        <v>340</v>
      </c>
      <c r="D348" s="11" t="s">
        <v>2034</v>
      </c>
      <c r="E348" s="11" t="s">
        <v>1986</v>
      </c>
      <c r="F348" s="12">
        <v>13.07</v>
      </c>
    </row>
    <row r="349" spans="3:7" hidden="1" x14ac:dyDescent="0.3">
      <c r="C349" s="7" t="s">
        <v>341</v>
      </c>
      <c r="D349" s="8" t="s">
        <v>2034</v>
      </c>
      <c r="E349" s="8" t="s">
        <v>2031</v>
      </c>
      <c r="F349" s="9">
        <v>11.99</v>
      </c>
    </row>
    <row r="350" spans="3:7" hidden="1" x14ac:dyDescent="0.3">
      <c r="C350" s="10" t="s">
        <v>342</v>
      </c>
      <c r="D350" s="11" t="s">
        <v>2038</v>
      </c>
      <c r="E350" s="11" t="s">
        <v>1998</v>
      </c>
      <c r="F350" s="12">
        <v>7.49</v>
      </c>
    </row>
    <row r="351" spans="3:7" hidden="1" x14ac:dyDescent="0.3">
      <c r="C351" s="7" t="s">
        <v>343</v>
      </c>
      <c r="D351" s="8" t="s">
        <v>2034</v>
      </c>
      <c r="E351" s="8" t="s">
        <v>2031</v>
      </c>
      <c r="F351" s="9">
        <v>11.85</v>
      </c>
    </row>
    <row r="352" spans="3:7" hidden="1" x14ac:dyDescent="0.3">
      <c r="C352" s="10" t="s">
        <v>344</v>
      </c>
      <c r="D352" s="11" t="s">
        <v>2034</v>
      </c>
      <c r="E352" s="11" t="s">
        <v>2022</v>
      </c>
      <c r="F352" s="12">
        <v>23.25</v>
      </c>
    </row>
    <row r="353" spans="3:6" hidden="1" x14ac:dyDescent="0.3">
      <c r="C353" s="7" t="s">
        <v>345</v>
      </c>
      <c r="D353" s="8" t="s">
        <v>2042</v>
      </c>
      <c r="E353" s="8" t="s">
        <v>1979</v>
      </c>
      <c r="F353" s="9">
        <v>8.84</v>
      </c>
    </row>
    <row r="354" spans="3:6" hidden="1" x14ac:dyDescent="0.3">
      <c r="C354" s="10" t="s">
        <v>346</v>
      </c>
      <c r="D354" s="11" t="s">
        <v>2034</v>
      </c>
      <c r="E354" s="11" t="s">
        <v>1979</v>
      </c>
      <c r="F354" s="12">
        <v>7.5</v>
      </c>
    </row>
    <row r="355" spans="3:6" hidden="1" x14ac:dyDescent="0.3">
      <c r="C355" s="7" t="s">
        <v>347</v>
      </c>
      <c r="D355" s="8" t="s">
        <v>2035</v>
      </c>
      <c r="E355" s="8" t="s">
        <v>2001</v>
      </c>
      <c r="F355" s="9">
        <v>11.18</v>
      </c>
    </row>
    <row r="356" spans="3:6" hidden="1" x14ac:dyDescent="0.3">
      <c r="C356" s="10" t="s">
        <v>348</v>
      </c>
      <c r="D356" s="11" t="s">
        <v>2034</v>
      </c>
      <c r="E356" s="11" t="s">
        <v>2002</v>
      </c>
      <c r="F356" s="12">
        <v>32.99</v>
      </c>
    </row>
    <row r="357" spans="3:6" hidden="1" x14ac:dyDescent="0.3">
      <c r="C357" s="7" t="s">
        <v>349</v>
      </c>
      <c r="D357" s="8" t="s">
        <v>2034</v>
      </c>
      <c r="E357" s="8" t="s">
        <v>2017</v>
      </c>
      <c r="F357" s="9">
        <v>9.61</v>
      </c>
    </row>
    <row r="358" spans="3:6" hidden="1" x14ac:dyDescent="0.3">
      <c r="C358" s="10" t="s">
        <v>350</v>
      </c>
      <c r="D358" s="11" t="s">
        <v>2039</v>
      </c>
      <c r="E358" s="11" t="s">
        <v>1988</v>
      </c>
      <c r="F358" s="12">
        <v>12.72</v>
      </c>
    </row>
    <row r="359" spans="3:6" hidden="1" x14ac:dyDescent="0.3">
      <c r="C359" s="7" t="s">
        <v>351</v>
      </c>
      <c r="D359" s="8" t="s">
        <v>2066</v>
      </c>
      <c r="E359" s="8" t="s">
        <v>2028</v>
      </c>
      <c r="F359" s="9">
        <v>7.64</v>
      </c>
    </row>
    <row r="360" spans="3:6" hidden="1" x14ac:dyDescent="0.3">
      <c r="C360" s="10" t="s">
        <v>352</v>
      </c>
      <c r="D360" s="11" t="s">
        <v>2038</v>
      </c>
      <c r="E360" s="11" t="s">
        <v>2005</v>
      </c>
      <c r="F360" s="12">
        <v>19.86</v>
      </c>
    </row>
    <row r="361" spans="3:6" hidden="1" x14ac:dyDescent="0.3">
      <c r="C361" s="7" t="s">
        <v>353</v>
      </c>
      <c r="D361" s="8" t="s">
        <v>2034</v>
      </c>
      <c r="E361" s="8" t="s">
        <v>2022</v>
      </c>
      <c r="F361" s="9">
        <v>7.12</v>
      </c>
    </row>
    <row r="362" spans="3:6" hidden="1" x14ac:dyDescent="0.3">
      <c r="C362" s="10" t="s">
        <v>354</v>
      </c>
      <c r="D362" s="11" t="s">
        <v>2034</v>
      </c>
      <c r="E362" s="11" t="s">
        <v>2030</v>
      </c>
      <c r="F362" s="12">
        <v>8.5299999999999994</v>
      </c>
    </row>
    <row r="363" spans="3:6" hidden="1" x14ac:dyDescent="0.3">
      <c r="C363" s="7" t="s">
        <v>355</v>
      </c>
      <c r="D363" s="8" t="s">
        <v>2034</v>
      </c>
      <c r="E363" s="8" t="s">
        <v>1979</v>
      </c>
      <c r="F363" s="9">
        <v>6.7</v>
      </c>
    </row>
    <row r="364" spans="3:6" hidden="1" x14ac:dyDescent="0.3">
      <c r="C364" s="10" t="s">
        <v>356</v>
      </c>
      <c r="D364" s="11" t="s">
        <v>2043</v>
      </c>
      <c r="E364" s="11" t="s">
        <v>2028</v>
      </c>
      <c r="F364" s="12">
        <v>16.489999999999998</v>
      </c>
    </row>
    <row r="365" spans="3:6" hidden="1" x14ac:dyDescent="0.3">
      <c r="C365" s="7" t="s">
        <v>357</v>
      </c>
      <c r="D365" s="8" t="s">
        <v>2063</v>
      </c>
      <c r="E365" s="8" t="s">
        <v>1979</v>
      </c>
      <c r="F365" s="9">
        <v>6.3</v>
      </c>
    </row>
    <row r="366" spans="3:6" hidden="1" x14ac:dyDescent="0.3">
      <c r="C366" s="10" t="s">
        <v>358</v>
      </c>
      <c r="D366" s="11" t="s">
        <v>2034</v>
      </c>
      <c r="E366" s="11" t="s">
        <v>2031</v>
      </c>
      <c r="F366" s="12">
        <v>11.9</v>
      </c>
    </row>
    <row r="367" spans="3:6" hidden="1" x14ac:dyDescent="0.3">
      <c r="C367" s="7" t="s">
        <v>359</v>
      </c>
      <c r="D367" s="8" t="s">
        <v>2062</v>
      </c>
      <c r="E367" s="8" t="s">
        <v>1993</v>
      </c>
      <c r="F367" s="9">
        <v>16.66</v>
      </c>
    </row>
    <row r="368" spans="3:6" hidden="1" x14ac:dyDescent="0.3">
      <c r="C368" s="10" t="s">
        <v>360</v>
      </c>
      <c r="D368" s="11" t="s">
        <v>2034</v>
      </c>
      <c r="E368" s="11" t="s">
        <v>2022</v>
      </c>
      <c r="F368" s="12">
        <v>7.58</v>
      </c>
    </row>
    <row r="369" spans="3:6" hidden="1" x14ac:dyDescent="0.3">
      <c r="C369" s="7" t="s">
        <v>361</v>
      </c>
      <c r="D369" s="8" t="s">
        <v>2034</v>
      </c>
      <c r="E369" s="8" t="s">
        <v>2027</v>
      </c>
      <c r="F369" s="9">
        <v>9.66</v>
      </c>
    </row>
    <row r="370" spans="3:6" hidden="1" x14ac:dyDescent="0.3">
      <c r="C370" s="10" t="s">
        <v>362</v>
      </c>
      <c r="D370" s="11" t="s">
        <v>2034</v>
      </c>
      <c r="E370" s="11" t="s">
        <v>1986</v>
      </c>
      <c r="F370" s="12">
        <v>15.7</v>
      </c>
    </row>
    <row r="371" spans="3:6" hidden="1" x14ac:dyDescent="0.3">
      <c r="C371" s="7" t="s">
        <v>363</v>
      </c>
      <c r="D371" s="8" t="s">
        <v>2034</v>
      </c>
      <c r="E371" s="8" t="s">
        <v>2001</v>
      </c>
      <c r="F371" s="9">
        <v>11.43</v>
      </c>
    </row>
    <row r="372" spans="3:6" hidden="1" x14ac:dyDescent="0.3">
      <c r="C372" s="10" t="s">
        <v>2007</v>
      </c>
      <c r="D372" s="11" t="s">
        <v>2038</v>
      </c>
      <c r="E372" s="11" t="s">
        <v>2005</v>
      </c>
      <c r="F372" s="12">
        <v>17.75</v>
      </c>
    </row>
    <row r="373" spans="3:6" hidden="1" x14ac:dyDescent="0.3">
      <c r="C373" s="7" t="s">
        <v>364</v>
      </c>
      <c r="D373" s="8" t="s">
        <v>2034</v>
      </c>
      <c r="E373" s="8" t="s">
        <v>2031</v>
      </c>
      <c r="F373" s="9">
        <v>11.7</v>
      </c>
    </row>
    <row r="374" spans="3:6" hidden="1" x14ac:dyDescent="0.3">
      <c r="C374" s="10" t="s">
        <v>365</v>
      </c>
      <c r="D374" s="11" t="s">
        <v>2034</v>
      </c>
      <c r="E374" s="11" t="s">
        <v>2031</v>
      </c>
      <c r="F374" s="12">
        <v>12.43</v>
      </c>
    </row>
    <row r="375" spans="3:6" hidden="1" x14ac:dyDescent="0.3">
      <c r="C375" s="7" t="s">
        <v>366</v>
      </c>
      <c r="D375" s="8" t="s">
        <v>2035</v>
      </c>
      <c r="E375" s="8" t="s">
        <v>2001</v>
      </c>
      <c r="F375" s="9">
        <v>10.61</v>
      </c>
    </row>
    <row r="376" spans="3:6" hidden="1" x14ac:dyDescent="0.3">
      <c r="C376" s="10" t="s">
        <v>367</v>
      </c>
      <c r="D376" s="11" t="s">
        <v>2067</v>
      </c>
      <c r="E376" s="11" t="s">
        <v>2022</v>
      </c>
      <c r="F376" s="12">
        <v>16.579999999999998</v>
      </c>
    </row>
    <row r="377" spans="3:6" hidden="1" x14ac:dyDescent="0.3">
      <c r="C377" s="7" t="s">
        <v>368</v>
      </c>
      <c r="D377" s="8" t="s">
        <v>2042</v>
      </c>
      <c r="E377" s="8" t="s">
        <v>1979</v>
      </c>
      <c r="F377" s="9">
        <v>9.7100000000000009</v>
      </c>
    </row>
    <row r="378" spans="3:6" hidden="1" x14ac:dyDescent="0.3">
      <c r="C378" s="10" t="s">
        <v>369</v>
      </c>
      <c r="D378" s="11" t="s">
        <v>2038</v>
      </c>
      <c r="E378" s="11" t="s">
        <v>2015</v>
      </c>
      <c r="F378" s="12">
        <v>11.54</v>
      </c>
    </row>
    <row r="379" spans="3:6" hidden="1" x14ac:dyDescent="0.3">
      <c r="C379" s="7" t="s">
        <v>370</v>
      </c>
      <c r="D379" s="8" t="s">
        <v>2044</v>
      </c>
      <c r="E379" s="8" t="s">
        <v>1979</v>
      </c>
      <c r="F379" s="9">
        <v>10.17</v>
      </c>
    </row>
    <row r="380" spans="3:6" hidden="1" x14ac:dyDescent="0.3">
      <c r="C380" s="10" t="s">
        <v>371</v>
      </c>
      <c r="D380" s="11" t="s">
        <v>2034</v>
      </c>
      <c r="E380" s="11" t="s">
        <v>2031</v>
      </c>
      <c r="F380" s="12">
        <v>10.11</v>
      </c>
    </row>
    <row r="381" spans="3:6" hidden="1" x14ac:dyDescent="0.3">
      <c r="C381" s="7" t="s">
        <v>372</v>
      </c>
      <c r="D381" s="8" t="s">
        <v>2039</v>
      </c>
      <c r="E381" s="8" t="s">
        <v>1979</v>
      </c>
      <c r="F381" s="9">
        <v>16.5</v>
      </c>
    </row>
    <row r="382" spans="3:6" hidden="1" x14ac:dyDescent="0.3">
      <c r="C382" s="10" t="s">
        <v>373</v>
      </c>
      <c r="D382" s="11" t="s">
        <v>2055</v>
      </c>
      <c r="E382" s="11" t="s">
        <v>2028</v>
      </c>
      <c r="F382" s="12">
        <v>8.1300000000000008</v>
      </c>
    </row>
    <row r="383" spans="3:6" hidden="1" x14ac:dyDescent="0.3">
      <c r="C383" s="7" t="s">
        <v>374</v>
      </c>
      <c r="D383" s="8" t="s">
        <v>2034</v>
      </c>
      <c r="E383" s="8" t="s">
        <v>1979</v>
      </c>
      <c r="F383" s="9">
        <v>6.12</v>
      </c>
    </row>
    <row r="384" spans="3:6" hidden="1" x14ac:dyDescent="0.3">
      <c r="C384" s="10" t="s">
        <v>375</v>
      </c>
      <c r="D384" s="11" t="s">
        <v>2038</v>
      </c>
      <c r="E384" s="11" t="s">
        <v>2031</v>
      </c>
      <c r="F384" s="12">
        <v>13.14</v>
      </c>
    </row>
    <row r="385" spans="3:6" hidden="1" x14ac:dyDescent="0.3">
      <c r="C385" s="7" t="s">
        <v>376</v>
      </c>
      <c r="D385" s="8" t="s">
        <v>2041</v>
      </c>
      <c r="E385" s="8" t="s">
        <v>2026</v>
      </c>
      <c r="F385" s="9">
        <v>10.06</v>
      </c>
    </row>
    <row r="386" spans="3:6" hidden="1" x14ac:dyDescent="0.3">
      <c r="C386" s="10" t="s">
        <v>377</v>
      </c>
      <c r="D386" s="11" t="s">
        <v>2037</v>
      </c>
      <c r="E386" s="11" t="s">
        <v>1993</v>
      </c>
      <c r="F386" s="12">
        <v>11.59</v>
      </c>
    </row>
    <row r="387" spans="3:6" hidden="1" x14ac:dyDescent="0.3">
      <c r="C387" s="7" t="s">
        <v>378</v>
      </c>
      <c r="D387" s="8" t="s">
        <v>2047</v>
      </c>
      <c r="E387" s="8" t="s">
        <v>2017</v>
      </c>
      <c r="F387" s="9">
        <v>9.0399999999999991</v>
      </c>
    </row>
    <row r="388" spans="3:6" hidden="1" x14ac:dyDescent="0.3">
      <c r="C388" s="10" t="s">
        <v>379</v>
      </c>
      <c r="D388" s="11" t="s">
        <v>2039</v>
      </c>
      <c r="E388" s="11" t="s">
        <v>1979</v>
      </c>
      <c r="F388" s="12">
        <v>13.58</v>
      </c>
    </row>
    <row r="389" spans="3:6" hidden="1" x14ac:dyDescent="0.3">
      <c r="C389" s="7" t="s">
        <v>380</v>
      </c>
      <c r="D389" s="8" t="s">
        <v>1977</v>
      </c>
      <c r="E389" s="8" t="s">
        <v>2022</v>
      </c>
      <c r="F389" s="9">
        <v>13.41</v>
      </c>
    </row>
    <row r="390" spans="3:6" hidden="1" x14ac:dyDescent="0.3">
      <c r="C390" s="10" t="s">
        <v>381</v>
      </c>
      <c r="D390" s="11" t="s">
        <v>2034</v>
      </c>
      <c r="E390" s="11" t="s">
        <v>2031</v>
      </c>
      <c r="F390" s="12">
        <v>11.74</v>
      </c>
    </row>
    <row r="391" spans="3:6" hidden="1" x14ac:dyDescent="0.3">
      <c r="C391" s="7" t="s">
        <v>382</v>
      </c>
      <c r="D391" s="8" t="s">
        <v>2034</v>
      </c>
      <c r="E391" s="8" t="s">
        <v>1987</v>
      </c>
      <c r="F391" s="9">
        <v>12.92</v>
      </c>
    </row>
    <row r="392" spans="3:6" hidden="1" x14ac:dyDescent="0.3">
      <c r="C392" s="10" t="s">
        <v>383</v>
      </c>
      <c r="D392" s="11" t="s">
        <v>2044</v>
      </c>
      <c r="E392" s="11" t="s">
        <v>1979</v>
      </c>
      <c r="F392" s="12">
        <v>9.86</v>
      </c>
    </row>
    <row r="393" spans="3:6" hidden="1" x14ac:dyDescent="0.3">
      <c r="C393" s="7" t="s">
        <v>384</v>
      </c>
      <c r="D393" s="8" t="s">
        <v>2047</v>
      </c>
      <c r="E393" s="8" t="s">
        <v>2022</v>
      </c>
      <c r="F393" s="9">
        <v>8.81</v>
      </c>
    </row>
    <row r="394" spans="3:6" hidden="1" x14ac:dyDescent="0.3">
      <c r="C394" s="10" t="s">
        <v>385</v>
      </c>
      <c r="D394" s="11" t="s">
        <v>2041</v>
      </c>
      <c r="E394" s="11" t="s">
        <v>1979</v>
      </c>
      <c r="F394" s="12">
        <v>12.77</v>
      </c>
    </row>
    <row r="395" spans="3:6" hidden="1" x14ac:dyDescent="0.3">
      <c r="C395" s="7" t="s">
        <v>386</v>
      </c>
      <c r="D395" s="8" t="s">
        <v>2063</v>
      </c>
      <c r="E395" s="8" t="s">
        <v>2022</v>
      </c>
      <c r="F395" s="9">
        <v>10.42</v>
      </c>
    </row>
    <row r="396" spans="3:6" hidden="1" x14ac:dyDescent="0.3">
      <c r="C396" s="10" t="s">
        <v>387</v>
      </c>
      <c r="D396" s="11" t="s">
        <v>2034</v>
      </c>
      <c r="E396" s="11" t="s">
        <v>2027</v>
      </c>
      <c r="F396" s="12">
        <v>6.02</v>
      </c>
    </row>
    <row r="397" spans="3:6" hidden="1" x14ac:dyDescent="0.3">
      <c r="C397" s="7" t="s">
        <v>388</v>
      </c>
      <c r="D397" s="8" t="s">
        <v>2036</v>
      </c>
      <c r="E397" s="8" t="s">
        <v>1988</v>
      </c>
      <c r="F397" s="9">
        <v>15.37</v>
      </c>
    </row>
    <row r="398" spans="3:6" hidden="1" x14ac:dyDescent="0.3">
      <c r="C398" s="10" t="s">
        <v>389</v>
      </c>
      <c r="D398" s="11" t="s">
        <v>2047</v>
      </c>
      <c r="E398" s="11" t="s">
        <v>2022</v>
      </c>
      <c r="F398" s="12">
        <v>9.5299999999999994</v>
      </c>
    </row>
    <row r="399" spans="3:6" hidden="1" x14ac:dyDescent="0.3">
      <c r="C399" s="7" t="s">
        <v>390</v>
      </c>
      <c r="D399" s="8" t="s">
        <v>2038</v>
      </c>
      <c r="E399" s="8" t="s">
        <v>1986</v>
      </c>
      <c r="F399" s="9">
        <v>16.93</v>
      </c>
    </row>
    <row r="400" spans="3:6" hidden="1" x14ac:dyDescent="0.3">
      <c r="C400" s="10" t="s">
        <v>391</v>
      </c>
      <c r="D400" s="11" t="s">
        <v>2038</v>
      </c>
      <c r="E400" s="11" t="s">
        <v>2027</v>
      </c>
      <c r="F400" s="12">
        <v>44.44</v>
      </c>
    </row>
    <row r="401" spans="3:6" hidden="1" x14ac:dyDescent="0.3">
      <c r="C401" s="7" t="s">
        <v>392</v>
      </c>
      <c r="D401" s="8" t="s">
        <v>2047</v>
      </c>
      <c r="E401" s="8" t="s">
        <v>2022</v>
      </c>
      <c r="F401" s="9">
        <v>7.52</v>
      </c>
    </row>
    <row r="402" spans="3:6" hidden="1" x14ac:dyDescent="0.3">
      <c r="C402" s="10" t="s">
        <v>393</v>
      </c>
      <c r="D402" s="11" t="s">
        <v>2035</v>
      </c>
      <c r="E402" s="11" t="s">
        <v>2028</v>
      </c>
      <c r="F402" s="12">
        <v>64.52</v>
      </c>
    </row>
    <row r="403" spans="3:6" hidden="1" x14ac:dyDescent="0.3">
      <c r="C403" s="7" t="s">
        <v>394</v>
      </c>
      <c r="D403" s="8" t="s">
        <v>2047</v>
      </c>
      <c r="E403" s="8" t="s">
        <v>2030</v>
      </c>
      <c r="F403" s="9">
        <v>6.23</v>
      </c>
    </row>
    <row r="404" spans="3:6" hidden="1" x14ac:dyDescent="0.3">
      <c r="C404" s="10" t="s">
        <v>395</v>
      </c>
      <c r="D404" s="11" t="s">
        <v>2034</v>
      </c>
      <c r="E404" s="11" t="s">
        <v>2002</v>
      </c>
      <c r="F404" s="12">
        <v>35.979999999999997</v>
      </c>
    </row>
    <row r="405" spans="3:6" hidden="1" x14ac:dyDescent="0.3">
      <c r="C405" s="7" t="s">
        <v>396</v>
      </c>
      <c r="D405" s="8" t="s">
        <v>2034</v>
      </c>
      <c r="E405" s="8" t="s">
        <v>2023</v>
      </c>
      <c r="F405" s="9">
        <v>18.78</v>
      </c>
    </row>
    <row r="406" spans="3:6" hidden="1" x14ac:dyDescent="0.3">
      <c r="C406" s="10" t="s">
        <v>397</v>
      </c>
      <c r="D406" s="11" t="s">
        <v>2038</v>
      </c>
      <c r="E406" s="11" t="s">
        <v>2031</v>
      </c>
      <c r="F406" s="12">
        <v>15.03</v>
      </c>
    </row>
    <row r="407" spans="3:6" hidden="1" x14ac:dyDescent="0.3">
      <c r="C407" s="7" t="s">
        <v>398</v>
      </c>
      <c r="D407" s="8" t="s">
        <v>2041</v>
      </c>
      <c r="E407" s="8" t="s">
        <v>1997</v>
      </c>
      <c r="F407" s="9">
        <v>17.09</v>
      </c>
    </row>
    <row r="408" spans="3:6" hidden="1" x14ac:dyDescent="0.3">
      <c r="C408" s="10" t="s">
        <v>399</v>
      </c>
      <c r="D408" s="11" t="s">
        <v>2065</v>
      </c>
      <c r="E408" s="11" t="s">
        <v>2027</v>
      </c>
      <c r="F408" s="12">
        <v>17.04</v>
      </c>
    </row>
    <row r="409" spans="3:6" hidden="1" x14ac:dyDescent="0.3">
      <c r="C409" s="7" t="s">
        <v>400</v>
      </c>
      <c r="D409" s="8" t="s">
        <v>2047</v>
      </c>
      <c r="E409" s="8" t="s">
        <v>1998</v>
      </c>
      <c r="F409" s="9">
        <v>5.99</v>
      </c>
    </row>
    <row r="410" spans="3:6" hidden="1" x14ac:dyDescent="0.3">
      <c r="C410" s="10" t="s">
        <v>401</v>
      </c>
      <c r="D410" s="11" t="s">
        <v>2034</v>
      </c>
      <c r="E410" s="11" t="s">
        <v>1993</v>
      </c>
      <c r="F410" s="12">
        <v>14.45</v>
      </c>
    </row>
    <row r="411" spans="3:6" hidden="1" x14ac:dyDescent="0.3">
      <c r="C411" s="7" t="s">
        <v>402</v>
      </c>
      <c r="D411" s="8" t="s">
        <v>2034</v>
      </c>
      <c r="E411" s="8" t="s">
        <v>2000</v>
      </c>
      <c r="F411" s="9">
        <v>31.4</v>
      </c>
    </row>
    <row r="412" spans="3:6" hidden="1" x14ac:dyDescent="0.3">
      <c r="C412" s="10" t="s">
        <v>403</v>
      </c>
      <c r="D412" s="11" t="s">
        <v>2034</v>
      </c>
      <c r="E412" s="11" t="s">
        <v>2004</v>
      </c>
      <c r="F412" s="12">
        <v>14.37</v>
      </c>
    </row>
    <row r="413" spans="3:6" hidden="1" x14ac:dyDescent="0.3">
      <c r="C413" s="7" t="s">
        <v>404</v>
      </c>
      <c r="D413" s="8" t="s">
        <v>2040</v>
      </c>
      <c r="E413" s="8" t="s">
        <v>1979</v>
      </c>
      <c r="F413" s="9">
        <v>4.59</v>
      </c>
    </row>
    <row r="414" spans="3:6" hidden="1" x14ac:dyDescent="0.3">
      <c r="C414" s="10" t="s">
        <v>405</v>
      </c>
      <c r="D414" s="11" t="s">
        <v>2057</v>
      </c>
      <c r="E414" s="11" t="s">
        <v>1998</v>
      </c>
      <c r="F414" s="12">
        <v>5.87</v>
      </c>
    </row>
    <row r="415" spans="3:6" hidden="1" x14ac:dyDescent="0.3">
      <c r="C415" s="7" t="s">
        <v>406</v>
      </c>
      <c r="D415" s="8" t="s">
        <v>2060</v>
      </c>
      <c r="E415" s="8" t="s">
        <v>2028</v>
      </c>
      <c r="F415" s="9">
        <v>15.36</v>
      </c>
    </row>
    <row r="416" spans="3:6" hidden="1" x14ac:dyDescent="0.3">
      <c r="C416" s="10" t="s">
        <v>407</v>
      </c>
      <c r="D416" s="11" t="s">
        <v>2034</v>
      </c>
      <c r="E416" s="11" t="s">
        <v>2030</v>
      </c>
      <c r="F416" s="12">
        <v>8.6199999999999992</v>
      </c>
    </row>
    <row r="417" spans="3:6" hidden="1" x14ac:dyDescent="0.3">
      <c r="C417" s="7" t="s">
        <v>408</v>
      </c>
      <c r="D417" s="8" t="s">
        <v>2035</v>
      </c>
      <c r="E417" s="8" t="s">
        <v>2031</v>
      </c>
      <c r="F417" s="9">
        <v>14.04</v>
      </c>
    </row>
    <row r="418" spans="3:6" hidden="1" x14ac:dyDescent="0.3">
      <c r="C418" s="10" t="s">
        <v>409</v>
      </c>
      <c r="D418" s="11" t="s">
        <v>2038</v>
      </c>
      <c r="E418" s="11" t="s">
        <v>1979</v>
      </c>
      <c r="F418" s="12">
        <v>32.21</v>
      </c>
    </row>
    <row r="419" spans="3:6" hidden="1" x14ac:dyDescent="0.3">
      <c r="C419" s="7" t="s">
        <v>410</v>
      </c>
      <c r="D419" s="8" t="s">
        <v>2039</v>
      </c>
      <c r="E419" s="8" t="s">
        <v>1997</v>
      </c>
      <c r="F419" s="9">
        <v>18.43</v>
      </c>
    </row>
    <row r="420" spans="3:6" hidden="1" x14ac:dyDescent="0.3">
      <c r="C420" s="10" t="s">
        <v>411</v>
      </c>
      <c r="D420" s="11" t="s">
        <v>2068</v>
      </c>
      <c r="E420" s="11" t="s">
        <v>2017</v>
      </c>
      <c r="F420" s="12">
        <v>9.41</v>
      </c>
    </row>
    <row r="421" spans="3:6" hidden="1" x14ac:dyDescent="0.3">
      <c r="C421" s="7" t="s">
        <v>1982</v>
      </c>
      <c r="D421" s="8" t="s">
        <v>2038</v>
      </c>
      <c r="E421" s="8" t="s">
        <v>1979</v>
      </c>
      <c r="F421" s="9">
        <v>4.37</v>
      </c>
    </row>
    <row r="422" spans="3:6" hidden="1" x14ac:dyDescent="0.3">
      <c r="C422" s="10" t="s">
        <v>412</v>
      </c>
      <c r="D422" s="11" t="s">
        <v>2051</v>
      </c>
      <c r="E422" s="11" t="s">
        <v>2026</v>
      </c>
      <c r="F422" s="12">
        <v>17.57</v>
      </c>
    </row>
    <row r="423" spans="3:6" hidden="1" x14ac:dyDescent="0.3">
      <c r="C423" s="7" t="s">
        <v>413</v>
      </c>
      <c r="D423" s="8" t="s">
        <v>2034</v>
      </c>
      <c r="E423" s="8" t="s">
        <v>2005</v>
      </c>
      <c r="F423" s="9">
        <v>9.84</v>
      </c>
    </row>
    <row r="424" spans="3:6" hidden="1" x14ac:dyDescent="0.3">
      <c r="C424" s="10" t="s">
        <v>414</v>
      </c>
      <c r="D424" s="11" t="s">
        <v>2034</v>
      </c>
      <c r="E424" s="11" t="s">
        <v>2002</v>
      </c>
      <c r="F424" s="12">
        <v>9.85</v>
      </c>
    </row>
    <row r="425" spans="3:6" hidden="1" x14ac:dyDescent="0.3">
      <c r="C425" s="7" t="s">
        <v>415</v>
      </c>
      <c r="D425" s="8" t="s">
        <v>2052</v>
      </c>
      <c r="E425" s="8" t="s">
        <v>2022</v>
      </c>
      <c r="F425" s="9">
        <v>6.69</v>
      </c>
    </row>
    <row r="426" spans="3:6" hidden="1" x14ac:dyDescent="0.3">
      <c r="C426" s="10" t="s">
        <v>416</v>
      </c>
      <c r="D426" s="11" t="s">
        <v>2034</v>
      </c>
      <c r="E426" s="11" t="s">
        <v>2031</v>
      </c>
      <c r="F426" s="12">
        <v>11.69</v>
      </c>
    </row>
    <row r="427" spans="3:6" hidden="1" x14ac:dyDescent="0.3">
      <c r="C427" s="7" t="s">
        <v>417</v>
      </c>
      <c r="D427" s="8" t="s">
        <v>2035</v>
      </c>
      <c r="E427" s="8" t="s">
        <v>2023</v>
      </c>
      <c r="F427" s="9">
        <v>14.72</v>
      </c>
    </row>
    <row r="428" spans="3:6" hidden="1" x14ac:dyDescent="0.3">
      <c r="C428" s="10" t="s">
        <v>418</v>
      </c>
      <c r="D428" s="11" t="s">
        <v>2041</v>
      </c>
      <c r="E428" s="11" t="s">
        <v>2031</v>
      </c>
      <c r="F428" s="12">
        <v>13.36</v>
      </c>
    </row>
    <row r="429" spans="3:6" hidden="1" x14ac:dyDescent="0.3">
      <c r="C429" s="7" t="s">
        <v>419</v>
      </c>
      <c r="D429" s="8" t="s">
        <v>2034</v>
      </c>
      <c r="E429" s="8" t="s">
        <v>2004</v>
      </c>
      <c r="F429" s="9">
        <v>11.4</v>
      </c>
    </row>
    <row r="430" spans="3:6" hidden="1" x14ac:dyDescent="0.3">
      <c r="C430" s="10" t="s">
        <v>420</v>
      </c>
      <c r="D430" s="11" t="s">
        <v>2037</v>
      </c>
      <c r="E430" s="11" t="s">
        <v>2005</v>
      </c>
      <c r="F430" s="12">
        <v>20.11</v>
      </c>
    </row>
    <row r="431" spans="3:6" hidden="1" x14ac:dyDescent="0.3">
      <c r="C431" s="7" t="s">
        <v>421</v>
      </c>
      <c r="D431" s="8" t="s">
        <v>2049</v>
      </c>
      <c r="E431" s="8" t="s">
        <v>2028</v>
      </c>
      <c r="F431" s="9">
        <v>10.01</v>
      </c>
    </row>
    <row r="432" spans="3:6" hidden="1" x14ac:dyDescent="0.3">
      <c r="C432" s="10" t="s">
        <v>422</v>
      </c>
      <c r="D432" s="11" t="s">
        <v>2034</v>
      </c>
      <c r="E432" s="11" t="s">
        <v>2031</v>
      </c>
      <c r="F432" s="12">
        <v>17.13</v>
      </c>
    </row>
    <row r="433" spans="3:7" hidden="1" x14ac:dyDescent="0.3">
      <c r="C433" s="7" t="s">
        <v>423</v>
      </c>
      <c r="D433" s="8" t="s">
        <v>2037</v>
      </c>
      <c r="E433" s="8" t="s">
        <v>2028</v>
      </c>
      <c r="F433" s="9">
        <v>8.82</v>
      </c>
    </row>
    <row r="434" spans="3:7" x14ac:dyDescent="0.3">
      <c r="C434" s="10" t="s">
        <v>767</v>
      </c>
      <c r="D434" s="11" t="s">
        <v>2046</v>
      </c>
      <c r="E434" s="11" t="s">
        <v>2022</v>
      </c>
      <c r="F434" s="12">
        <v>4.7300000000000004</v>
      </c>
      <c r="G434" s="26">
        <f>F434*$G$2</f>
        <v>0.94600000000000017</v>
      </c>
    </row>
    <row r="435" spans="3:7" hidden="1" x14ac:dyDescent="0.3">
      <c r="C435" s="7" t="s">
        <v>425</v>
      </c>
      <c r="D435" s="8" t="s">
        <v>2038</v>
      </c>
      <c r="E435" s="8" t="s">
        <v>1988</v>
      </c>
      <c r="F435" s="9">
        <v>20.34</v>
      </c>
    </row>
    <row r="436" spans="3:7" hidden="1" x14ac:dyDescent="0.3">
      <c r="C436" s="10" t="s">
        <v>426</v>
      </c>
      <c r="D436" s="11" t="s">
        <v>2065</v>
      </c>
      <c r="E436" s="11" t="s">
        <v>2022</v>
      </c>
      <c r="F436" s="12">
        <v>10.93</v>
      </c>
    </row>
    <row r="437" spans="3:7" hidden="1" x14ac:dyDescent="0.3">
      <c r="C437" s="7" t="s">
        <v>427</v>
      </c>
      <c r="D437" s="8" t="s">
        <v>2053</v>
      </c>
      <c r="E437" s="8" t="s">
        <v>2005</v>
      </c>
      <c r="F437" s="9">
        <v>5.86</v>
      </c>
    </row>
    <row r="438" spans="3:7" hidden="1" x14ac:dyDescent="0.3">
      <c r="C438" s="10" t="s">
        <v>428</v>
      </c>
      <c r="D438" s="11" t="s">
        <v>2034</v>
      </c>
      <c r="E438" s="11" t="s">
        <v>1997</v>
      </c>
      <c r="F438" s="12">
        <v>14.06</v>
      </c>
    </row>
    <row r="439" spans="3:7" hidden="1" x14ac:dyDescent="0.3">
      <c r="C439" s="7" t="s">
        <v>429</v>
      </c>
      <c r="D439" s="8" t="s">
        <v>2069</v>
      </c>
      <c r="E439" s="8" t="s">
        <v>2031</v>
      </c>
      <c r="F439" s="9">
        <v>9.8000000000000007</v>
      </c>
    </row>
    <row r="440" spans="3:7" hidden="1" x14ac:dyDescent="0.3">
      <c r="C440" s="10" t="s">
        <v>430</v>
      </c>
      <c r="D440" s="11" t="s">
        <v>2034</v>
      </c>
      <c r="E440" s="11" t="s">
        <v>2017</v>
      </c>
      <c r="F440" s="12">
        <v>10.48</v>
      </c>
    </row>
    <row r="441" spans="3:7" hidden="1" x14ac:dyDescent="0.3">
      <c r="C441" s="7" t="s">
        <v>431</v>
      </c>
      <c r="D441" s="8" t="s">
        <v>2038</v>
      </c>
      <c r="E441" s="8" t="s">
        <v>1988</v>
      </c>
      <c r="F441" s="9">
        <v>9.0299999999999994</v>
      </c>
    </row>
    <row r="442" spans="3:7" hidden="1" x14ac:dyDescent="0.3">
      <c r="C442" s="10" t="s">
        <v>432</v>
      </c>
      <c r="D442" s="11" t="s">
        <v>2034</v>
      </c>
      <c r="E442" s="11" t="s">
        <v>1993</v>
      </c>
      <c r="F442" s="12">
        <v>14.25</v>
      </c>
    </row>
    <row r="443" spans="3:7" hidden="1" x14ac:dyDescent="0.3">
      <c r="C443" s="7" t="s">
        <v>433</v>
      </c>
      <c r="D443" s="8" t="s">
        <v>2034</v>
      </c>
      <c r="E443" s="8" t="s">
        <v>2026</v>
      </c>
      <c r="F443" s="9">
        <v>6.14</v>
      </c>
    </row>
    <row r="444" spans="3:7" hidden="1" x14ac:dyDescent="0.3">
      <c r="C444" s="10" t="s">
        <v>434</v>
      </c>
      <c r="D444" s="11" t="s">
        <v>2034</v>
      </c>
      <c r="E444" s="11" t="s">
        <v>2000</v>
      </c>
      <c r="F444" s="12">
        <v>38.42</v>
      </c>
    </row>
    <row r="445" spans="3:7" hidden="1" x14ac:dyDescent="0.3">
      <c r="C445" s="7" t="s">
        <v>435</v>
      </c>
      <c r="D445" s="8" t="s">
        <v>2035</v>
      </c>
      <c r="E445" s="8" t="s">
        <v>2029</v>
      </c>
      <c r="F445" s="9">
        <v>19.79</v>
      </c>
    </row>
    <row r="446" spans="3:7" hidden="1" x14ac:dyDescent="0.3">
      <c r="C446" s="10" t="s">
        <v>436</v>
      </c>
      <c r="D446" s="11" t="s">
        <v>2034</v>
      </c>
      <c r="E446" s="11" t="s">
        <v>1998</v>
      </c>
      <c r="F446" s="12">
        <v>7.48</v>
      </c>
    </row>
    <row r="447" spans="3:7" hidden="1" x14ac:dyDescent="0.3">
      <c r="C447" s="7" t="s">
        <v>437</v>
      </c>
      <c r="D447" s="8" t="s">
        <v>2035</v>
      </c>
      <c r="E447" s="8" t="s">
        <v>2017</v>
      </c>
      <c r="F447" s="9">
        <v>9.23</v>
      </c>
    </row>
    <row r="448" spans="3:7" hidden="1" x14ac:dyDescent="0.3">
      <c r="C448" s="10" t="s">
        <v>438</v>
      </c>
      <c r="D448" s="11" t="s">
        <v>2034</v>
      </c>
      <c r="E448" s="11" t="s">
        <v>2031</v>
      </c>
      <c r="F448" s="12">
        <v>10.11</v>
      </c>
    </row>
    <row r="449" spans="3:6" hidden="1" x14ac:dyDescent="0.3">
      <c r="C449" s="7" t="s">
        <v>439</v>
      </c>
      <c r="D449" s="8" t="s">
        <v>2040</v>
      </c>
      <c r="E449" s="8" t="s">
        <v>1993</v>
      </c>
      <c r="F449" s="9">
        <v>14.87</v>
      </c>
    </row>
    <row r="450" spans="3:6" hidden="1" x14ac:dyDescent="0.3">
      <c r="C450" s="10" t="s">
        <v>440</v>
      </c>
      <c r="D450" s="11" t="s">
        <v>2042</v>
      </c>
      <c r="E450" s="11" t="s">
        <v>1978</v>
      </c>
      <c r="F450" s="12">
        <v>12.18</v>
      </c>
    </row>
    <row r="451" spans="3:6" hidden="1" x14ac:dyDescent="0.3">
      <c r="C451" s="7" t="s">
        <v>441</v>
      </c>
      <c r="D451" s="8" t="s">
        <v>2034</v>
      </c>
      <c r="E451" s="8" t="s">
        <v>1993</v>
      </c>
      <c r="F451" s="9">
        <v>14.69</v>
      </c>
    </row>
    <row r="452" spans="3:6" hidden="1" x14ac:dyDescent="0.3">
      <c r="C452" s="10" t="s">
        <v>442</v>
      </c>
      <c r="D452" s="11" t="s">
        <v>2036</v>
      </c>
      <c r="E452" s="11" t="s">
        <v>2030</v>
      </c>
      <c r="F452" s="12">
        <v>17.079999999999998</v>
      </c>
    </row>
    <row r="453" spans="3:6" hidden="1" x14ac:dyDescent="0.3">
      <c r="C453" s="7" t="s">
        <v>443</v>
      </c>
      <c r="D453" s="8" t="s">
        <v>2034</v>
      </c>
      <c r="E453" s="8" t="s">
        <v>1998</v>
      </c>
      <c r="F453" s="9">
        <v>5.65</v>
      </c>
    </row>
    <row r="454" spans="3:6" hidden="1" x14ac:dyDescent="0.3">
      <c r="C454" s="10" t="s">
        <v>444</v>
      </c>
      <c r="D454" s="11" t="s">
        <v>2039</v>
      </c>
      <c r="E454" s="11" t="s">
        <v>2017</v>
      </c>
      <c r="F454" s="12">
        <v>15.27</v>
      </c>
    </row>
    <row r="455" spans="3:6" hidden="1" x14ac:dyDescent="0.3">
      <c r="C455" s="7" t="s">
        <v>445</v>
      </c>
      <c r="D455" s="8" t="s">
        <v>2034</v>
      </c>
      <c r="E455" s="8" t="s">
        <v>2031</v>
      </c>
      <c r="F455" s="9">
        <v>10.64</v>
      </c>
    </row>
    <row r="456" spans="3:6" hidden="1" x14ac:dyDescent="0.3">
      <c r="C456" s="10" t="s">
        <v>446</v>
      </c>
      <c r="D456" s="11" t="s">
        <v>2034</v>
      </c>
      <c r="E456" s="11" t="s">
        <v>2023</v>
      </c>
      <c r="F456" s="12">
        <v>16.02</v>
      </c>
    </row>
    <row r="457" spans="3:6" hidden="1" x14ac:dyDescent="0.3">
      <c r="C457" s="7" t="s">
        <v>447</v>
      </c>
      <c r="D457" s="8" t="s">
        <v>2034</v>
      </c>
      <c r="E457" s="8" t="s">
        <v>2017</v>
      </c>
      <c r="F457" s="9">
        <v>7.6</v>
      </c>
    </row>
    <row r="458" spans="3:6" hidden="1" x14ac:dyDescent="0.3">
      <c r="C458" s="10" t="s">
        <v>448</v>
      </c>
      <c r="D458" s="11" t="s">
        <v>2063</v>
      </c>
      <c r="E458" s="11" t="s">
        <v>2005</v>
      </c>
      <c r="F458" s="12">
        <v>16.350000000000001</v>
      </c>
    </row>
    <row r="459" spans="3:6" hidden="1" x14ac:dyDescent="0.3">
      <c r="C459" s="7" t="s">
        <v>449</v>
      </c>
      <c r="D459" s="8" t="s">
        <v>2047</v>
      </c>
      <c r="E459" s="8" t="s">
        <v>2000</v>
      </c>
      <c r="F459" s="9">
        <v>26.97</v>
      </c>
    </row>
    <row r="460" spans="3:6" hidden="1" x14ac:dyDescent="0.3">
      <c r="C460" s="10" t="s">
        <v>450</v>
      </c>
      <c r="D460" s="11" t="s">
        <v>2034</v>
      </c>
      <c r="E460" s="11" t="s">
        <v>2001</v>
      </c>
      <c r="F460" s="12">
        <v>19.13</v>
      </c>
    </row>
    <row r="461" spans="3:6" hidden="1" x14ac:dyDescent="0.3">
      <c r="C461" s="7" t="s">
        <v>451</v>
      </c>
      <c r="D461" s="8" t="s">
        <v>2069</v>
      </c>
      <c r="E461" s="8" t="s">
        <v>1979</v>
      </c>
      <c r="F461" s="9">
        <v>5.36</v>
      </c>
    </row>
    <row r="462" spans="3:6" hidden="1" x14ac:dyDescent="0.3">
      <c r="C462" s="10" t="s">
        <v>452</v>
      </c>
      <c r="D462" s="11" t="s">
        <v>2034</v>
      </c>
      <c r="E462" s="11" t="s">
        <v>1993</v>
      </c>
      <c r="F462" s="12">
        <v>12.64</v>
      </c>
    </row>
    <row r="463" spans="3:6" hidden="1" x14ac:dyDescent="0.3">
      <c r="C463" s="7" t="s">
        <v>453</v>
      </c>
      <c r="D463" s="8" t="s">
        <v>2054</v>
      </c>
      <c r="E463" s="8" t="s">
        <v>2028</v>
      </c>
      <c r="F463" s="9">
        <v>7.95</v>
      </c>
    </row>
    <row r="464" spans="3:6" hidden="1" x14ac:dyDescent="0.3">
      <c r="C464" s="10" t="s">
        <v>454</v>
      </c>
      <c r="D464" s="11" t="s">
        <v>2052</v>
      </c>
      <c r="E464" s="11" t="s">
        <v>2028</v>
      </c>
      <c r="F464" s="12">
        <v>7.86</v>
      </c>
    </row>
    <row r="465" spans="3:6" hidden="1" x14ac:dyDescent="0.3">
      <c r="C465" s="7" t="s">
        <v>455</v>
      </c>
      <c r="D465" s="8" t="s">
        <v>2038</v>
      </c>
      <c r="E465" s="8" t="s">
        <v>1993</v>
      </c>
      <c r="F465" s="9">
        <v>12.93</v>
      </c>
    </row>
    <row r="466" spans="3:6" hidden="1" x14ac:dyDescent="0.3">
      <c r="C466" s="10" t="s">
        <v>456</v>
      </c>
      <c r="D466" s="11" t="s">
        <v>2034</v>
      </c>
      <c r="E466" s="11" t="s">
        <v>2001</v>
      </c>
      <c r="F466" s="12">
        <v>18.71</v>
      </c>
    </row>
    <row r="467" spans="3:6" hidden="1" x14ac:dyDescent="0.3">
      <c r="C467" s="7" t="s">
        <v>457</v>
      </c>
      <c r="D467" s="8" t="s">
        <v>2061</v>
      </c>
      <c r="E467" s="8" t="s">
        <v>2031</v>
      </c>
      <c r="F467" s="9">
        <v>5.38</v>
      </c>
    </row>
    <row r="468" spans="3:6" hidden="1" x14ac:dyDescent="0.3">
      <c r="C468" s="10" t="s">
        <v>458</v>
      </c>
      <c r="D468" s="11" t="s">
        <v>2034</v>
      </c>
      <c r="E468" s="11" t="s">
        <v>1998</v>
      </c>
      <c r="F468" s="12">
        <v>4.46</v>
      </c>
    </row>
    <row r="469" spans="3:6" hidden="1" x14ac:dyDescent="0.3">
      <c r="C469" s="7" t="s">
        <v>459</v>
      </c>
      <c r="D469" s="8" t="s">
        <v>2034</v>
      </c>
      <c r="E469" s="8" t="s">
        <v>2001</v>
      </c>
      <c r="F469" s="9">
        <v>8.26</v>
      </c>
    </row>
    <row r="470" spans="3:6" hidden="1" x14ac:dyDescent="0.3">
      <c r="C470" s="10" t="s">
        <v>460</v>
      </c>
      <c r="D470" s="11" t="s">
        <v>2040</v>
      </c>
      <c r="E470" s="11" t="s">
        <v>1993</v>
      </c>
      <c r="F470" s="12">
        <v>9.86</v>
      </c>
    </row>
    <row r="471" spans="3:6" hidden="1" x14ac:dyDescent="0.3">
      <c r="C471" s="7" t="s">
        <v>461</v>
      </c>
      <c r="D471" s="8" t="s">
        <v>2043</v>
      </c>
      <c r="E471" s="8" t="s">
        <v>1979</v>
      </c>
      <c r="F471" s="9">
        <v>5.14</v>
      </c>
    </row>
    <row r="472" spans="3:6" hidden="1" x14ac:dyDescent="0.3">
      <c r="C472" s="10" t="s">
        <v>462</v>
      </c>
      <c r="D472" s="11" t="s">
        <v>2034</v>
      </c>
      <c r="E472" s="11" t="s">
        <v>2000</v>
      </c>
      <c r="F472" s="12">
        <v>41.21</v>
      </c>
    </row>
    <row r="473" spans="3:6" hidden="1" x14ac:dyDescent="0.3">
      <c r="C473" s="7" t="s">
        <v>463</v>
      </c>
      <c r="D473" s="8" t="s">
        <v>2034</v>
      </c>
      <c r="E473" s="8" t="s">
        <v>2005</v>
      </c>
      <c r="F473" s="9">
        <v>5.45</v>
      </c>
    </row>
    <row r="474" spans="3:6" hidden="1" x14ac:dyDescent="0.3">
      <c r="C474" s="10" t="s">
        <v>464</v>
      </c>
      <c r="D474" s="11" t="s">
        <v>2034</v>
      </c>
      <c r="E474" s="11" t="s">
        <v>2001</v>
      </c>
      <c r="F474" s="12">
        <v>10.18</v>
      </c>
    </row>
    <row r="475" spans="3:6" hidden="1" x14ac:dyDescent="0.3">
      <c r="C475" s="7" t="s">
        <v>465</v>
      </c>
      <c r="D475" s="8" t="s">
        <v>2065</v>
      </c>
      <c r="E475" s="8" t="s">
        <v>2028</v>
      </c>
      <c r="F475" s="9">
        <v>5.74</v>
      </c>
    </row>
    <row r="476" spans="3:6" hidden="1" x14ac:dyDescent="0.3">
      <c r="C476" s="10" t="s">
        <v>466</v>
      </c>
      <c r="D476" s="11" t="s">
        <v>2034</v>
      </c>
      <c r="E476" s="11" t="s">
        <v>2025</v>
      </c>
      <c r="F476" s="12">
        <v>7.07</v>
      </c>
    </row>
    <row r="477" spans="3:6" hidden="1" x14ac:dyDescent="0.3">
      <c r="C477" s="7" t="s">
        <v>467</v>
      </c>
      <c r="D477" s="8" t="s">
        <v>2034</v>
      </c>
      <c r="E477" s="8" t="s">
        <v>2026</v>
      </c>
      <c r="F477" s="9">
        <v>5.26</v>
      </c>
    </row>
    <row r="478" spans="3:6" hidden="1" x14ac:dyDescent="0.3">
      <c r="C478" s="10" t="s">
        <v>468</v>
      </c>
      <c r="D478" s="11" t="s">
        <v>2034</v>
      </c>
      <c r="E478" s="11" t="s">
        <v>2022</v>
      </c>
      <c r="F478" s="12">
        <v>31.17</v>
      </c>
    </row>
    <row r="479" spans="3:6" hidden="1" x14ac:dyDescent="0.3">
      <c r="C479" s="7" t="s">
        <v>469</v>
      </c>
      <c r="D479" s="8" t="s">
        <v>2053</v>
      </c>
      <c r="E479" s="8" t="s">
        <v>2022</v>
      </c>
      <c r="F479" s="9">
        <v>4.58</v>
      </c>
    </row>
    <row r="480" spans="3:6" hidden="1" x14ac:dyDescent="0.3">
      <c r="C480" s="10" t="s">
        <v>470</v>
      </c>
      <c r="D480" s="11" t="s">
        <v>2034</v>
      </c>
      <c r="E480" s="11" t="s">
        <v>1993</v>
      </c>
      <c r="F480" s="12">
        <v>13.87</v>
      </c>
    </row>
    <row r="481" spans="3:6" hidden="1" x14ac:dyDescent="0.3">
      <c r="C481" s="7" t="s">
        <v>471</v>
      </c>
      <c r="D481" s="8" t="s">
        <v>2066</v>
      </c>
      <c r="E481" s="8" t="s">
        <v>1979</v>
      </c>
      <c r="F481" s="9">
        <v>3.79</v>
      </c>
    </row>
    <row r="482" spans="3:6" hidden="1" x14ac:dyDescent="0.3">
      <c r="C482" s="10" t="s">
        <v>472</v>
      </c>
      <c r="D482" s="11" t="s">
        <v>2041</v>
      </c>
      <c r="E482" s="11" t="s">
        <v>1998</v>
      </c>
      <c r="F482" s="12">
        <v>11.58</v>
      </c>
    </row>
    <row r="483" spans="3:6" hidden="1" x14ac:dyDescent="0.3">
      <c r="C483" s="7" t="s">
        <v>473</v>
      </c>
      <c r="D483" s="8" t="s">
        <v>2040</v>
      </c>
      <c r="E483" s="8" t="s">
        <v>2022</v>
      </c>
      <c r="F483" s="9">
        <v>17.05</v>
      </c>
    </row>
    <row r="484" spans="3:6" hidden="1" x14ac:dyDescent="0.3">
      <c r="C484" s="10" t="s">
        <v>474</v>
      </c>
      <c r="D484" s="11" t="s">
        <v>2035</v>
      </c>
      <c r="E484" s="11" t="s">
        <v>1979</v>
      </c>
      <c r="F484" s="12">
        <v>7.24</v>
      </c>
    </row>
    <row r="485" spans="3:6" hidden="1" x14ac:dyDescent="0.3">
      <c r="C485" s="7" t="s">
        <v>475</v>
      </c>
      <c r="D485" s="8" t="s">
        <v>2038</v>
      </c>
      <c r="E485" s="8" t="s">
        <v>1997</v>
      </c>
      <c r="F485" s="9">
        <v>22.07</v>
      </c>
    </row>
    <row r="486" spans="3:6" hidden="1" x14ac:dyDescent="0.3">
      <c r="C486" s="10" t="s">
        <v>476</v>
      </c>
      <c r="D486" s="11" t="s">
        <v>2041</v>
      </c>
      <c r="E486" s="11" t="s">
        <v>2030</v>
      </c>
      <c r="F486" s="12">
        <v>23.02</v>
      </c>
    </row>
    <row r="487" spans="3:6" hidden="1" x14ac:dyDescent="0.3">
      <c r="C487" s="7" t="s">
        <v>477</v>
      </c>
      <c r="D487" s="8" t="s">
        <v>2051</v>
      </c>
      <c r="E487" s="8" t="s">
        <v>1992</v>
      </c>
      <c r="F487" s="9">
        <v>10.55</v>
      </c>
    </row>
    <row r="488" spans="3:6" hidden="1" x14ac:dyDescent="0.3">
      <c r="C488" s="10" t="s">
        <v>478</v>
      </c>
      <c r="D488" s="11" t="s">
        <v>2034</v>
      </c>
      <c r="E488" s="11" t="s">
        <v>2027</v>
      </c>
      <c r="F488" s="12">
        <v>9.15</v>
      </c>
    </row>
    <row r="489" spans="3:6" hidden="1" x14ac:dyDescent="0.3">
      <c r="C489" s="7" t="s">
        <v>479</v>
      </c>
      <c r="D489" s="8" t="s">
        <v>2038</v>
      </c>
      <c r="E489" s="8" t="s">
        <v>1987</v>
      </c>
      <c r="F489" s="9">
        <v>13.39</v>
      </c>
    </row>
    <row r="490" spans="3:6" hidden="1" x14ac:dyDescent="0.3">
      <c r="C490" s="10" t="s">
        <v>480</v>
      </c>
      <c r="D490" s="11" t="s">
        <v>2035</v>
      </c>
      <c r="E490" s="11" t="s">
        <v>2023</v>
      </c>
      <c r="F490" s="12">
        <v>14.42</v>
      </c>
    </row>
    <row r="491" spans="3:6" hidden="1" x14ac:dyDescent="0.3">
      <c r="C491" s="7" t="s">
        <v>481</v>
      </c>
      <c r="D491" s="8" t="s">
        <v>2038</v>
      </c>
      <c r="E491" s="8" t="s">
        <v>1979</v>
      </c>
      <c r="F491" s="9">
        <v>4.28</v>
      </c>
    </row>
    <row r="492" spans="3:6" hidden="1" x14ac:dyDescent="0.3">
      <c r="C492" s="10" t="s">
        <v>482</v>
      </c>
      <c r="D492" s="11" t="s">
        <v>2038</v>
      </c>
      <c r="E492" s="11" t="s">
        <v>2031</v>
      </c>
      <c r="F492" s="12">
        <v>11.11</v>
      </c>
    </row>
    <row r="493" spans="3:6" hidden="1" x14ac:dyDescent="0.3">
      <c r="C493" s="7" t="s">
        <v>483</v>
      </c>
      <c r="D493" s="8" t="s">
        <v>2038</v>
      </c>
      <c r="E493" s="8" t="s">
        <v>2029</v>
      </c>
      <c r="F493" s="9">
        <v>28.4</v>
      </c>
    </row>
    <row r="494" spans="3:6" hidden="1" x14ac:dyDescent="0.3">
      <c r="C494" s="10" t="s">
        <v>484</v>
      </c>
      <c r="D494" s="11" t="s">
        <v>2040</v>
      </c>
      <c r="E494" s="11" t="s">
        <v>2031</v>
      </c>
      <c r="F494" s="12">
        <v>8.5</v>
      </c>
    </row>
    <row r="495" spans="3:6" hidden="1" x14ac:dyDescent="0.3">
      <c r="C495" s="7" t="s">
        <v>485</v>
      </c>
      <c r="D495" s="8" t="s">
        <v>2035</v>
      </c>
      <c r="E495" s="8" t="s">
        <v>2023</v>
      </c>
      <c r="F495" s="9">
        <v>14.58</v>
      </c>
    </row>
    <row r="496" spans="3:6" hidden="1" x14ac:dyDescent="0.3">
      <c r="C496" s="10" t="s">
        <v>486</v>
      </c>
      <c r="D496" s="11" t="s">
        <v>2035</v>
      </c>
      <c r="E496" s="11" t="s">
        <v>1978</v>
      </c>
      <c r="F496" s="12">
        <v>11.35</v>
      </c>
    </row>
    <row r="497" spans="3:6" hidden="1" x14ac:dyDescent="0.3">
      <c r="C497" s="7" t="s">
        <v>487</v>
      </c>
      <c r="D497" s="8" t="s">
        <v>2038</v>
      </c>
      <c r="E497" s="8" t="s">
        <v>1988</v>
      </c>
      <c r="F497" s="9">
        <v>12.09</v>
      </c>
    </row>
    <row r="498" spans="3:6" hidden="1" x14ac:dyDescent="0.3">
      <c r="C498" s="10" t="s">
        <v>488</v>
      </c>
      <c r="D498" s="11" t="s">
        <v>2034</v>
      </c>
      <c r="E498" s="11" t="s">
        <v>2001</v>
      </c>
      <c r="F498" s="12">
        <v>14.35</v>
      </c>
    </row>
    <row r="499" spans="3:6" hidden="1" x14ac:dyDescent="0.3">
      <c r="C499" s="7" t="s">
        <v>489</v>
      </c>
      <c r="D499" s="8" t="s">
        <v>2052</v>
      </c>
      <c r="E499" s="8" t="s">
        <v>1979</v>
      </c>
      <c r="F499" s="9">
        <v>2.76</v>
      </c>
    </row>
    <row r="500" spans="3:6" hidden="1" x14ac:dyDescent="0.3">
      <c r="C500" s="10" t="s">
        <v>490</v>
      </c>
      <c r="D500" s="11" t="s">
        <v>2039</v>
      </c>
      <c r="E500" s="11" t="s">
        <v>2031</v>
      </c>
      <c r="F500" s="12">
        <v>33.479999999999997</v>
      </c>
    </row>
    <row r="501" spans="3:6" hidden="1" x14ac:dyDescent="0.3">
      <c r="C501" s="7" t="s">
        <v>491</v>
      </c>
      <c r="D501" s="8" t="s">
        <v>2038</v>
      </c>
      <c r="E501" s="8" t="s">
        <v>1998</v>
      </c>
      <c r="F501" s="9">
        <v>4.8499999999999996</v>
      </c>
    </row>
    <row r="502" spans="3:6" hidden="1" x14ac:dyDescent="0.3">
      <c r="C502" s="10" t="s">
        <v>492</v>
      </c>
      <c r="D502" s="11" t="s">
        <v>2034</v>
      </c>
      <c r="E502" s="11" t="s">
        <v>2023</v>
      </c>
      <c r="F502" s="12">
        <v>13.4</v>
      </c>
    </row>
    <row r="503" spans="3:6" hidden="1" x14ac:dyDescent="0.3">
      <c r="C503" s="7" t="s">
        <v>493</v>
      </c>
      <c r="D503" s="8" t="s">
        <v>2034</v>
      </c>
      <c r="E503" s="8" t="s">
        <v>2026</v>
      </c>
      <c r="F503" s="9">
        <v>14.61</v>
      </c>
    </row>
    <row r="504" spans="3:6" hidden="1" x14ac:dyDescent="0.3">
      <c r="C504" s="10" t="s">
        <v>494</v>
      </c>
      <c r="D504" s="11" t="s">
        <v>2038</v>
      </c>
      <c r="E504" s="11" t="s">
        <v>1998</v>
      </c>
      <c r="F504" s="12">
        <v>7.23</v>
      </c>
    </row>
    <row r="505" spans="3:6" hidden="1" x14ac:dyDescent="0.3">
      <c r="C505" s="7" t="s">
        <v>495</v>
      </c>
      <c r="D505" s="8" t="s">
        <v>2034</v>
      </c>
      <c r="E505" s="8" t="s">
        <v>2023</v>
      </c>
      <c r="F505" s="9">
        <v>16.079999999999998</v>
      </c>
    </row>
    <row r="506" spans="3:6" hidden="1" x14ac:dyDescent="0.3">
      <c r="C506" s="10" t="s">
        <v>496</v>
      </c>
      <c r="D506" s="11" t="s">
        <v>2040</v>
      </c>
      <c r="E506" s="11" t="s">
        <v>2001</v>
      </c>
      <c r="F506" s="12">
        <v>15.02</v>
      </c>
    </row>
    <row r="507" spans="3:6" hidden="1" x14ac:dyDescent="0.3">
      <c r="C507" s="7" t="s">
        <v>497</v>
      </c>
      <c r="D507" s="8" t="s">
        <v>2047</v>
      </c>
      <c r="E507" s="8" t="s">
        <v>2031</v>
      </c>
      <c r="F507" s="9">
        <v>5.27</v>
      </c>
    </row>
    <row r="508" spans="3:6" hidden="1" x14ac:dyDescent="0.3">
      <c r="C508" s="10" t="s">
        <v>498</v>
      </c>
      <c r="D508" s="11" t="s">
        <v>2044</v>
      </c>
      <c r="E508" s="11" t="s">
        <v>2031</v>
      </c>
      <c r="F508" s="12">
        <v>7.5</v>
      </c>
    </row>
    <row r="509" spans="3:6" hidden="1" x14ac:dyDescent="0.3">
      <c r="C509" s="7" t="s">
        <v>499</v>
      </c>
      <c r="D509" s="8" t="s">
        <v>2034</v>
      </c>
      <c r="E509" s="8" t="s">
        <v>2022</v>
      </c>
      <c r="F509" s="9">
        <v>5.92</v>
      </c>
    </row>
    <row r="510" spans="3:6" hidden="1" x14ac:dyDescent="0.3">
      <c r="C510" s="10" t="s">
        <v>500</v>
      </c>
      <c r="D510" s="11" t="s">
        <v>2038</v>
      </c>
      <c r="E510" s="11" t="s">
        <v>2017</v>
      </c>
      <c r="F510" s="12">
        <v>13.29</v>
      </c>
    </row>
    <row r="511" spans="3:6" hidden="1" x14ac:dyDescent="0.3">
      <c r="C511" s="7" t="s">
        <v>501</v>
      </c>
      <c r="D511" s="8" t="s">
        <v>2034</v>
      </c>
      <c r="E511" s="8" t="s">
        <v>2017</v>
      </c>
      <c r="F511" s="9">
        <v>6.61</v>
      </c>
    </row>
    <row r="512" spans="3:6" hidden="1" x14ac:dyDescent="0.3">
      <c r="C512" s="10" t="s">
        <v>502</v>
      </c>
      <c r="D512" s="11" t="s">
        <v>2034</v>
      </c>
      <c r="E512" s="11" t="s">
        <v>2015</v>
      </c>
      <c r="F512" s="12">
        <v>8.2899999999999991</v>
      </c>
    </row>
    <row r="513" spans="3:6" hidden="1" x14ac:dyDescent="0.3">
      <c r="C513" s="7" t="s">
        <v>503</v>
      </c>
      <c r="D513" s="8" t="s">
        <v>2034</v>
      </c>
      <c r="E513" s="8" t="s">
        <v>2005</v>
      </c>
      <c r="F513" s="9">
        <v>11.65</v>
      </c>
    </row>
    <row r="514" spans="3:6" hidden="1" x14ac:dyDescent="0.3">
      <c r="C514" s="10" t="s">
        <v>504</v>
      </c>
      <c r="D514" s="11" t="s">
        <v>2037</v>
      </c>
      <c r="E514" s="11" t="s">
        <v>2015</v>
      </c>
      <c r="F514" s="12">
        <v>6.36</v>
      </c>
    </row>
    <row r="515" spans="3:6" hidden="1" x14ac:dyDescent="0.3">
      <c r="C515" s="7" t="s">
        <v>505</v>
      </c>
      <c r="D515" s="8" t="s">
        <v>2034</v>
      </c>
      <c r="E515" s="8" t="s">
        <v>2031</v>
      </c>
      <c r="F515" s="9">
        <v>12.58</v>
      </c>
    </row>
    <row r="516" spans="3:6" hidden="1" x14ac:dyDescent="0.3">
      <c r="C516" s="10" t="s">
        <v>506</v>
      </c>
      <c r="D516" s="11" t="s">
        <v>2069</v>
      </c>
      <c r="E516" s="11" t="s">
        <v>2028</v>
      </c>
      <c r="F516" s="12">
        <v>8.17</v>
      </c>
    </row>
    <row r="517" spans="3:6" hidden="1" x14ac:dyDescent="0.3">
      <c r="C517" s="7" t="s">
        <v>507</v>
      </c>
      <c r="D517" s="8" t="s">
        <v>2034</v>
      </c>
      <c r="E517" s="8" t="s">
        <v>2017</v>
      </c>
      <c r="F517" s="9">
        <v>13.16</v>
      </c>
    </row>
    <row r="518" spans="3:6" hidden="1" x14ac:dyDescent="0.3">
      <c r="C518" s="10" t="s">
        <v>508</v>
      </c>
      <c r="D518" s="11" t="s">
        <v>2038</v>
      </c>
      <c r="E518" s="11" t="s">
        <v>1986</v>
      </c>
      <c r="F518" s="12">
        <v>11.02</v>
      </c>
    </row>
    <row r="519" spans="3:6" hidden="1" x14ac:dyDescent="0.3">
      <c r="C519" s="7" t="s">
        <v>509</v>
      </c>
      <c r="D519" s="8" t="s">
        <v>2034</v>
      </c>
      <c r="E519" s="8" t="s">
        <v>1998</v>
      </c>
      <c r="F519" s="9">
        <v>4.3</v>
      </c>
    </row>
    <row r="520" spans="3:6" hidden="1" x14ac:dyDescent="0.3">
      <c r="C520" s="10" t="s">
        <v>510</v>
      </c>
      <c r="D520" s="11" t="s">
        <v>2070</v>
      </c>
      <c r="E520" s="11" t="s">
        <v>1979</v>
      </c>
      <c r="F520" s="12">
        <v>4.4800000000000004</v>
      </c>
    </row>
    <row r="521" spans="3:6" hidden="1" x14ac:dyDescent="0.3">
      <c r="C521" s="7" t="s">
        <v>511</v>
      </c>
      <c r="D521" s="8" t="s">
        <v>2041</v>
      </c>
      <c r="E521" s="8" t="s">
        <v>1987</v>
      </c>
      <c r="F521" s="9">
        <v>17.68</v>
      </c>
    </row>
    <row r="522" spans="3:6" hidden="1" x14ac:dyDescent="0.3">
      <c r="C522" s="10" t="s">
        <v>512</v>
      </c>
      <c r="D522" s="11" t="s">
        <v>2038</v>
      </c>
      <c r="E522" s="11" t="s">
        <v>2015</v>
      </c>
      <c r="F522" s="12">
        <v>13.47</v>
      </c>
    </row>
    <row r="523" spans="3:6" hidden="1" x14ac:dyDescent="0.3">
      <c r="C523" s="7" t="s">
        <v>513</v>
      </c>
      <c r="D523" s="8" t="s">
        <v>2035</v>
      </c>
      <c r="E523" s="8" t="s">
        <v>1979</v>
      </c>
      <c r="F523" s="9">
        <v>5.58</v>
      </c>
    </row>
    <row r="524" spans="3:6" hidden="1" x14ac:dyDescent="0.3">
      <c r="C524" s="10" t="s">
        <v>514</v>
      </c>
      <c r="D524" s="11" t="s">
        <v>2038</v>
      </c>
      <c r="E524" s="11" t="s">
        <v>1997</v>
      </c>
      <c r="F524" s="12">
        <v>11.58</v>
      </c>
    </row>
    <row r="525" spans="3:6" hidden="1" x14ac:dyDescent="0.3">
      <c r="C525" s="7" t="s">
        <v>515</v>
      </c>
      <c r="D525" s="8" t="s">
        <v>2039</v>
      </c>
      <c r="E525" s="8" t="s">
        <v>2030</v>
      </c>
      <c r="F525" s="9">
        <v>24.71</v>
      </c>
    </row>
    <row r="526" spans="3:6" hidden="1" x14ac:dyDescent="0.3">
      <c r="C526" s="10" t="s">
        <v>516</v>
      </c>
      <c r="D526" s="11" t="s">
        <v>2038</v>
      </c>
      <c r="E526" s="11" t="s">
        <v>1987</v>
      </c>
      <c r="F526" s="12">
        <v>9.17</v>
      </c>
    </row>
    <row r="527" spans="3:6" hidden="1" x14ac:dyDescent="0.3">
      <c r="C527" s="7" t="s">
        <v>517</v>
      </c>
      <c r="D527" s="8" t="s">
        <v>2064</v>
      </c>
      <c r="E527" s="8" t="s">
        <v>1998</v>
      </c>
      <c r="F527" s="9">
        <v>8.5500000000000007</v>
      </c>
    </row>
    <row r="528" spans="3:6" hidden="1" x14ac:dyDescent="0.3">
      <c r="C528" s="10" t="s">
        <v>518</v>
      </c>
      <c r="D528" s="11" t="s">
        <v>2034</v>
      </c>
      <c r="E528" s="11" t="s">
        <v>2023</v>
      </c>
      <c r="F528" s="12">
        <v>4.55</v>
      </c>
    </row>
    <row r="529" spans="3:6" hidden="1" x14ac:dyDescent="0.3">
      <c r="C529" s="7" t="s">
        <v>519</v>
      </c>
      <c r="D529" s="8" t="s">
        <v>2045</v>
      </c>
      <c r="E529" s="8" t="s">
        <v>2015</v>
      </c>
      <c r="F529" s="9">
        <v>4.74</v>
      </c>
    </row>
    <row r="530" spans="3:6" hidden="1" x14ac:dyDescent="0.3">
      <c r="C530" s="10" t="s">
        <v>520</v>
      </c>
      <c r="D530" s="11" t="s">
        <v>2034</v>
      </c>
      <c r="E530" s="11" t="s">
        <v>1997</v>
      </c>
      <c r="F530" s="12">
        <v>192.6</v>
      </c>
    </row>
    <row r="531" spans="3:6" hidden="1" x14ac:dyDescent="0.3">
      <c r="C531" s="7" t="s">
        <v>521</v>
      </c>
      <c r="D531" s="8" t="s">
        <v>2041</v>
      </c>
      <c r="E531" s="8" t="s">
        <v>1997</v>
      </c>
      <c r="F531" s="9">
        <v>7.97</v>
      </c>
    </row>
    <row r="532" spans="3:6" hidden="1" x14ac:dyDescent="0.3">
      <c r="C532" s="10" t="s">
        <v>522</v>
      </c>
      <c r="D532" s="11" t="s">
        <v>2066</v>
      </c>
      <c r="E532" s="11" t="s">
        <v>1979</v>
      </c>
      <c r="F532" s="12">
        <v>4.3499999999999996</v>
      </c>
    </row>
    <row r="533" spans="3:6" hidden="1" x14ac:dyDescent="0.3">
      <c r="C533" s="7" t="s">
        <v>523</v>
      </c>
      <c r="D533" s="8" t="s">
        <v>2047</v>
      </c>
      <c r="E533" s="8" t="s">
        <v>1979</v>
      </c>
      <c r="F533" s="9">
        <v>15.84</v>
      </c>
    </row>
    <row r="534" spans="3:6" hidden="1" x14ac:dyDescent="0.3">
      <c r="C534" s="10" t="s">
        <v>524</v>
      </c>
      <c r="D534" s="11" t="s">
        <v>2034</v>
      </c>
      <c r="E534" s="11" t="s">
        <v>2015</v>
      </c>
      <c r="F534" s="12">
        <v>12.7</v>
      </c>
    </row>
    <row r="535" spans="3:6" hidden="1" x14ac:dyDescent="0.3">
      <c r="C535" s="7" t="s">
        <v>525</v>
      </c>
      <c r="D535" s="8" t="s">
        <v>2064</v>
      </c>
      <c r="E535" s="8" t="s">
        <v>1979</v>
      </c>
      <c r="F535" s="9">
        <v>4.0999999999999996</v>
      </c>
    </row>
    <row r="536" spans="3:6" hidden="1" x14ac:dyDescent="0.3">
      <c r="C536" s="10" t="s">
        <v>526</v>
      </c>
      <c r="D536" s="11" t="s">
        <v>1975</v>
      </c>
      <c r="E536" s="11" t="s">
        <v>1979</v>
      </c>
      <c r="F536" s="12">
        <v>4.37</v>
      </c>
    </row>
    <row r="537" spans="3:6" hidden="1" x14ac:dyDescent="0.3">
      <c r="C537" s="7" t="s">
        <v>527</v>
      </c>
      <c r="D537" s="8" t="s">
        <v>2047</v>
      </c>
      <c r="E537" s="8" t="s">
        <v>1997</v>
      </c>
      <c r="F537" s="9">
        <v>22.25</v>
      </c>
    </row>
    <row r="538" spans="3:6" hidden="1" x14ac:dyDescent="0.3">
      <c r="C538" s="10" t="s">
        <v>528</v>
      </c>
      <c r="D538" s="11" t="s">
        <v>2034</v>
      </c>
      <c r="E538" s="11" t="s">
        <v>1987</v>
      </c>
      <c r="F538" s="12">
        <v>7.98</v>
      </c>
    </row>
    <row r="539" spans="3:6" hidden="1" x14ac:dyDescent="0.3">
      <c r="C539" s="7" t="s">
        <v>529</v>
      </c>
      <c r="D539" s="8" t="s">
        <v>2047</v>
      </c>
      <c r="E539" s="8" t="s">
        <v>2015</v>
      </c>
      <c r="F539" s="9">
        <v>8.4600000000000009</v>
      </c>
    </row>
    <row r="540" spans="3:6" hidden="1" x14ac:dyDescent="0.3">
      <c r="C540" s="10" t="s">
        <v>530</v>
      </c>
      <c r="D540" s="11" t="s">
        <v>2055</v>
      </c>
      <c r="E540" s="11" t="s">
        <v>2031</v>
      </c>
      <c r="F540" s="12">
        <v>4.72</v>
      </c>
    </row>
    <row r="541" spans="3:6" hidden="1" x14ac:dyDescent="0.3">
      <c r="C541" s="7" t="s">
        <v>2008</v>
      </c>
      <c r="D541" s="8" t="s">
        <v>2045</v>
      </c>
      <c r="E541" s="8" t="s">
        <v>2005</v>
      </c>
      <c r="F541" s="9">
        <v>7.3</v>
      </c>
    </row>
    <row r="542" spans="3:6" hidden="1" x14ac:dyDescent="0.3">
      <c r="C542" s="10" t="s">
        <v>531</v>
      </c>
      <c r="D542" s="11" t="s">
        <v>2047</v>
      </c>
      <c r="E542" s="11" t="s">
        <v>1979</v>
      </c>
      <c r="F542" s="12">
        <v>4.5199999999999996</v>
      </c>
    </row>
    <row r="543" spans="3:6" hidden="1" x14ac:dyDescent="0.3">
      <c r="C543" s="7" t="s">
        <v>532</v>
      </c>
      <c r="D543" s="8" t="s">
        <v>2034</v>
      </c>
      <c r="E543" s="8" t="s">
        <v>2005</v>
      </c>
      <c r="F543" s="9">
        <v>10.44</v>
      </c>
    </row>
    <row r="544" spans="3:6" hidden="1" x14ac:dyDescent="0.3">
      <c r="C544" s="10" t="s">
        <v>533</v>
      </c>
      <c r="D544" s="11" t="s">
        <v>2071</v>
      </c>
      <c r="E544" s="11" t="s">
        <v>2022</v>
      </c>
      <c r="F544" s="12">
        <v>11.45</v>
      </c>
    </row>
    <row r="545" spans="3:6" hidden="1" x14ac:dyDescent="0.3">
      <c r="C545" s="7" t="s">
        <v>534</v>
      </c>
      <c r="D545" s="8" t="s">
        <v>2038</v>
      </c>
      <c r="E545" s="8" t="s">
        <v>1998</v>
      </c>
      <c r="F545" s="9">
        <v>10.37</v>
      </c>
    </row>
    <row r="546" spans="3:6" hidden="1" x14ac:dyDescent="0.3">
      <c r="C546" s="10" t="s">
        <v>535</v>
      </c>
      <c r="D546" s="11" t="s">
        <v>1975</v>
      </c>
      <c r="E546" s="11" t="s">
        <v>2005</v>
      </c>
      <c r="F546" s="12">
        <v>4.4800000000000004</v>
      </c>
    </row>
    <row r="547" spans="3:6" hidden="1" x14ac:dyDescent="0.3">
      <c r="C547" s="7" t="s">
        <v>536</v>
      </c>
      <c r="D547" s="8" t="s">
        <v>2062</v>
      </c>
      <c r="E547" s="8" t="s">
        <v>2005</v>
      </c>
      <c r="F547" s="9">
        <v>8.64</v>
      </c>
    </row>
    <row r="548" spans="3:6" hidden="1" x14ac:dyDescent="0.3">
      <c r="C548" s="10" t="s">
        <v>537</v>
      </c>
      <c r="D548" s="11" t="s">
        <v>2041</v>
      </c>
      <c r="E548" s="11" t="s">
        <v>1988</v>
      </c>
      <c r="F548" s="12">
        <v>15.26</v>
      </c>
    </row>
    <row r="549" spans="3:6" hidden="1" x14ac:dyDescent="0.3">
      <c r="C549" s="7" t="s">
        <v>538</v>
      </c>
      <c r="D549" s="8" t="s">
        <v>2038</v>
      </c>
      <c r="E549" s="8" t="s">
        <v>2030</v>
      </c>
      <c r="F549" s="9">
        <v>11.39</v>
      </c>
    </row>
    <row r="550" spans="3:6" hidden="1" x14ac:dyDescent="0.3">
      <c r="C550" s="10" t="s">
        <v>539</v>
      </c>
      <c r="D550" s="11" t="s">
        <v>2034</v>
      </c>
      <c r="E550" s="11" t="s">
        <v>1979</v>
      </c>
      <c r="F550" s="12">
        <v>3.74</v>
      </c>
    </row>
    <row r="551" spans="3:6" hidden="1" x14ac:dyDescent="0.3">
      <c r="C551" s="7" t="s">
        <v>540</v>
      </c>
      <c r="D551" s="8" t="s">
        <v>2050</v>
      </c>
      <c r="E551" s="8" t="s">
        <v>1988</v>
      </c>
      <c r="F551" s="9">
        <v>10.119999999999999</v>
      </c>
    </row>
    <row r="552" spans="3:6" hidden="1" x14ac:dyDescent="0.3">
      <c r="C552" s="10" t="s">
        <v>541</v>
      </c>
      <c r="D552" s="11" t="s">
        <v>2042</v>
      </c>
      <c r="E552" s="11" t="s">
        <v>1997</v>
      </c>
      <c r="F552" s="12">
        <v>63.08</v>
      </c>
    </row>
    <row r="553" spans="3:6" hidden="1" x14ac:dyDescent="0.3">
      <c r="C553" s="7" t="s">
        <v>542</v>
      </c>
      <c r="D553" s="8" t="s">
        <v>2034</v>
      </c>
      <c r="E553" s="8" t="s">
        <v>1979</v>
      </c>
      <c r="F553" s="9">
        <v>3.48</v>
      </c>
    </row>
    <row r="554" spans="3:6" hidden="1" x14ac:dyDescent="0.3">
      <c r="C554" s="10" t="s">
        <v>543</v>
      </c>
      <c r="D554" s="11" t="s">
        <v>2041</v>
      </c>
      <c r="E554" s="11" t="s">
        <v>1987</v>
      </c>
      <c r="F554" s="12">
        <v>11.23</v>
      </c>
    </row>
    <row r="555" spans="3:6" hidden="1" x14ac:dyDescent="0.3">
      <c r="C555" s="7" t="s">
        <v>544</v>
      </c>
      <c r="D555" s="8" t="s">
        <v>2042</v>
      </c>
      <c r="E555" s="8" t="s">
        <v>2005</v>
      </c>
      <c r="F555" s="9">
        <v>14.13</v>
      </c>
    </row>
    <row r="556" spans="3:6" hidden="1" x14ac:dyDescent="0.3">
      <c r="C556" s="10" t="s">
        <v>545</v>
      </c>
      <c r="D556" s="11" t="s">
        <v>2038</v>
      </c>
      <c r="E556" s="11" t="s">
        <v>2030</v>
      </c>
      <c r="F556" s="12">
        <v>14.98</v>
      </c>
    </row>
    <row r="557" spans="3:6" hidden="1" x14ac:dyDescent="0.3">
      <c r="C557" s="7" t="s">
        <v>546</v>
      </c>
      <c r="D557" s="8" t="s">
        <v>2041</v>
      </c>
      <c r="E557" s="8" t="s">
        <v>2031</v>
      </c>
      <c r="F557" s="9">
        <v>14.53</v>
      </c>
    </row>
    <row r="558" spans="3:6" hidden="1" x14ac:dyDescent="0.3">
      <c r="C558" s="10" t="s">
        <v>547</v>
      </c>
      <c r="D558" s="11" t="s">
        <v>2052</v>
      </c>
      <c r="E558" s="11" t="s">
        <v>1998</v>
      </c>
      <c r="F558" s="12">
        <v>2.95</v>
      </c>
    </row>
    <row r="559" spans="3:6" hidden="1" x14ac:dyDescent="0.3">
      <c r="C559" s="7" t="s">
        <v>548</v>
      </c>
      <c r="D559" s="8" t="s">
        <v>2035</v>
      </c>
      <c r="E559" s="8" t="s">
        <v>2030</v>
      </c>
      <c r="F559" s="9">
        <v>4</v>
      </c>
    </row>
    <row r="560" spans="3:6" hidden="1" x14ac:dyDescent="0.3">
      <c r="C560" s="10" t="s">
        <v>549</v>
      </c>
      <c r="D560" s="11" t="s">
        <v>2035</v>
      </c>
      <c r="E560" s="11" t="s">
        <v>2001</v>
      </c>
      <c r="F560" s="12">
        <v>5.55</v>
      </c>
    </row>
    <row r="561" spans="3:6" hidden="1" x14ac:dyDescent="0.3">
      <c r="C561" s="7" t="s">
        <v>550</v>
      </c>
      <c r="D561" s="8" t="s">
        <v>2052</v>
      </c>
      <c r="E561" s="8" t="s">
        <v>2028</v>
      </c>
      <c r="F561" s="9">
        <v>9.61</v>
      </c>
    </row>
    <row r="562" spans="3:6" hidden="1" x14ac:dyDescent="0.3">
      <c r="C562" s="10" t="s">
        <v>551</v>
      </c>
      <c r="D562" s="11" t="s">
        <v>2035</v>
      </c>
      <c r="E562" s="11" t="s">
        <v>2004</v>
      </c>
      <c r="F562" s="12">
        <v>7.18</v>
      </c>
    </row>
    <row r="563" spans="3:6" hidden="1" x14ac:dyDescent="0.3">
      <c r="C563" s="7" t="s">
        <v>552</v>
      </c>
      <c r="D563" s="8" t="s">
        <v>2043</v>
      </c>
      <c r="E563" s="8" t="s">
        <v>2025</v>
      </c>
      <c r="F563" s="9">
        <v>6.48</v>
      </c>
    </row>
    <row r="564" spans="3:6" hidden="1" x14ac:dyDescent="0.3">
      <c r="C564" s="10" t="s">
        <v>553</v>
      </c>
      <c r="D564" s="11" t="s">
        <v>2040</v>
      </c>
      <c r="E564" s="11" t="s">
        <v>2031</v>
      </c>
      <c r="F564" s="12">
        <v>7.87</v>
      </c>
    </row>
    <row r="565" spans="3:6" hidden="1" x14ac:dyDescent="0.3">
      <c r="C565" s="7" t="s">
        <v>554</v>
      </c>
      <c r="D565" s="8" t="s">
        <v>2034</v>
      </c>
      <c r="E565" s="8" t="s">
        <v>2031</v>
      </c>
      <c r="F565" s="9">
        <v>6.22</v>
      </c>
    </row>
    <row r="566" spans="3:6" hidden="1" x14ac:dyDescent="0.3">
      <c r="C566" s="10" t="s">
        <v>555</v>
      </c>
      <c r="D566" s="11" t="s">
        <v>2034</v>
      </c>
      <c r="E566" s="11" t="s">
        <v>1988</v>
      </c>
      <c r="F566" s="12">
        <v>7.66</v>
      </c>
    </row>
    <row r="567" spans="3:6" hidden="1" x14ac:dyDescent="0.3">
      <c r="C567" s="7" t="s">
        <v>556</v>
      </c>
      <c r="D567" s="8" t="s">
        <v>2038</v>
      </c>
      <c r="E567" s="8" t="s">
        <v>1987</v>
      </c>
      <c r="F567" s="9">
        <v>16.239999999999998</v>
      </c>
    </row>
    <row r="568" spans="3:6" hidden="1" x14ac:dyDescent="0.3">
      <c r="C568" s="10" t="s">
        <v>557</v>
      </c>
      <c r="D568" s="11" t="s">
        <v>2035</v>
      </c>
      <c r="E568" s="11" t="s">
        <v>2000</v>
      </c>
      <c r="F568" s="12">
        <v>22.82</v>
      </c>
    </row>
    <row r="569" spans="3:6" hidden="1" x14ac:dyDescent="0.3">
      <c r="C569" s="7" t="s">
        <v>558</v>
      </c>
      <c r="D569" s="8" t="s">
        <v>2038</v>
      </c>
      <c r="E569" s="8" t="s">
        <v>2001</v>
      </c>
      <c r="F569" s="9">
        <v>10.23</v>
      </c>
    </row>
    <row r="570" spans="3:6" hidden="1" x14ac:dyDescent="0.3">
      <c r="C570" s="10" t="s">
        <v>559</v>
      </c>
      <c r="D570" s="11" t="s">
        <v>1975</v>
      </c>
      <c r="E570" s="11" t="s">
        <v>2000</v>
      </c>
      <c r="F570" s="12">
        <v>23.86</v>
      </c>
    </row>
    <row r="571" spans="3:6" hidden="1" x14ac:dyDescent="0.3">
      <c r="C571" s="7" t="s">
        <v>560</v>
      </c>
      <c r="D571" s="8" t="s">
        <v>2038</v>
      </c>
      <c r="E571" s="8" t="s">
        <v>1997</v>
      </c>
      <c r="F571" s="9">
        <v>17.07</v>
      </c>
    </row>
    <row r="572" spans="3:6" hidden="1" x14ac:dyDescent="0.3">
      <c r="C572" s="10" t="s">
        <v>561</v>
      </c>
      <c r="D572" s="11" t="s">
        <v>2062</v>
      </c>
      <c r="E572" s="11" t="s">
        <v>1998</v>
      </c>
      <c r="F572" s="12">
        <v>5.24</v>
      </c>
    </row>
    <row r="573" spans="3:6" hidden="1" x14ac:dyDescent="0.3">
      <c r="C573" s="7" t="s">
        <v>562</v>
      </c>
      <c r="D573" s="8" t="s">
        <v>2038</v>
      </c>
      <c r="E573" s="8" t="s">
        <v>1997</v>
      </c>
      <c r="F573" s="9">
        <v>25.15</v>
      </c>
    </row>
    <row r="574" spans="3:6" hidden="1" x14ac:dyDescent="0.3">
      <c r="C574" s="10" t="s">
        <v>2009</v>
      </c>
      <c r="D574" s="11" t="s">
        <v>1975</v>
      </c>
      <c r="E574" s="11" t="s">
        <v>2005</v>
      </c>
      <c r="F574" s="12">
        <v>5.79</v>
      </c>
    </row>
    <row r="575" spans="3:6" hidden="1" x14ac:dyDescent="0.3">
      <c r="C575" s="7" t="s">
        <v>563</v>
      </c>
      <c r="D575" s="8" t="s">
        <v>2038</v>
      </c>
      <c r="E575" s="8" t="s">
        <v>2030</v>
      </c>
      <c r="F575" s="9">
        <v>10.95</v>
      </c>
    </row>
    <row r="576" spans="3:6" hidden="1" x14ac:dyDescent="0.3">
      <c r="C576" s="10" t="s">
        <v>564</v>
      </c>
      <c r="D576" s="11" t="s">
        <v>2035</v>
      </c>
      <c r="E576" s="11" t="s">
        <v>2015</v>
      </c>
      <c r="F576" s="12">
        <v>17.91</v>
      </c>
    </row>
    <row r="577" spans="3:6" hidden="1" x14ac:dyDescent="0.3">
      <c r="C577" s="7" t="s">
        <v>565</v>
      </c>
      <c r="D577" s="8" t="s">
        <v>2034</v>
      </c>
      <c r="E577" s="8" t="s">
        <v>2003</v>
      </c>
      <c r="F577" s="9">
        <v>11.55</v>
      </c>
    </row>
    <row r="578" spans="3:6" hidden="1" x14ac:dyDescent="0.3">
      <c r="C578" s="10" t="s">
        <v>566</v>
      </c>
      <c r="D578" s="11" t="s">
        <v>2035</v>
      </c>
      <c r="E578" s="11" t="s">
        <v>2005</v>
      </c>
      <c r="F578" s="12">
        <v>9.2100000000000009</v>
      </c>
    </row>
    <row r="579" spans="3:6" hidden="1" x14ac:dyDescent="0.3">
      <c r="C579" s="7" t="s">
        <v>567</v>
      </c>
      <c r="D579" s="8" t="s">
        <v>2034</v>
      </c>
      <c r="E579" s="8" t="s">
        <v>1988</v>
      </c>
      <c r="F579" s="9">
        <v>8.25</v>
      </c>
    </row>
    <row r="580" spans="3:6" hidden="1" x14ac:dyDescent="0.3">
      <c r="C580" s="10" t="s">
        <v>568</v>
      </c>
      <c r="D580" s="11" t="s">
        <v>2034</v>
      </c>
      <c r="E580" s="11" t="s">
        <v>2001</v>
      </c>
      <c r="F580" s="12">
        <v>8.69</v>
      </c>
    </row>
    <row r="581" spans="3:6" hidden="1" x14ac:dyDescent="0.3">
      <c r="C581" s="7" t="s">
        <v>569</v>
      </c>
      <c r="D581" s="8" t="s">
        <v>2047</v>
      </c>
      <c r="E581" s="8" t="s">
        <v>2028</v>
      </c>
      <c r="F581" s="9">
        <v>7</v>
      </c>
    </row>
    <row r="582" spans="3:6" hidden="1" x14ac:dyDescent="0.3">
      <c r="C582" s="10" t="s">
        <v>570</v>
      </c>
      <c r="D582" s="11" t="s">
        <v>2066</v>
      </c>
      <c r="E582" s="11" t="s">
        <v>2030</v>
      </c>
      <c r="F582" s="12">
        <v>7.28</v>
      </c>
    </row>
    <row r="583" spans="3:6" hidden="1" x14ac:dyDescent="0.3">
      <c r="C583" s="7" t="s">
        <v>571</v>
      </c>
      <c r="D583" s="8" t="s">
        <v>2041</v>
      </c>
      <c r="E583" s="8" t="s">
        <v>2003</v>
      </c>
      <c r="F583" s="9">
        <v>24.49</v>
      </c>
    </row>
    <row r="584" spans="3:6" hidden="1" x14ac:dyDescent="0.3">
      <c r="C584" s="10" t="s">
        <v>572</v>
      </c>
      <c r="D584" s="11" t="s">
        <v>2052</v>
      </c>
      <c r="E584" s="11" t="s">
        <v>2000</v>
      </c>
      <c r="F584" s="12">
        <v>8.99</v>
      </c>
    </row>
    <row r="585" spans="3:6" hidden="1" x14ac:dyDescent="0.3">
      <c r="C585" s="7" t="s">
        <v>573</v>
      </c>
      <c r="D585" s="8" t="s">
        <v>2034</v>
      </c>
      <c r="E585" s="8" t="s">
        <v>2022</v>
      </c>
      <c r="F585" s="9">
        <v>7.19</v>
      </c>
    </row>
    <row r="586" spans="3:6" hidden="1" x14ac:dyDescent="0.3">
      <c r="C586" s="10" t="s">
        <v>574</v>
      </c>
      <c r="D586" s="11" t="s">
        <v>2034</v>
      </c>
      <c r="E586" s="11" t="s">
        <v>1987</v>
      </c>
      <c r="F586" s="12">
        <v>11.12</v>
      </c>
    </row>
    <row r="587" spans="3:6" hidden="1" x14ac:dyDescent="0.3">
      <c r="C587" s="7" t="s">
        <v>575</v>
      </c>
      <c r="D587" s="8" t="s">
        <v>2035</v>
      </c>
      <c r="E587" s="8" t="s">
        <v>2003</v>
      </c>
      <c r="F587" s="9">
        <v>19.77</v>
      </c>
    </row>
    <row r="588" spans="3:6" hidden="1" x14ac:dyDescent="0.3">
      <c r="C588" s="10" t="s">
        <v>576</v>
      </c>
      <c r="D588" s="11" t="s">
        <v>2037</v>
      </c>
      <c r="E588" s="11" t="s">
        <v>2004</v>
      </c>
      <c r="F588" s="12">
        <v>4.78</v>
      </c>
    </row>
    <row r="589" spans="3:6" hidden="1" x14ac:dyDescent="0.3">
      <c r="C589" s="7" t="s">
        <v>577</v>
      </c>
      <c r="D589" s="8" t="s">
        <v>2034</v>
      </c>
      <c r="E589" s="8" t="s">
        <v>2031</v>
      </c>
      <c r="F589" s="9">
        <v>6.78</v>
      </c>
    </row>
    <row r="590" spans="3:6" hidden="1" x14ac:dyDescent="0.3">
      <c r="C590" s="10" t="s">
        <v>578</v>
      </c>
      <c r="D590" s="11" t="s">
        <v>2034</v>
      </c>
      <c r="E590" s="11" t="s">
        <v>2017</v>
      </c>
      <c r="F590" s="12">
        <v>8.18</v>
      </c>
    </row>
    <row r="591" spans="3:6" hidden="1" x14ac:dyDescent="0.3">
      <c r="C591" s="7" t="s">
        <v>579</v>
      </c>
      <c r="D591" s="8" t="s">
        <v>2035</v>
      </c>
      <c r="E591" s="8" t="s">
        <v>2030</v>
      </c>
      <c r="F591" s="9">
        <v>14.77</v>
      </c>
    </row>
    <row r="592" spans="3:6" hidden="1" x14ac:dyDescent="0.3">
      <c r="C592" s="10" t="s">
        <v>580</v>
      </c>
      <c r="D592" s="11" t="s">
        <v>2034</v>
      </c>
      <c r="E592" s="11" t="s">
        <v>2031</v>
      </c>
      <c r="F592" s="12">
        <v>9.02</v>
      </c>
    </row>
    <row r="593" spans="3:6" hidden="1" x14ac:dyDescent="0.3">
      <c r="C593" s="7" t="s">
        <v>581</v>
      </c>
      <c r="D593" s="8" t="s">
        <v>2063</v>
      </c>
      <c r="E593" s="8" t="s">
        <v>2028</v>
      </c>
      <c r="F593" s="9">
        <v>6.9</v>
      </c>
    </row>
    <row r="594" spans="3:6" hidden="1" x14ac:dyDescent="0.3">
      <c r="C594" s="10" t="s">
        <v>582</v>
      </c>
      <c r="D594" s="11" t="s">
        <v>2034</v>
      </c>
      <c r="E594" s="11" t="s">
        <v>2030</v>
      </c>
      <c r="F594" s="12">
        <v>7.58</v>
      </c>
    </row>
    <row r="595" spans="3:6" hidden="1" x14ac:dyDescent="0.3">
      <c r="C595" s="7" t="s">
        <v>583</v>
      </c>
      <c r="D595" s="8" t="s">
        <v>2034</v>
      </c>
      <c r="E595" s="8" t="s">
        <v>2027</v>
      </c>
      <c r="F595" s="9">
        <v>5.26</v>
      </c>
    </row>
    <row r="596" spans="3:6" hidden="1" x14ac:dyDescent="0.3">
      <c r="C596" s="10" t="s">
        <v>584</v>
      </c>
      <c r="D596" s="11" t="s">
        <v>2065</v>
      </c>
      <c r="E596" s="11" t="s">
        <v>1988</v>
      </c>
      <c r="F596" s="12">
        <v>6.89</v>
      </c>
    </row>
    <row r="597" spans="3:6" hidden="1" x14ac:dyDescent="0.3">
      <c r="C597" s="7" t="s">
        <v>585</v>
      </c>
      <c r="D597" s="8" t="s">
        <v>2034</v>
      </c>
      <c r="E597" s="8" t="s">
        <v>1999</v>
      </c>
      <c r="F597" s="9">
        <v>9.51</v>
      </c>
    </row>
    <row r="598" spans="3:6" hidden="1" x14ac:dyDescent="0.3">
      <c r="C598" s="10" t="s">
        <v>586</v>
      </c>
      <c r="D598" s="11" t="s">
        <v>2034</v>
      </c>
      <c r="E598" s="11" t="s">
        <v>2002</v>
      </c>
      <c r="F598" s="12">
        <v>55.59</v>
      </c>
    </row>
    <row r="599" spans="3:6" hidden="1" x14ac:dyDescent="0.3">
      <c r="C599" s="7" t="s">
        <v>587</v>
      </c>
      <c r="D599" s="8" t="s">
        <v>2042</v>
      </c>
      <c r="E599" s="8" t="s">
        <v>2005</v>
      </c>
      <c r="F599" s="9">
        <v>13.63</v>
      </c>
    </row>
    <row r="600" spans="3:6" hidden="1" x14ac:dyDescent="0.3">
      <c r="C600" s="10" t="s">
        <v>588</v>
      </c>
      <c r="D600" s="11" t="s">
        <v>1975</v>
      </c>
      <c r="E600" s="11" t="s">
        <v>1998</v>
      </c>
      <c r="F600" s="12">
        <v>4.26</v>
      </c>
    </row>
    <row r="601" spans="3:6" hidden="1" x14ac:dyDescent="0.3">
      <c r="C601" s="7" t="s">
        <v>589</v>
      </c>
      <c r="D601" s="8" t="s">
        <v>2034</v>
      </c>
      <c r="E601" s="8" t="s">
        <v>1979</v>
      </c>
      <c r="F601" s="9">
        <v>3.67</v>
      </c>
    </row>
    <row r="602" spans="3:6" hidden="1" x14ac:dyDescent="0.3">
      <c r="C602" s="10" t="s">
        <v>590</v>
      </c>
      <c r="D602" s="11" t="s">
        <v>2041</v>
      </c>
      <c r="E602" s="11" t="s">
        <v>1999</v>
      </c>
      <c r="F602" s="12">
        <v>6.94</v>
      </c>
    </row>
    <row r="603" spans="3:6" hidden="1" x14ac:dyDescent="0.3">
      <c r="C603" s="7" t="s">
        <v>591</v>
      </c>
      <c r="D603" s="8" t="s">
        <v>2052</v>
      </c>
      <c r="E603" s="8" t="s">
        <v>1998</v>
      </c>
      <c r="F603" s="9">
        <v>1.56</v>
      </c>
    </row>
    <row r="604" spans="3:6" hidden="1" x14ac:dyDescent="0.3">
      <c r="C604" s="10" t="s">
        <v>592</v>
      </c>
      <c r="D604" s="11" t="s">
        <v>2034</v>
      </c>
      <c r="E604" s="11" t="s">
        <v>2031</v>
      </c>
      <c r="F604" s="12">
        <v>9.6300000000000008</v>
      </c>
    </row>
    <row r="605" spans="3:6" hidden="1" x14ac:dyDescent="0.3">
      <c r="C605" s="7" t="s">
        <v>593</v>
      </c>
      <c r="D605" s="8" t="s">
        <v>2038</v>
      </c>
      <c r="E605" s="8" t="s">
        <v>2022</v>
      </c>
      <c r="F605" s="9">
        <v>23.35</v>
      </c>
    </row>
    <row r="606" spans="3:6" hidden="1" x14ac:dyDescent="0.3">
      <c r="C606" s="10" t="s">
        <v>594</v>
      </c>
      <c r="D606" s="11" t="s">
        <v>2035</v>
      </c>
      <c r="E606" s="11" t="s">
        <v>2001</v>
      </c>
      <c r="F606" s="12">
        <v>9.92</v>
      </c>
    </row>
    <row r="607" spans="3:6" hidden="1" x14ac:dyDescent="0.3">
      <c r="C607" s="7" t="s">
        <v>595</v>
      </c>
      <c r="D607" s="8" t="s">
        <v>2038</v>
      </c>
      <c r="E607" s="8" t="s">
        <v>2031</v>
      </c>
      <c r="F607" s="9">
        <v>9.44</v>
      </c>
    </row>
    <row r="608" spans="3:6" hidden="1" x14ac:dyDescent="0.3">
      <c r="C608" s="10" t="s">
        <v>596</v>
      </c>
      <c r="D608" s="11" t="s">
        <v>1975</v>
      </c>
      <c r="E608" s="11" t="s">
        <v>1998</v>
      </c>
      <c r="F608" s="12">
        <v>4.96</v>
      </c>
    </row>
    <row r="609" spans="3:6" hidden="1" x14ac:dyDescent="0.3">
      <c r="C609" s="7" t="s">
        <v>597</v>
      </c>
      <c r="D609" s="8" t="s">
        <v>2037</v>
      </c>
      <c r="E609" s="8" t="s">
        <v>1988</v>
      </c>
      <c r="F609" s="9">
        <v>7.69</v>
      </c>
    </row>
    <row r="610" spans="3:6" hidden="1" x14ac:dyDescent="0.3">
      <c r="C610" s="10" t="s">
        <v>598</v>
      </c>
      <c r="D610" s="11" t="s">
        <v>2034</v>
      </c>
      <c r="E610" s="11" t="s">
        <v>1998</v>
      </c>
      <c r="F610" s="12">
        <v>4.51</v>
      </c>
    </row>
    <row r="611" spans="3:6" hidden="1" x14ac:dyDescent="0.3">
      <c r="C611" s="7" t="s">
        <v>599</v>
      </c>
      <c r="D611" s="8" t="s">
        <v>2034</v>
      </c>
      <c r="E611" s="8" t="s">
        <v>1979</v>
      </c>
      <c r="F611" s="9">
        <v>3.62</v>
      </c>
    </row>
    <row r="612" spans="3:6" hidden="1" x14ac:dyDescent="0.3">
      <c r="C612" s="10" t="s">
        <v>600</v>
      </c>
      <c r="D612" s="11" t="s">
        <v>2038</v>
      </c>
      <c r="E612" s="11" t="s">
        <v>1987</v>
      </c>
      <c r="F612" s="12">
        <v>24.17</v>
      </c>
    </row>
    <row r="613" spans="3:6" hidden="1" x14ac:dyDescent="0.3">
      <c r="C613" s="7" t="s">
        <v>601</v>
      </c>
      <c r="D613" s="8" t="s">
        <v>2038</v>
      </c>
      <c r="E613" s="8" t="s">
        <v>1988</v>
      </c>
      <c r="F613" s="9">
        <v>12.85</v>
      </c>
    </row>
    <row r="614" spans="3:6" hidden="1" x14ac:dyDescent="0.3">
      <c r="C614" s="10" t="s">
        <v>602</v>
      </c>
      <c r="D614" s="11" t="s">
        <v>2043</v>
      </c>
      <c r="E614" s="11" t="s">
        <v>1979</v>
      </c>
      <c r="F614" s="12">
        <v>4.63</v>
      </c>
    </row>
    <row r="615" spans="3:6" hidden="1" x14ac:dyDescent="0.3">
      <c r="C615" s="7" t="s">
        <v>603</v>
      </c>
      <c r="D615" s="8" t="s">
        <v>2034</v>
      </c>
      <c r="E615" s="8" t="s">
        <v>2017</v>
      </c>
      <c r="F615" s="9">
        <v>14.54</v>
      </c>
    </row>
    <row r="616" spans="3:6" hidden="1" x14ac:dyDescent="0.3">
      <c r="C616" s="10" t="s">
        <v>604</v>
      </c>
      <c r="D616" s="11" t="s">
        <v>2038</v>
      </c>
      <c r="E616" s="11" t="s">
        <v>1998</v>
      </c>
      <c r="F616" s="12">
        <v>4.83</v>
      </c>
    </row>
    <row r="617" spans="3:6" hidden="1" x14ac:dyDescent="0.3">
      <c r="C617" s="7" t="s">
        <v>605</v>
      </c>
      <c r="D617" s="8" t="s">
        <v>2042</v>
      </c>
      <c r="E617" s="8" t="s">
        <v>1979</v>
      </c>
      <c r="F617" s="9">
        <v>4.2300000000000004</v>
      </c>
    </row>
    <row r="618" spans="3:6" hidden="1" x14ac:dyDescent="0.3">
      <c r="C618" s="10" t="s">
        <v>606</v>
      </c>
      <c r="D618" s="11" t="s">
        <v>2034</v>
      </c>
      <c r="E618" s="11" t="s">
        <v>2022</v>
      </c>
      <c r="F618" s="12">
        <v>4.67</v>
      </c>
    </row>
    <row r="619" spans="3:6" hidden="1" x14ac:dyDescent="0.3">
      <c r="C619" s="7" t="s">
        <v>607</v>
      </c>
      <c r="D619" s="8" t="s">
        <v>2045</v>
      </c>
      <c r="E619" s="8" t="s">
        <v>1979</v>
      </c>
      <c r="F619" s="9">
        <v>4.9800000000000004</v>
      </c>
    </row>
    <row r="620" spans="3:6" hidden="1" x14ac:dyDescent="0.3">
      <c r="C620" s="10" t="s">
        <v>608</v>
      </c>
      <c r="D620" s="11" t="s">
        <v>2053</v>
      </c>
      <c r="E620" s="11" t="s">
        <v>2015</v>
      </c>
      <c r="F620" s="12">
        <v>11.05</v>
      </c>
    </row>
    <row r="621" spans="3:6" hidden="1" x14ac:dyDescent="0.3">
      <c r="C621" s="7" t="s">
        <v>609</v>
      </c>
      <c r="D621" s="8" t="s">
        <v>2034</v>
      </c>
      <c r="E621" s="8" t="s">
        <v>2027</v>
      </c>
      <c r="F621" s="9">
        <v>4.58</v>
      </c>
    </row>
    <row r="622" spans="3:6" hidden="1" x14ac:dyDescent="0.3">
      <c r="C622" s="10" t="s">
        <v>610</v>
      </c>
      <c r="D622" s="11" t="s">
        <v>2049</v>
      </c>
      <c r="E622" s="11" t="s">
        <v>2001</v>
      </c>
      <c r="F622" s="12">
        <v>8.19</v>
      </c>
    </row>
    <row r="623" spans="3:6" hidden="1" x14ac:dyDescent="0.3">
      <c r="C623" s="7" t="s">
        <v>611</v>
      </c>
      <c r="D623" s="8" t="s">
        <v>2037</v>
      </c>
      <c r="E623" s="8" t="s">
        <v>1986</v>
      </c>
      <c r="F623" s="9">
        <v>23.35</v>
      </c>
    </row>
    <row r="624" spans="3:6" hidden="1" x14ac:dyDescent="0.3">
      <c r="C624" s="10" t="s">
        <v>612</v>
      </c>
      <c r="D624" s="11" t="s">
        <v>2038</v>
      </c>
      <c r="E624" s="11" t="s">
        <v>1997</v>
      </c>
      <c r="F624" s="12">
        <v>4.8099999999999996</v>
      </c>
    </row>
    <row r="625" spans="3:6" hidden="1" x14ac:dyDescent="0.3">
      <c r="C625" s="7" t="s">
        <v>613</v>
      </c>
      <c r="D625" s="8" t="s">
        <v>2051</v>
      </c>
      <c r="E625" s="8" t="s">
        <v>2001</v>
      </c>
      <c r="F625" s="9">
        <v>24.28</v>
      </c>
    </row>
    <row r="626" spans="3:6" hidden="1" x14ac:dyDescent="0.3">
      <c r="C626" s="10" t="s">
        <v>614</v>
      </c>
      <c r="D626" s="11" t="s">
        <v>2034</v>
      </c>
      <c r="E626" s="11" t="s">
        <v>1992</v>
      </c>
      <c r="F626" s="12">
        <v>6.73</v>
      </c>
    </row>
    <row r="627" spans="3:6" hidden="1" x14ac:dyDescent="0.3">
      <c r="C627" s="7" t="s">
        <v>615</v>
      </c>
      <c r="D627" s="8" t="s">
        <v>2034</v>
      </c>
      <c r="E627" s="8" t="s">
        <v>2003</v>
      </c>
      <c r="F627" s="9">
        <v>6.48</v>
      </c>
    </row>
    <row r="628" spans="3:6" hidden="1" x14ac:dyDescent="0.3">
      <c r="C628" s="10" t="s">
        <v>616</v>
      </c>
      <c r="D628" s="11" t="s">
        <v>2036</v>
      </c>
      <c r="E628" s="11" t="s">
        <v>2000</v>
      </c>
      <c r="F628" s="12">
        <v>70.56</v>
      </c>
    </row>
    <row r="629" spans="3:6" hidden="1" x14ac:dyDescent="0.3">
      <c r="C629" s="7" t="s">
        <v>617</v>
      </c>
      <c r="D629" s="8" t="s">
        <v>2036</v>
      </c>
      <c r="E629" s="8" t="s">
        <v>2001</v>
      </c>
      <c r="F629" s="9">
        <v>12.76</v>
      </c>
    </row>
    <row r="630" spans="3:6" hidden="1" x14ac:dyDescent="0.3">
      <c r="C630" s="10" t="s">
        <v>618</v>
      </c>
      <c r="D630" s="11" t="s">
        <v>2034</v>
      </c>
      <c r="E630" s="11" t="s">
        <v>2015</v>
      </c>
      <c r="F630" s="12">
        <v>14.04</v>
      </c>
    </row>
    <row r="631" spans="3:6" hidden="1" x14ac:dyDescent="0.3">
      <c r="C631" s="7" t="s">
        <v>619</v>
      </c>
      <c r="D631" s="8" t="s">
        <v>2034</v>
      </c>
      <c r="E631" s="8" t="s">
        <v>2005</v>
      </c>
      <c r="F631" s="9">
        <v>4.34</v>
      </c>
    </row>
    <row r="632" spans="3:6" hidden="1" x14ac:dyDescent="0.3">
      <c r="C632" s="10" t="s">
        <v>620</v>
      </c>
      <c r="D632" s="11" t="s">
        <v>2034</v>
      </c>
      <c r="E632" s="11" t="s">
        <v>1979</v>
      </c>
      <c r="F632" s="12">
        <v>3.4</v>
      </c>
    </row>
    <row r="633" spans="3:6" hidden="1" x14ac:dyDescent="0.3">
      <c r="C633" s="7" t="s">
        <v>621</v>
      </c>
      <c r="D633" s="8" t="s">
        <v>2039</v>
      </c>
      <c r="E633" s="8" t="s">
        <v>2003</v>
      </c>
      <c r="F633" s="9">
        <v>9.6</v>
      </c>
    </row>
    <row r="634" spans="3:6" hidden="1" x14ac:dyDescent="0.3">
      <c r="C634" s="10" t="s">
        <v>622</v>
      </c>
      <c r="D634" s="11" t="s">
        <v>2034</v>
      </c>
      <c r="E634" s="11" t="s">
        <v>2002</v>
      </c>
      <c r="F634" s="12">
        <v>6.28</v>
      </c>
    </row>
    <row r="635" spans="3:6" hidden="1" x14ac:dyDescent="0.3">
      <c r="C635" s="7" t="s">
        <v>623</v>
      </c>
      <c r="D635" s="8" t="s">
        <v>2034</v>
      </c>
      <c r="E635" s="8" t="s">
        <v>1988</v>
      </c>
      <c r="F635" s="9">
        <v>18.61</v>
      </c>
    </row>
    <row r="636" spans="3:6" hidden="1" x14ac:dyDescent="0.3">
      <c r="C636" s="10" t="s">
        <v>624</v>
      </c>
      <c r="D636" s="11" t="s">
        <v>2042</v>
      </c>
      <c r="E636" s="11" t="s">
        <v>1979</v>
      </c>
      <c r="F636" s="12">
        <v>4.8499999999999996</v>
      </c>
    </row>
    <row r="637" spans="3:6" hidden="1" x14ac:dyDescent="0.3">
      <c r="C637" s="7" t="s">
        <v>625</v>
      </c>
      <c r="D637" s="8" t="s">
        <v>2041</v>
      </c>
      <c r="E637" s="8" t="s">
        <v>2005</v>
      </c>
      <c r="F637" s="9">
        <v>11.91</v>
      </c>
    </row>
    <row r="638" spans="3:6" hidden="1" x14ac:dyDescent="0.3">
      <c r="C638" s="10" t="s">
        <v>626</v>
      </c>
      <c r="D638" s="11" t="s">
        <v>2034</v>
      </c>
      <c r="E638" s="11" t="s">
        <v>2005</v>
      </c>
      <c r="F638" s="12">
        <v>9.67</v>
      </c>
    </row>
    <row r="639" spans="3:6" hidden="1" x14ac:dyDescent="0.3">
      <c r="C639" s="7" t="s">
        <v>627</v>
      </c>
      <c r="D639" s="8" t="s">
        <v>2047</v>
      </c>
      <c r="E639" s="8" t="s">
        <v>2022</v>
      </c>
      <c r="F639" s="9">
        <v>7.27</v>
      </c>
    </row>
    <row r="640" spans="3:6" hidden="1" x14ac:dyDescent="0.3">
      <c r="C640" s="10" t="s">
        <v>628</v>
      </c>
      <c r="D640" s="11" t="s">
        <v>2055</v>
      </c>
      <c r="E640" s="11" t="s">
        <v>1979</v>
      </c>
      <c r="F640" s="12">
        <v>1.38</v>
      </c>
    </row>
    <row r="641" spans="3:6" hidden="1" x14ac:dyDescent="0.3">
      <c r="C641" s="7" t="s">
        <v>629</v>
      </c>
      <c r="D641" s="8" t="s">
        <v>2034</v>
      </c>
      <c r="E641" s="8" t="s">
        <v>2000</v>
      </c>
      <c r="F641" s="9">
        <v>59.53</v>
      </c>
    </row>
    <row r="642" spans="3:6" hidden="1" x14ac:dyDescent="0.3">
      <c r="C642" s="10" t="s">
        <v>630</v>
      </c>
      <c r="D642" s="11" t="s">
        <v>2038</v>
      </c>
      <c r="E642" s="11" t="s">
        <v>1998</v>
      </c>
      <c r="F642" s="12">
        <v>3.2</v>
      </c>
    </row>
    <row r="643" spans="3:6" hidden="1" x14ac:dyDescent="0.3">
      <c r="C643" s="7" t="s">
        <v>631</v>
      </c>
      <c r="D643" s="8" t="s">
        <v>2072</v>
      </c>
      <c r="E643" s="8" t="s">
        <v>2031</v>
      </c>
      <c r="F643" s="9">
        <v>4.4800000000000004</v>
      </c>
    </row>
    <row r="644" spans="3:6" hidden="1" x14ac:dyDescent="0.3">
      <c r="C644" s="10" t="s">
        <v>632</v>
      </c>
      <c r="D644" s="11" t="s">
        <v>2047</v>
      </c>
      <c r="E644" s="11" t="s">
        <v>2015</v>
      </c>
      <c r="F644" s="12">
        <v>21.1</v>
      </c>
    </row>
    <row r="645" spans="3:6" hidden="1" x14ac:dyDescent="0.3">
      <c r="C645" s="7" t="s">
        <v>633</v>
      </c>
      <c r="D645" s="8" t="s">
        <v>2034</v>
      </c>
      <c r="E645" s="8" t="s">
        <v>1978</v>
      </c>
      <c r="F645" s="9">
        <v>9.44</v>
      </c>
    </row>
    <row r="646" spans="3:6" hidden="1" x14ac:dyDescent="0.3">
      <c r="C646" s="10" t="s">
        <v>634</v>
      </c>
      <c r="D646" s="11" t="s">
        <v>2070</v>
      </c>
      <c r="E646" s="11" t="s">
        <v>1979</v>
      </c>
      <c r="F646" s="12">
        <v>3.56</v>
      </c>
    </row>
    <row r="647" spans="3:6" hidden="1" x14ac:dyDescent="0.3">
      <c r="C647" s="7" t="s">
        <v>635</v>
      </c>
      <c r="D647" s="8" t="s">
        <v>2034</v>
      </c>
      <c r="E647" s="8" t="s">
        <v>1988</v>
      </c>
      <c r="F647" s="9">
        <v>7.99</v>
      </c>
    </row>
    <row r="648" spans="3:6" hidden="1" x14ac:dyDescent="0.3">
      <c r="C648" s="10" t="s">
        <v>636</v>
      </c>
      <c r="D648" s="11" t="s">
        <v>2034</v>
      </c>
      <c r="E648" s="11" t="s">
        <v>1988</v>
      </c>
      <c r="F648" s="12">
        <v>10.199999999999999</v>
      </c>
    </row>
    <row r="649" spans="3:6" hidden="1" x14ac:dyDescent="0.3">
      <c r="C649" s="7" t="s">
        <v>637</v>
      </c>
      <c r="D649" s="8" t="s">
        <v>2034</v>
      </c>
      <c r="E649" s="8" t="s">
        <v>1979</v>
      </c>
      <c r="F649" s="9">
        <v>3.57</v>
      </c>
    </row>
    <row r="650" spans="3:6" hidden="1" x14ac:dyDescent="0.3">
      <c r="C650" s="10" t="s">
        <v>638</v>
      </c>
      <c r="D650" s="11" t="s">
        <v>2041</v>
      </c>
      <c r="E650" s="11" t="s">
        <v>2002</v>
      </c>
      <c r="F650" s="12">
        <v>25.99</v>
      </c>
    </row>
    <row r="651" spans="3:6" hidden="1" x14ac:dyDescent="0.3">
      <c r="C651" s="7" t="s">
        <v>639</v>
      </c>
      <c r="D651" s="8" t="s">
        <v>2038</v>
      </c>
      <c r="E651" s="8" t="s">
        <v>2017</v>
      </c>
      <c r="F651" s="9">
        <v>13.19</v>
      </c>
    </row>
    <row r="652" spans="3:6" hidden="1" x14ac:dyDescent="0.3">
      <c r="C652" s="10" t="s">
        <v>640</v>
      </c>
      <c r="D652" s="11" t="s">
        <v>2065</v>
      </c>
      <c r="E652" s="11" t="s">
        <v>2015</v>
      </c>
      <c r="F652" s="12">
        <v>6.04</v>
      </c>
    </row>
    <row r="653" spans="3:6" hidden="1" x14ac:dyDescent="0.3">
      <c r="C653" s="7" t="s">
        <v>641</v>
      </c>
      <c r="D653" s="8" t="s">
        <v>2038</v>
      </c>
      <c r="E653" s="8" t="s">
        <v>2004</v>
      </c>
      <c r="F653" s="9">
        <v>12.12</v>
      </c>
    </row>
    <row r="654" spans="3:6" hidden="1" x14ac:dyDescent="0.3">
      <c r="C654" s="10" t="s">
        <v>642</v>
      </c>
      <c r="D654" s="11" t="s">
        <v>2057</v>
      </c>
      <c r="E654" s="11" t="s">
        <v>1987</v>
      </c>
      <c r="F654" s="12">
        <v>7.96</v>
      </c>
    </row>
    <row r="655" spans="3:6" hidden="1" x14ac:dyDescent="0.3">
      <c r="C655" s="7" t="s">
        <v>643</v>
      </c>
      <c r="D655" s="8" t="s">
        <v>2042</v>
      </c>
      <c r="E655" s="8" t="s">
        <v>2030</v>
      </c>
      <c r="F655" s="9">
        <v>3.89</v>
      </c>
    </row>
    <row r="656" spans="3:6" hidden="1" x14ac:dyDescent="0.3">
      <c r="C656" s="10" t="s">
        <v>644</v>
      </c>
      <c r="D656" s="11" t="s">
        <v>2034</v>
      </c>
      <c r="E656" s="11" t="s">
        <v>1988</v>
      </c>
      <c r="F656" s="12">
        <v>6.63</v>
      </c>
    </row>
    <row r="657" spans="3:6" hidden="1" x14ac:dyDescent="0.3">
      <c r="C657" s="7" t="s">
        <v>645</v>
      </c>
      <c r="D657" s="8" t="s">
        <v>2047</v>
      </c>
      <c r="E657" s="8" t="s">
        <v>2022</v>
      </c>
      <c r="F657" s="9">
        <v>4.1100000000000003</v>
      </c>
    </row>
    <row r="658" spans="3:6" hidden="1" x14ac:dyDescent="0.3">
      <c r="C658" s="10" t="s">
        <v>646</v>
      </c>
      <c r="D658" s="11" t="s">
        <v>2064</v>
      </c>
      <c r="E658" s="11" t="s">
        <v>1992</v>
      </c>
      <c r="F658" s="12">
        <v>16.48</v>
      </c>
    </row>
    <row r="659" spans="3:6" hidden="1" x14ac:dyDescent="0.3">
      <c r="C659" s="7" t="s">
        <v>647</v>
      </c>
      <c r="D659" s="8" t="s">
        <v>2034</v>
      </c>
      <c r="E659" s="8" t="s">
        <v>2023</v>
      </c>
      <c r="F659" s="9">
        <v>16.059999999999999</v>
      </c>
    </row>
    <row r="660" spans="3:6" hidden="1" x14ac:dyDescent="0.3">
      <c r="C660" s="10" t="s">
        <v>648</v>
      </c>
      <c r="D660" s="11" t="s">
        <v>2061</v>
      </c>
      <c r="E660" s="11" t="s">
        <v>1979</v>
      </c>
      <c r="F660" s="12">
        <v>3.9</v>
      </c>
    </row>
    <row r="661" spans="3:6" hidden="1" x14ac:dyDescent="0.3">
      <c r="C661" s="7" t="s">
        <v>649</v>
      </c>
      <c r="D661" s="8" t="s">
        <v>2040</v>
      </c>
      <c r="E661" s="8" t="s">
        <v>2004</v>
      </c>
      <c r="F661" s="9">
        <v>7.39</v>
      </c>
    </row>
    <row r="662" spans="3:6" hidden="1" x14ac:dyDescent="0.3">
      <c r="C662" s="10" t="s">
        <v>650</v>
      </c>
      <c r="D662" s="11" t="s">
        <v>2034</v>
      </c>
      <c r="E662" s="11" t="s">
        <v>2005</v>
      </c>
      <c r="F662" s="12">
        <v>4.22</v>
      </c>
    </row>
    <row r="663" spans="3:6" hidden="1" x14ac:dyDescent="0.3">
      <c r="C663" s="7" t="s">
        <v>651</v>
      </c>
      <c r="D663" s="8" t="s">
        <v>2034</v>
      </c>
      <c r="E663" s="8" t="s">
        <v>2023</v>
      </c>
      <c r="F663" s="9">
        <v>5.75</v>
      </c>
    </row>
    <row r="664" spans="3:6" hidden="1" x14ac:dyDescent="0.3">
      <c r="C664" s="10" t="s">
        <v>652</v>
      </c>
      <c r="D664" s="11" t="s">
        <v>2034</v>
      </c>
      <c r="E664" s="11" t="s">
        <v>1998</v>
      </c>
      <c r="F664" s="12">
        <v>3.17</v>
      </c>
    </row>
    <row r="665" spans="3:6" hidden="1" x14ac:dyDescent="0.3">
      <c r="C665" s="7" t="s">
        <v>653</v>
      </c>
      <c r="D665" s="8" t="s">
        <v>2034</v>
      </c>
      <c r="E665" s="8" t="s">
        <v>2001</v>
      </c>
      <c r="F665" s="9">
        <v>7.63</v>
      </c>
    </row>
    <row r="666" spans="3:6" hidden="1" x14ac:dyDescent="0.3">
      <c r="C666" s="10" t="s">
        <v>654</v>
      </c>
      <c r="D666" s="11" t="s">
        <v>2034</v>
      </c>
      <c r="E666" s="11" t="s">
        <v>2005</v>
      </c>
      <c r="F666" s="12">
        <v>7.5</v>
      </c>
    </row>
    <row r="667" spans="3:6" hidden="1" x14ac:dyDescent="0.3">
      <c r="C667" s="7" t="s">
        <v>655</v>
      </c>
      <c r="D667" s="8" t="s">
        <v>2034</v>
      </c>
      <c r="E667" s="8" t="s">
        <v>2017</v>
      </c>
      <c r="F667" s="9">
        <v>6</v>
      </c>
    </row>
    <row r="668" spans="3:6" hidden="1" x14ac:dyDescent="0.3">
      <c r="C668" s="10" t="s">
        <v>656</v>
      </c>
      <c r="D668" s="11" t="s">
        <v>2035</v>
      </c>
      <c r="E668" s="11" t="s">
        <v>2017</v>
      </c>
      <c r="F668" s="12">
        <v>7.04</v>
      </c>
    </row>
    <row r="669" spans="3:6" hidden="1" x14ac:dyDescent="0.3">
      <c r="C669" s="7" t="s">
        <v>657</v>
      </c>
      <c r="D669" s="8" t="s">
        <v>2057</v>
      </c>
      <c r="E669" s="8" t="s">
        <v>1987</v>
      </c>
      <c r="F669" s="9">
        <v>6.63</v>
      </c>
    </row>
    <row r="670" spans="3:6" hidden="1" x14ac:dyDescent="0.3">
      <c r="C670" s="10" t="s">
        <v>658</v>
      </c>
      <c r="D670" s="11" t="s">
        <v>2034</v>
      </c>
      <c r="E670" s="11" t="s">
        <v>1979</v>
      </c>
      <c r="F670" s="12">
        <v>3.01</v>
      </c>
    </row>
    <row r="671" spans="3:6" hidden="1" x14ac:dyDescent="0.3">
      <c r="C671" s="7" t="s">
        <v>659</v>
      </c>
      <c r="D671" s="8" t="s">
        <v>2038</v>
      </c>
      <c r="E671" s="8" t="s">
        <v>2004</v>
      </c>
      <c r="F671" s="9">
        <v>8.74</v>
      </c>
    </row>
    <row r="672" spans="3:6" hidden="1" x14ac:dyDescent="0.3">
      <c r="C672" s="10" t="s">
        <v>660</v>
      </c>
      <c r="D672" s="11" t="s">
        <v>2042</v>
      </c>
      <c r="E672" s="11" t="s">
        <v>1998</v>
      </c>
      <c r="F672" s="12">
        <v>70.39</v>
      </c>
    </row>
    <row r="673" spans="3:6" hidden="1" x14ac:dyDescent="0.3">
      <c r="C673" s="7" t="s">
        <v>661</v>
      </c>
      <c r="D673" s="8" t="s">
        <v>2038</v>
      </c>
      <c r="E673" s="8" t="s">
        <v>1998</v>
      </c>
      <c r="F673" s="9">
        <v>4.05</v>
      </c>
    </row>
    <row r="674" spans="3:6" hidden="1" x14ac:dyDescent="0.3">
      <c r="C674" s="10" t="s">
        <v>662</v>
      </c>
      <c r="D674" s="11" t="s">
        <v>2060</v>
      </c>
      <c r="E674" s="11" t="s">
        <v>2001</v>
      </c>
      <c r="F674" s="12">
        <v>8.4</v>
      </c>
    </row>
    <row r="675" spans="3:6" hidden="1" x14ac:dyDescent="0.3">
      <c r="C675" s="7" t="s">
        <v>663</v>
      </c>
      <c r="D675" s="8" t="s">
        <v>1975</v>
      </c>
      <c r="E675" s="8" t="s">
        <v>2000</v>
      </c>
      <c r="F675" s="9">
        <v>27.39</v>
      </c>
    </row>
    <row r="676" spans="3:6" hidden="1" x14ac:dyDescent="0.3">
      <c r="C676" s="10" t="s">
        <v>664</v>
      </c>
      <c r="D676" s="11" t="s">
        <v>2035</v>
      </c>
      <c r="E676" s="11" t="s">
        <v>1988</v>
      </c>
      <c r="F676" s="12">
        <v>6.62</v>
      </c>
    </row>
    <row r="677" spans="3:6" hidden="1" x14ac:dyDescent="0.3">
      <c r="C677" s="7" t="s">
        <v>665</v>
      </c>
      <c r="D677" s="8" t="s">
        <v>2050</v>
      </c>
      <c r="E677" s="8" t="s">
        <v>2028</v>
      </c>
      <c r="F677" s="9">
        <v>7.35</v>
      </c>
    </row>
    <row r="678" spans="3:6" hidden="1" x14ac:dyDescent="0.3">
      <c r="C678" s="10" t="s">
        <v>666</v>
      </c>
      <c r="D678" s="11" t="s">
        <v>2035</v>
      </c>
      <c r="E678" s="11" t="s">
        <v>2031</v>
      </c>
      <c r="F678" s="12">
        <v>12.95</v>
      </c>
    </row>
    <row r="679" spans="3:6" hidden="1" x14ac:dyDescent="0.3">
      <c r="C679" s="7" t="s">
        <v>667</v>
      </c>
      <c r="D679" s="8" t="s">
        <v>2045</v>
      </c>
      <c r="E679" s="8" t="s">
        <v>2015</v>
      </c>
      <c r="F679" s="9">
        <v>7.05</v>
      </c>
    </row>
    <row r="680" spans="3:6" hidden="1" x14ac:dyDescent="0.3">
      <c r="C680" s="10" t="s">
        <v>668</v>
      </c>
      <c r="D680" s="11" t="s">
        <v>2054</v>
      </c>
      <c r="E680" s="11" t="s">
        <v>1999</v>
      </c>
      <c r="F680" s="12">
        <v>5.35</v>
      </c>
    </row>
    <row r="681" spans="3:6" hidden="1" x14ac:dyDescent="0.3">
      <c r="C681" s="7" t="s">
        <v>2032</v>
      </c>
      <c r="D681" s="8" t="s">
        <v>2035</v>
      </c>
      <c r="E681" s="8" t="s">
        <v>2031</v>
      </c>
      <c r="F681" s="9">
        <v>4.26</v>
      </c>
    </row>
    <row r="682" spans="3:6" hidden="1" x14ac:dyDescent="0.3">
      <c r="C682" s="10" t="s">
        <v>669</v>
      </c>
      <c r="D682" s="11" t="s">
        <v>2038</v>
      </c>
      <c r="E682" s="11" t="s">
        <v>1993</v>
      </c>
      <c r="F682" s="12">
        <v>12.74</v>
      </c>
    </row>
    <row r="683" spans="3:6" hidden="1" x14ac:dyDescent="0.3">
      <c r="C683" s="7" t="s">
        <v>670</v>
      </c>
      <c r="D683" s="8" t="s">
        <v>2042</v>
      </c>
      <c r="E683" s="8" t="s">
        <v>1979</v>
      </c>
      <c r="F683" s="9">
        <v>4.0999999999999996</v>
      </c>
    </row>
    <row r="684" spans="3:6" hidden="1" x14ac:dyDescent="0.3">
      <c r="C684" s="10" t="s">
        <v>671</v>
      </c>
      <c r="D684" s="11" t="s">
        <v>2073</v>
      </c>
      <c r="E684" s="11" t="s">
        <v>2027</v>
      </c>
      <c r="F684" s="12">
        <v>8.5399999999999991</v>
      </c>
    </row>
    <row r="685" spans="3:6" hidden="1" x14ac:dyDescent="0.3">
      <c r="C685" s="7" t="s">
        <v>672</v>
      </c>
      <c r="D685" s="8" t="s">
        <v>2057</v>
      </c>
      <c r="E685" s="8" t="s">
        <v>2023</v>
      </c>
      <c r="F685" s="9">
        <v>7.57</v>
      </c>
    </row>
    <row r="686" spans="3:6" hidden="1" x14ac:dyDescent="0.3">
      <c r="C686" s="10" t="s">
        <v>673</v>
      </c>
      <c r="D686" s="11" t="s">
        <v>2038</v>
      </c>
      <c r="E686" s="11" t="s">
        <v>2029</v>
      </c>
      <c r="F686" s="12">
        <v>31.17</v>
      </c>
    </row>
    <row r="687" spans="3:6" hidden="1" x14ac:dyDescent="0.3">
      <c r="C687" s="7" t="s">
        <v>674</v>
      </c>
      <c r="D687" s="8" t="s">
        <v>1975</v>
      </c>
      <c r="E687" s="8" t="s">
        <v>2030</v>
      </c>
      <c r="F687" s="9">
        <v>9.6300000000000008</v>
      </c>
    </row>
    <row r="688" spans="3:6" hidden="1" x14ac:dyDescent="0.3">
      <c r="C688" s="10" t="s">
        <v>675</v>
      </c>
      <c r="D688" s="11" t="s">
        <v>2038</v>
      </c>
      <c r="E688" s="11" t="s">
        <v>2030</v>
      </c>
      <c r="F688" s="12">
        <v>9.85</v>
      </c>
    </row>
    <row r="689" spans="3:6" hidden="1" x14ac:dyDescent="0.3">
      <c r="C689" s="7" t="s">
        <v>676</v>
      </c>
      <c r="D689" s="8" t="s">
        <v>2034</v>
      </c>
      <c r="E689" s="8" t="s">
        <v>2003</v>
      </c>
      <c r="F689" s="9">
        <v>9.35</v>
      </c>
    </row>
    <row r="690" spans="3:6" hidden="1" x14ac:dyDescent="0.3">
      <c r="C690" s="10" t="s">
        <v>677</v>
      </c>
      <c r="D690" s="11" t="s">
        <v>2038</v>
      </c>
      <c r="E690" s="11" t="s">
        <v>2015</v>
      </c>
      <c r="F690" s="12">
        <v>11.06</v>
      </c>
    </row>
    <row r="691" spans="3:6" hidden="1" x14ac:dyDescent="0.3">
      <c r="C691" s="7" t="s">
        <v>1983</v>
      </c>
      <c r="D691" s="8" t="s">
        <v>2066</v>
      </c>
      <c r="E691" s="8" t="s">
        <v>1979</v>
      </c>
      <c r="F691" s="9">
        <v>2.2599999999999998</v>
      </c>
    </row>
    <row r="692" spans="3:6" hidden="1" x14ac:dyDescent="0.3">
      <c r="C692" s="10" t="s">
        <v>678</v>
      </c>
      <c r="D692" s="11" t="s">
        <v>2042</v>
      </c>
      <c r="E692" s="11" t="s">
        <v>1998</v>
      </c>
      <c r="F692" s="12">
        <v>2.4</v>
      </c>
    </row>
    <row r="693" spans="3:6" hidden="1" x14ac:dyDescent="0.3">
      <c r="C693" s="7" t="s">
        <v>679</v>
      </c>
      <c r="D693" s="8" t="s">
        <v>2034</v>
      </c>
      <c r="E693" s="8" t="s">
        <v>2022</v>
      </c>
      <c r="F693" s="9">
        <v>11.88</v>
      </c>
    </row>
    <row r="694" spans="3:6" hidden="1" x14ac:dyDescent="0.3">
      <c r="C694" s="10" t="s">
        <v>680</v>
      </c>
      <c r="D694" s="11" t="s">
        <v>2052</v>
      </c>
      <c r="E694" s="11" t="s">
        <v>2031</v>
      </c>
      <c r="F694" s="12">
        <v>3.96</v>
      </c>
    </row>
    <row r="695" spans="3:6" hidden="1" x14ac:dyDescent="0.3">
      <c r="C695" s="7" t="s">
        <v>2018</v>
      </c>
      <c r="D695" s="8" t="s">
        <v>2034</v>
      </c>
      <c r="E695" s="8" t="s">
        <v>2017</v>
      </c>
      <c r="F695" s="9">
        <v>8.01</v>
      </c>
    </row>
    <row r="696" spans="3:6" hidden="1" x14ac:dyDescent="0.3">
      <c r="C696" s="10" t="s">
        <v>681</v>
      </c>
      <c r="D696" s="11" t="s">
        <v>2034</v>
      </c>
      <c r="E696" s="11" t="s">
        <v>2003</v>
      </c>
      <c r="F696" s="12">
        <v>5.98</v>
      </c>
    </row>
    <row r="697" spans="3:6" hidden="1" x14ac:dyDescent="0.3">
      <c r="C697" s="7" t="s">
        <v>682</v>
      </c>
      <c r="D697" s="8" t="s">
        <v>2062</v>
      </c>
      <c r="E697" s="8" t="s">
        <v>1979</v>
      </c>
      <c r="F697" s="9">
        <v>2.83</v>
      </c>
    </row>
    <row r="698" spans="3:6" hidden="1" x14ac:dyDescent="0.3">
      <c r="C698" s="10" t="s">
        <v>683</v>
      </c>
      <c r="D698" s="11" t="s">
        <v>2043</v>
      </c>
      <c r="E698" s="11" t="s">
        <v>1979</v>
      </c>
      <c r="F698" s="12">
        <v>5.13</v>
      </c>
    </row>
    <row r="699" spans="3:6" hidden="1" x14ac:dyDescent="0.3">
      <c r="C699" s="7" t="s">
        <v>684</v>
      </c>
      <c r="D699" s="8" t="s">
        <v>2034</v>
      </c>
      <c r="E699" s="8" t="s">
        <v>2001</v>
      </c>
      <c r="F699" s="9">
        <v>11.89</v>
      </c>
    </row>
    <row r="700" spans="3:6" hidden="1" x14ac:dyDescent="0.3">
      <c r="C700" s="10" t="s">
        <v>1984</v>
      </c>
      <c r="D700" s="11" t="s">
        <v>2074</v>
      </c>
      <c r="E700" s="11" t="s">
        <v>1979</v>
      </c>
      <c r="F700" s="12">
        <v>2.71</v>
      </c>
    </row>
    <row r="701" spans="3:6" hidden="1" x14ac:dyDescent="0.3">
      <c r="C701" s="7" t="s">
        <v>685</v>
      </c>
      <c r="D701" s="8" t="s">
        <v>2034</v>
      </c>
      <c r="E701" s="8" t="s">
        <v>2005</v>
      </c>
      <c r="F701" s="9">
        <v>6.35</v>
      </c>
    </row>
    <row r="702" spans="3:6" hidden="1" x14ac:dyDescent="0.3">
      <c r="C702" s="10" t="s">
        <v>686</v>
      </c>
      <c r="D702" s="11" t="s">
        <v>2065</v>
      </c>
      <c r="E702" s="11" t="s">
        <v>2025</v>
      </c>
      <c r="F702" s="12">
        <v>4.0599999999999996</v>
      </c>
    </row>
    <row r="703" spans="3:6" hidden="1" x14ac:dyDescent="0.3">
      <c r="C703" s="7" t="s">
        <v>687</v>
      </c>
      <c r="D703" s="8" t="s">
        <v>2034</v>
      </c>
      <c r="E703" s="8" t="s">
        <v>2017</v>
      </c>
      <c r="F703" s="9">
        <v>5.6</v>
      </c>
    </row>
    <row r="704" spans="3:6" hidden="1" x14ac:dyDescent="0.3">
      <c r="C704" s="10" t="s">
        <v>688</v>
      </c>
      <c r="D704" s="11" t="s">
        <v>2035</v>
      </c>
      <c r="E704" s="11" t="s">
        <v>1993</v>
      </c>
      <c r="F704" s="12">
        <v>6.38</v>
      </c>
    </row>
    <row r="705" spans="3:6" hidden="1" x14ac:dyDescent="0.3">
      <c r="C705" s="7" t="s">
        <v>689</v>
      </c>
      <c r="D705" s="8" t="s">
        <v>2038</v>
      </c>
      <c r="E705" s="8" t="s">
        <v>2030</v>
      </c>
      <c r="F705" s="9">
        <v>19.87</v>
      </c>
    </row>
    <row r="706" spans="3:6" hidden="1" x14ac:dyDescent="0.3">
      <c r="C706" s="10" t="s">
        <v>690</v>
      </c>
      <c r="D706" s="11" t="s">
        <v>2057</v>
      </c>
      <c r="E706" s="11" t="s">
        <v>1987</v>
      </c>
      <c r="F706" s="12">
        <v>8.4</v>
      </c>
    </row>
    <row r="707" spans="3:6" hidden="1" x14ac:dyDescent="0.3">
      <c r="C707" s="7" t="s">
        <v>691</v>
      </c>
      <c r="D707" s="8" t="s">
        <v>2034</v>
      </c>
      <c r="E707" s="8" t="s">
        <v>2003</v>
      </c>
      <c r="F707" s="9">
        <v>7.11</v>
      </c>
    </row>
    <row r="708" spans="3:6" hidden="1" x14ac:dyDescent="0.3">
      <c r="C708" s="10" t="s">
        <v>692</v>
      </c>
      <c r="D708" s="11" t="s">
        <v>2038</v>
      </c>
      <c r="E708" s="11" t="s">
        <v>2031</v>
      </c>
      <c r="F708" s="12">
        <v>9.1</v>
      </c>
    </row>
    <row r="709" spans="3:6" hidden="1" x14ac:dyDescent="0.3">
      <c r="C709" s="7" t="s">
        <v>693</v>
      </c>
      <c r="D709" s="8" t="s">
        <v>2047</v>
      </c>
      <c r="E709" s="8" t="s">
        <v>2022</v>
      </c>
      <c r="F709" s="9">
        <v>4.3899999999999997</v>
      </c>
    </row>
    <row r="710" spans="3:6" hidden="1" x14ac:dyDescent="0.3">
      <c r="C710" s="10" t="s">
        <v>694</v>
      </c>
      <c r="D710" s="11" t="s">
        <v>2041</v>
      </c>
      <c r="E710" s="11" t="s">
        <v>1999</v>
      </c>
      <c r="F710" s="12">
        <v>6.27</v>
      </c>
    </row>
    <row r="711" spans="3:6" hidden="1" x14ac:dyDescent="0.3">
      <c r="C711" s="7" t="s">
        <v>695</v>
      </c>
      <c r="D711" s="8" t="s">
        <v>2034</v>
      </c>
      <c r="E711" s="8" t="s">
        <v>2022</v>
      </c>
      <c r="F711" s="9">
        <v>3.52</v>
      </c>
    </row>
    <row r="712" spans="3:6" hidden="1" x14ac:dyDescent="0.3">
      <c r="C712" s="10" t="s">
        <v>696</v>
      </c>
      <c r="D712" s="11" t="s">
        <v>2047</v>
      </c>
      <c r="E712" s="11" t="s">
        <v>2015</v>
      </c>
      <c r="F712" s="12">
        <v>4.6900000000000004</v>
      </c>
    </row>
    <row r="713" spans="3:6" hidden="1" x14ac:dyDescent="0.3">
      <c r="C713" s="7" t="s">
        <v>697</v>
      </c>
      <c r="D713" s="8" t="s">
        <v>2071</v>
      </c>
      <c r="E713" s="8" t="s">
        <v>1979</v>
      </c>
      <c r="F713" s="9">
        <v>3.17</v>
      </c>
    </row>
    <row r="714" spans="3:6" hidden="1" x14ac:dyDescent="0.3">
      <c r="C714" s="10" t="s">
        <v>698</v>
      </c>
      <c r="D714" s="11" t="s">
        <v>2034</v>
      </c>
      <c r="E714" s="11" t="s">
        <v>2031</v>
      </c>
      <c r="F714" s="12">
        <v>5.41</v>
      </c>
    </row>
    <row r="715" spans="3:6" hidden="1" x14ac:dyDescent="0.3">
      <c r="C715" s="7" t="s">
        <v>699</v>
      </c>
      <c r="D715" s="8" t="s">
        <v>2050</v>
      </c>
      <c r="E715" s="8" t="s">
        <v>2000</v>
      </c>
      <c r="F715" s="9">
        <v>24.38</v>
      </c>
    </row>
    <row r="716" spans="3:6" hidden="1" x14ac:dyDescent="0.3">
      <c r="C716" s="10" t="s">
        <v>700</v>
      </c>
      <c r="D716" s="11" t="s">
        <v>2034</v>
      </c>
      <c r="E716" s="11" t="s">
        <v>1987</v>
      </c>
      <c r="F716" s="12">
        <v>8.6199999999999992</v>
      </c>
    </row>
    <row r="717" spans="3:6" hidden="1" x14ac:dyDescent="0.3">
      <c r="C717" s="7" t="s">
        <v>701</v>
      </c>
      <c r="D717" s="8" t="s">
        <v>2040</v>
      </c>
      <c r="E717" s="8" t="s">
        <v>1993</v>
      </c>
      <c r="F717" s="9">
        <v>8.3800000000000008</v>
      </c>
    </row>
    <row r="718" spans="3:6" hidden="1" x14ac:dyDescent="0.3">
      <c r="C718" s="10" t="s">
        <v>702</v>
      </c>
      <c r="D718" s="11" t="s">
        <v>2037</v>
      </c>
      <c r="E718" s="11" t="s">
        <v>2025</v>
      </c>
      <c r="F718" s="12">
        <v>8.4700000000000006</v>
      </c>
    </row>
    <row r="719" spans="3:6" hidden="1" x14ac:dyDescent="0.3">
      <c r="C719" s="7" t="s">
        <v>703</v>
      </c>
      <c r="D719" s="8" t="s">
        <v>2034</v>
      </c>
      <c r="E719" s="8" t="s">
        <v>2026</v>
      </c>
      <c r="F719" s="9">
        <v>19.760000000000002</v>
      </c>
    </row>
    <row r="720" spans="3:6" hidden="1" x14ac:dyDescent="0.3">
      <c r="C720" s="10" t="s">
        <v>704</v>
      </c>
      <c r="D720" s="11" t="s">
        <v>2039</v>
      </c>
      <c r="E720" s="11" t="s">
        <v>1978</v>
      </c>
      <c r="F720" s="12">
        <v>13.96</v>
      </c>
    </row>
    <row r="721" spans="3:6" hidden="1" x14ac:dyDescent="0.3">
      <c r="C721" s="7" t="s">
        <v>705</v>
      </c>
      <c r="D721" s="8" t="s">
        <v>2057</v>
      </c>
      <c r="E721" s="8" t="s">
        <v>1993</v>
      </c>
      <c r="F721" s="9">
        <v>18.25</v>
      </c>
    </row>
    <row r="722" spans="3:6" hidden="1" x14ac:dyDescent="0.3">
      <c r="C722" s="10" t="s">
        <v>706</v>
      </c>
      <c r="D722" s="11" t="s">
        <v>2035</v>
      </c>
      <c r="E722" s="11" t="s">
        <v>1988</v>
      </c>
      <c r="F722" s="12">
        <v>9.99</v>
      </c>
    </row>
    <row r="723" spans="3:6" hidden="1" x14ac:dyDescent="0.3">
      <c r="C723" s="7" t="s">
        <v>707</v>
      </c>
      <c r="D723" s="8" t="s">
        <v>2065</v>
      </c>
      <c r="E723" s="8" t="s">
        <v>1998</v>
      </c>
      <c r="F723" s="9">
        <v>2.67</v>
      </c>
    </row>
    <row r="724" spans="3:6" hidden="1" x14ac:dyDescent="0.3">
      <c r="C724" s="10" t="s">
        <v>708</v>
      </c>
      <c r="D724" s="11" t="s">
        <v>2034</v>
      </c>
      <c r="E724" s="11" t="s">
        <v>2015</v>
      </c>
      <c r="F724" s="12">
        <v>4.41</v>
      </c>
    </row>
    <row r="725" spans="3:6" hidden="1" x14ac:dyDescent="0.3">
      <c r="C725" s="7" t="s">
        <v>709</v>
      </c>
      <c r="D725" s="8" t="s">
        <v>2075</v>
      </c>
      <c r="E725" s="8" t="s">
        <v>2022</v>
      </c>
      <c r="F725" s="9">
        <v>10.15</v>
      </c>
    </row>
    <row r="726" spans="3:6" hidden="1" x14ac:dyDescent="0.3">
      <c r="C726" s="10" t="s">
        <v>710</v>
      </c>
      <c r="D726" s="11" t="s">
        <v>2076</v>
      </c>
      <c r="E726" s="11" t="s">
        <v>1999</v>
      </c>
      <c r="F726" s="12">
        <v>4.9800000000000004</v>
      </c>
    </row>
    <row r="727" spans="3:6" hidden="1" x14ac:dyDescent="0.3">
      <c r="C727" s="7" t="s">
        <v>711</v>
      </c>
      <c r="D727" s="8" t="s">
        <v>2036</v>
      </c>
      <c r="E727" s="8" t="s">
        <v>1988</v>
      </c>
      <c r="F727" s="9">
        <v>10.52</v>
      </c>
    </row>
    <row r="728" spans="3:6" hidden="1" x14ac:dyDescent="0.3">
      <c r="C728" s="10" t="s">
        <v>712</v>
      </c>
      <c r="D728" s="11" t="s">
        <v>2034</v>
      </c>
      <c r="E728" s="11" t="s">
        <v>2022</v>
      </c>
      <c r="F728" s="12">
        <v>3.62</v>
      </c>
    </row>
    <row r="729" spans="3:6" hidden="1" x14ac:dyDescent="0.3">
      <c r="C729" s="7" t="s">
        <v>713</v>
      </c>
      <c r="D729" s="8" t="s">
        <v>2076</v>
      </c>
      <c r="E729" s="8" t="s">
        <v>1979</v>
      </c>
      <c r="F729" s="9">
        <v>4.17</v>
      </c>
    </row>
    <row r="730" spans="3:6" hidden="1" x14ac:dyDescent="0.3">
      <c r="C730" s="10" t="s">
        <v>714</v>
      </c>
      <c r="D730" s="11" t="s">
        <v>2070</v>
      </c>
      <c r="E730" s="11" t="s">
        <v>1979</v>
      </c>
      <c r="F730" s="12">
        <v>2.73</v>
      </c>
    </row>
    <row r="731" spans="3:6" hidden="1" x14ac:dyDescent="0.3">
      <c r="C731" s="7" t="s">
        <v>715</v>
      </c>
      <c r="D731" s="8" t="s">
        <v>2040</v>
      </c>
      <c r="E731" s="8" t="s">
        <v>1979</v>
      </c>
      <c r="F731" s="9">
        <v>2.93</v>
      </c>
    </row>
    <row r="732" spans="3:6" hidden="1" x14ac:dyDescent="0.3">
      <c r="C732" s="10" t="s">
        <v>716</v>
      </c>
      <c r="D732" s="11" t="s">
        <v>2038</v>
      </c>
      <c r="E732" s="11" t="s">
        <v>2022</v>
      </c>
      <c r="F732" s="12">
        <v>4.47</v>
      </c>
    </row>
    <row r="733" spans="3:6" hidden="1" x14ac:dyDescent="0.3">
      <c r="C733" s="7" t="s">
        <v>717</v>
      </c>
      <c r="D733" s="8" t="s">
        <v>2034</v>
      </c>
      <c r="E733" s="8" t="s">
        <v>2002</v>
      </c>
      <c r="F733" s="9">
        <v>5.54</v>
      </c>
    </row>
    <row r="734" spans="3:6" hidden="1" x14ac:dyDescent="0.3">
      <c r="C734" s="10" t="s">
        <v>718</v>
      </c>
      <c r="D734" s="11" t="s">
        <v>2035</v>
      </c>
      <c r="E734" s="11" t="s">
        <v>2000</v>
      </c>
      <c r="F734" s="12">
        <v>29.13</v>
      </c>
    </row>
    <row r="735" spans="3:6" hidden="1" x14ac:dyDescent="0.3">
      <c r="C735" s="7" t="s">
        <v>719</v>
      </c>
      <c r="D735" s="8" t="s">
        <v>2034</v>
      </c>
      <c r="E735" s="8" t="s">
        <v>2002</v>
      </c>
      <c r="F735" s="9">
        <v>16.27</v>
      </c>
    </row>
    <row r="736" spans="3:6" hidden="1" x14ac:dyDescent="0.3">
      <c r="C736" s="10" t="s">
        <v>720</v>
      </c>
      <c r="D736" s="11" t="s">
        <v>2034</v>
      </c>
      <c r="E736" s="11" t="s">
        <v>1992</v>
      </c>
      <c r="F736" s="12">
        <v>10.039999999999999</v>
      </c>
    </row>
    <row r="737" spans="3:7" hidden="1" x14ac:dyDescent="0.3">
      <c r="C737" s="7" t="s">
        <v>721</v>
      </c>
      <c r="D737" s="8" t="s">
        <v>2051</v>
      </c>
      <c r="E737" s="8" t="s">
        <v>2005</v>
      </c>
      <c r="F737" s="9">
        <v>11.29</v>
      </c>
    </row>
    <row r="738" spans="3:7" hidden="1" x14ac:dyDescent="0.3">
      <c r="C738" s="10" t="s">
        <v>722</v>
      </c>
      <c r="D738" s="11" t="s">
        <v>2038</v>
      </c>
      <c r="E738" s="11" t="s">
        <v>1987</v>
      </c>
      <c r="F738" s="12">
        <v>13.81</v>
      </c>
    </row>
    <row r="739" spans="3:7" hidden="1" x14ac:dyDescent="0.3">
      <c r="C739" s="7" t="s">
        <v>723</v>
      </c>
      <c r="D739" s="8" t="s">
        <v>2038</v>
      </c>
      <c r="E739" s="8" t="s">
        <v>1979</v>
      </c>
      <c r="F739" s="9">
        <v>2.25</v>
      </c>
    </row>
    <row r="740" spans="3:7" hidden="1" x14ac:dyDescent="0.3">
      <c r="C740" s="10" t="s">
        <v>724</v>
      </c>
      <c r="D740" s="11" t="s">
        <v>2039</v>
      </c>
      <c r="E740" s="11" t="s">
        <v>1987</v>
      </c>
      <c r="F740" s="12">
        <v>17.7</v>
      </c>
    </row>
    <row r="741" spans="3:7" hidden="1" x14ac:dyDescent="0.3">
      <c r="C741" s="7" t="s">
        <v>725</v>
      </c>
      <c r="D741" s="8" t="s">
        <v>2034</v>
      </c>
      <c r="E741" s="8" t="s">
        <v>2023</v>
      </c>
      <c r="F741" s="9">
        <v>19.25</v>
      </c>
    </row>
    <row r="742" spans="3:7" hidden="1" x14ac:dyDescent="0.3">
      <c r="C742" s="10" t="s">
        <v>726</v>
      </c>
      <c r="D742" s="11" t="s">
        <v>2039</v>
      </c>
      <c r="E742" s="11" t="s">
        <v>2030</v>
      </c>
      <c r="F742" s="12">
        <v>3.24</v>
      </c>
    </row>
    <row r="743" spans="3:7" x14ac:dyDescent="0.3">
      <c r="C743" s="7" t="s">
        <v>1580</v>
      </c>
      <c r="D743" s="8" t="s">
        <v>2046</v>
      </c>
      <c r="E743" s="8" t="s">
        <v>2022</v>
      </c>
      <c r="F743" s="9">
        <v>0.89</v>
      </c>
      <c r="G743" s="26">
        <f>F743*$G$2</f>
        <v>0.17800000000000002</v>
      </c>
    </row>
    <row r="744" spans="3:7" hidden="1" x14ac:dyDescent="0.3">
      <c r="C744" s="10" t="s">
        <v>728</v>
      </c>
      <c r="D744" s="11" t="s">
        <v>2043</v>
      </c>
      <c r="E744" s="11" t="s">
        <v>2022</v>
      </c>
      <c r="F744" s="12">
        <v>10.47</v>
      </c>
    </row>
    <row r="745" spans="3:7" hidden="1" x14ac:dyDescent="0.3">
      <c r="C745" s="7" t="s">
        <v>729</v>
      </c>
      <c r="D745" s="8" t="s">
        <v>2040</v>
      </c>
      <c r="E745" s="8" t="s">
        <v>1993</v>
      </c>
      <c r="F745" s="9">
        <v>5.2</v>
      </c>
    </row>
    <row r="746" spans="3:7" hidden="1" x14ac:dyDescent="0.3">
      <c r="C746" s="10" t="s">
        <v>730</v>
      </c>
      <c r="D746" s="11" t="s">
        <v>2034</v>
      </c>
      <c r="E746" s="11" t="s">
        <v>2004</v>
      </c>
      <c r="F746" s="12">
        <v>8.15</v>
      </c>
    </row>
    <row r="747" spans="3:7" hidden="1" x14ac:dyDescent="0.3">
      <c r="C747" s="7" t="s">
        <v>731</v>
      </c>
      <c r="D747" s="8" t="s">
        <v>2034</v>
      </c>
      <c r="E747" s="8" t="s">
        <v>2023</v>
      </c>
      <c r="F747" s="9">
        <v>9.6999999999999993</v>
      </c>
    </row>
    <row r="748" spans="3:7" hidden="1" x14ac:dyDescent="0.3">
      <c r="C748" s="10" t="s">
        <v>732</v>
      </c>
      <c r="D748" s="11" t="s">
        <v>2077</v>
      </c>
      <c r="E748" s="11" t="s">
        <v>2003</v>
      </c>
      <c r="F748" s="12">
        <v>4.9000000000000004</v>
      </c>
    </row>
    <row r="749" spans="3:7" hidden="1" x14ac:dyDescent="0.3">
      <c r="C749" s="7" t="s">
        <v>733</v>
      </c>
      <c r="D749" s="8" t="s">
        <v>2038</v>
      </c>
      <c r="E749" s="8" t="s">
        <v>1999</v>
      </c>
      <c r="F749" s="9">
        <v>5.48</v>
      </c>
    </row>
    <row r="750" spans="3:7" hidden="1" x14ac:dyDescent="0.3">
      <c r="C750" s="10" t="s">
        <v>734</v>
      </c>
      <c r="D750" s="11" t="s">
        <v>2038</v>
      </c>
      <c r="E750" s="11" t="s">
        <v>1997</v>
      </c>
      <c r="F750" s="12">
        <v>11.65</v>
      </c>
    </row>
    <row r="751" spans="3:7" hidden="1" x14ac:dyDescent="0.3">
      <c r="C751" s="7" t="s">
        <v>735</v>
      </c>
      <c r="D751" s="8" t="s">
        <v>2034</v>
      </c>
      <c r="E751" s="8" t="s">
        <v>1987</v>
      </c>
      <c r="F751" s="9">
        <v>10.26</v>
      </c>
    </row>
    <row r="752" spans="3:7" hidden="1" x14ac:dyDescent="0.3">
      <c r="C752" s="10" t="s">
        <v>736</v>
      </c>
      <c r="D752" s="11" t="s">
        <v>2039</v>
      </c>
      <c r="E752" s="11" t="s">
        <v>2001</v>
      </c>
      <c r="F752" s="12">
        <v>4.45</v>
      </c>
    </row>
    <row r="753" spans="3:6" hidden="1" x14ac:dyDescent="0.3">
      <c r="C753" s="7" t="s">
        <v>737</v>
      </c>
      <c r="D753" s="8" t="s">
        <v>2065</v>
      </c>
      <c r="E753" s="8" t="s">
        <v>2027</v>
      </c>
      <c r="F753" s="9">
        <v>6.62</v>
      </c>
    </row>
    <row r="754" spans="3:6" hidden="1" x14ac:dyDescent="0.3">
      <c r="C754" s="10" t="s">
        <v>738</v>
      </c>
      <c r="D754" s="11" t="s">
        <v>2034</v>
      </c>
      <c r="E754" s="11" t="s">
        <v>1997</v>
      </c>
      <c r="F754" s="12">
        <v>5.67</v>
      </c>
    </row>
    <row r="755" spans="3:6" hidden="1" x14ac:dyDescent="0.3">
      <c r="C755" s="7" t="s">
        <v>739</v>
      </c>
      <c r="D755" s="8" t="s">
        <v>2034</v>
      </c>
      <c r="E755" s="8" t="s">
        <v>2031</v>
      </c>
      <c r="F755" s="9">
        <v>7.66</v>
      </c>
    </row>
    <row r="756" spans="3:6" hidden="1" x14ac:dyDescent="0.3">
      <c r="C756" s="10" t="s">
        <v>740</v>
      </c>
      <c r="D756" s="11" t="s">
        <v>2034</v>
      </c>
      <c r="E756" s="11" t="s">
        <v>1979</v>
      </c>
      <c r="F756" s="12">
        <v>3.42</v>
      </c>
    </row>
    <row r="757" spans="3:6" hidden="1" x14ac:dyDescent="0.3">
      <c r="C757" s="7" t="s">
        <v>741</v>
      </c>
      <c r="D757" s="8" t="s">
        <v>2055</v>
      </c>
      <c r="E757" s="8" t="s">
        <v>1979</v>
      </c>
      <c r="F757" s="9">
        <v>1.1000000000000001</v>
      </c>
    </row>
    <row r="758" spans="3:6" hidden="1" x14ac:dyDescent="0.3">
      <c r="C758" s="10" t="s">
        <v>742</v>
      </c>
      <c r="D758" s="11" t="s">
        <v>2053</v>
      </c>
      <c r="E758" s="11" t="s">
        <v>2015</v>
      </c>
      <c r="F758" s="12">
        <v>15.59</v>
      </c>
    </row>
    <row r="759" spans="3:6" hidden="1" x14ac:dyDescent="0.3">
      <c r="C759" s="7" t="s">
        <v>743</v>
      </c>
      <c r="D759" s="8" t="s">
        <v>2038</v>
      </c>
      <c r="E759" s="8" t="s">
        <v>1979</v>
      </c>
      <c r="F759" s="9">
        <v>2.06</v>
      </c>
    </row>
    <row r="760" spans="3:6" hidden="1" x14ac:dyDescent="0.3">
      <c r="C760" s="10" t="s">
        <v>744</v>
      </c>
      <c r="D760" s="11" t="s">
        <v>2047</v>
      </c>
      <c r="E760" s="11" t="s">
        <v>2015</v>
      </c>
      <c r="F760" s="12">
        <v>3.83</v>
      </c>
    </row>
    <row r="761" spans="3:6" hidden="1" x14ac:dyDescent="0.3">
      <c r="C761" s="7" t="s">
        <v>745</v>
      </c>
      <c r="D761" s="8" t="s">
        <v>2034</v>
      </c>
      <c r="E761" s="8" t="s">
        <v>2001</v>
      </c>
      <c r="F761" s="9">
        <v>26.01</v>
      </c>
    </row>
    <row r="762" spans="3:6" hidden="1" x14ac:dyDescent="0.3">
      <c r="C762" s="10" t="s">
        <v>746</v>
      </c>
      <c r="D762" s="11" t="s">
        <v>2034</v>
      </c>
      <c r="E762" s="11" t="s">
        <v>2022</v>
      </c>
      <c r="F762" s="12">
        <v>9.9499999999999993</v>
      </c>
    </row>
    <row r="763" spans="3:6" hidden="1" x14ac:dyDescent="0.3">
      <c r="C763" s="7" t="s">
        <v>747</v>
      </c>
      <c r="D763" s="8" t="s">
        <v>2034</v>
      </c>
      <c r="E763" s="8" t="s">
        <v>1986</v>
      </c>
      <c r="F763" s="9">
        <v>5.49</v>
      </c>
    </row>
    <row r="764" spans="3:6" hidden="1" x14ac:dyDescent="0.3">
      <c r="C764" s="10" t="s">
        <v>748</v>
      </c>
      <c r="D764" s="11" t="s">
        <v>2034</v>
      </c>
      <c r="E764" s="11" t="s">
        <v>1993</v>
      </c>
      <c r="F764" s="12">
        <v>9.44</v>
      </c>
    </row>
    <row r="765" spans="3:6" hidden="1" x14ac:dyDescent="0.3">
      <c r="C765" s="7" t="s">
        <v>749</v>
      </c>
      <c r="D765" s="8" t="s">
        <v>2034</v>
      </c>
      <c r="E765" s="8" t="s">
        <v>2028</v>
      </c>
      <c r="F765" s="9">
        <v>13.9</v>
      </c>
    </row>
    <row r="766" spans="3:6" hidden="1" x14ac:dyDescent="0.3">
      <c r="C766" s="10" t="s">
        <v>750</v>
      </c>
      <c r="D766" s="11" t="s">
        <v>2073</v>
      </c>
      <c r="E766" s="11" t="s">
        <v>2022</v>
      </c>
      <c r="F766" s="12">
        <v>2.89</v>
      </c>
    </row>
    <row r="767" spans="3:6" hidden="1" x14ac:dyDescent="0.3">
      <c r="C767" s="7" t="s">
        <v>751</v>
      </c>
      <c r="D767" s="8" t="s">
        <v>2038</v>
      </c>
      <c r="E767" s="8" t="s">
        <v>1993</v>
      </c>
      <c r="F767" s="9">
        <v>13.24</v>
      </c>
    </row>
    <row r="768" spans="3:6" hidden="1" x14ac:dyDescent="0.3">
      <c r="C768" s="10" t="s">
        <v>752</v>
      </c>
      <c r="D768" s="11" t="s">
        <v>2061</v>
      </c>
      <c r="E768" s="11" t="s">
        <v>2015</v>
      </c>
      <c r="F768" s="12">
        <v>6.83</v>
      </c>
    </row>
    <row r="769" spans="3:7" hidden="1" x14ac:dyDescent="0.3">
      <c r="C769" s="7" t="s">
        <v>753</v>
      </c>
      <c r="D769" s="8" t="s">
        <v>2038</v>
      </c>
      <c r="E769" s="8" t="s">
        <v>1998</v>
      </c>
      <c r="F769" s="9">
        <v>3.36</v>
      </c>
    </row>
    <row r="770" spans="3:7" hidden="1" x14ac:dyDescent="0.3">
      <c r="C770" s="10" t="s">
        <v>754</v>
      </c>
      <c r="D770" s="11" t="s">
        <v>2038</v>
      </c>
      <c r="E770" s="11" t="s">
        <v>2030</v>
      </c>
      <c r="F770" s="12">
        <v>16.36</v>
      </c>
    </row>
    <row r="771" spans="3:7" hidden="1" x14ac:dyDescent="0.3">
      <c r="C771" s="7" t="s">
        <v>755</v>
      </c>
      <c r="D771" s="8" t="s">
        <v>2034</v>
      </c>
      <c r="E771" s="8" t="s">
        <v>2005</v>
      </c>
      <c r="F771" s="9">
        <v>5</v>
      </c>
    </row>
    <row r="772" spans="3:7" hidden="1" x14ac:dyDescent="0.3">
      <c r="C772" s="10" t="s">
        <v>756</v>
      </c>
      <c r="D772" s="11" t="s">
        <v>2038</v>
      </c>
      <c r="E772" s="11" t="s">
        <v>2022</v>
      </c>
      <c r="F772" s="12">
        <v>19.21</v>
      </c>
    </row>
    <row r="773" spans="3:7" hidden="1" x14ac:dyDescent="0.3">
      <c r="C773" s="7" t="s">
        <v>757</v>
      </c>
      <c r="D773" s="8" t="s">
        <v>2035</v>
      </c>
      <c r="E773" s="8" t="s">
        <v>2005</v>
      </c>
      <c r="F773" s="9">
        <v>17.170000000000002</v>
      </c>
    </row>
    <row r="774" spans="3:7" x14ac:dyDescent="0.3">
      <c r="C774" s="7" t="s">
        <v>1630</v>
      </c>
      <c r="D774" s="8" t="s">
        <v>2046</v>
      </c>
      <c r="E774" s="8" t="s">
        <v>1997</v>
      </c>
      <c r="F774" s="9">
        <v>5.79</v>
      </c>
      <c r="G774" s="26">
        <f>F774*$G$2</f>
        <v>1.1580000000000001</v>
      </c>
    </row>
    <row r="775" spans="3:7" hidden="1" x14ac:dyDescent="0.3">
      <c r="C775" s="7" t="s">
        <v>759</v>
      </c>
      <c r="D775" s="8" t="s">
        <v>2065</v>
      </c>
      <c r="E775" s="8" t="s">
        <v>1998</v>
      </c>
      <c r="F775" s="9">
        <v>3.33</v>
      </c>
    </row>
    <row r="776" spans="3:7" hidden="1" x14ac:dyDescent="0.3">
      <c r="C776" s="10" t="s">
        <v>760</v>
      </c>
      <c r="D776" s="11" t="s">
        <v>2074</v>
      </c>
      <c r="E776" s="11" t="s">
        <v>2031</v>
      </c>
      <c r="F776" s="12">
        <v>5.03</v>
      </c>
    </row>
    <row r="777" spans="3:7" hidden="1" x14ac:dyDescent="0.3">
      <c r="C777" s="7" t="s">
        <v>761</v>
      </c>
      <c r="D777" s="8" t="s">
        <v>2040</v>
      </c>
      <c r="E777" s="8" t="s">
        <v>2005</v>
      </c>
      <c r="F777" s="9">
        <v>8.2899999999999991</v>
      </c>
    </row>
    <row r="778" spans="3:7" hidden="1" x14ac:dyDescent="0.3">
      <c r="C778" s="10" t="s">
        <v>762</v>
      </c>
      <c r="D778" s="11" t="s">
        <v>2056</v>
      </c>
      <c r="E778" s="11" t="s">
        <v>2022</v>
      </c>
      <c r="F778" s="12">
        <v>4.49</v>
      </c>
    </row>
    <row r="779" spans="3:7" hidden="1" x14ac:dyDescent="0.3">
      <c r="C779" s="7" t="s">
        <v>763</v>
      </c>
      <c r="D779" s="8" t="s">
        <v>2034</v>
      </c>
      <c r="E779" s="8" t="s">
        <v>1997</v>
      </c>
      <c r="F779" s="9">
        <v>14.32</v>
      </c>
    </row>
    <row r="780" spans="3:7" hidden="1" x14ac:dyDescent="0.3">
      <c r="C780" s="10" t="s">
        <v>764</v>
      </c>
      <c r="D780" s="11" t="s">
        <v>2038</v>
      </c>
      <c r="E780" s="11" t="s">
        <v>2026</v>
      </c>
      <c r="F780" s="12">
        <v>7.81</v>
      </c>
    </row>
    <row r="781" spans="3:7" hidden="1" x14ac:dyDescent="0.3">
      <c r="C781" s="7" t="s">
        <v>765</v>
      </c>
      <c r="D781" s="8" t="s">
        <v>2060</v>
      </c>
      <c r="E781" s="8" t="s">
        <v>1992</v>
      </c>
      <c r="F781" s="9">
        <v>7.36</v>
      </c>
    </row>
    <row r="782" spans="3:7" hidden="1" x14ac:dyDescent="0.3">
      <c r="C782" s="10" t="s">
        <v>766</v>
      </c>
      <c r="D782" s="11" t="s">
        <v>2038</v>
      </c>
      <c r="E782" s="11" t="s">
        <v>1998</v>
      </c>
      <c r="F782" s="12">
        <v>3.45</v>
      </c>
    </row>
    <row r="783" spans="3:7" hidden="1" x14ac:dyDescent="0.3">
      <c r="C783" s="7" t="s">
        <v>2010</v>
      </c>
      <c r="D783" s="8" t="s">
        <v>1975</v>
      </c>
      <c r="E783" s="8" t="s">
        <v>2005</v>
      </c>
      <c r="F783" s="9">
        <v>5.35</v>
      </c>
    </row>
    <row r="784" spans="3:7" x14ac:dyDescent="0.3">
      <c r="C784" s="10" t="s">
        <v>424</v>
      </c>
      <c r="D784" s="11" t="s">
        <v>2046</v>
      </c>
      <c r="E784" s="11" t="s">
        <v>2015</v>
      </c>
      <c r="F784" s="12">
        <v>7.29</v>
      </c>
      <c r="G784" s="26">
        <f>F784*$G$2</f>
        <v>1.4580000000000002</v>
      </c>
    </row>
    <row r="785" spans="3:6" hidden="1" x14ac:dyDescent="0.3">
      <c r="C785" s="7" t="s">
        <v>768</v>
      </c>
      <c r="D785" s="8" t="s">
        <v>2034</v>
      </c>
      <c r="E785" s="8" t="s">
        <v>2005</v>
      </c>
      <c r="F785" s="9">
        <v>3.77</v>
      </c>
    </row>
    <row r="786" spans="3:6" hidden="1" x14ac:dyDescent="0.3">
      <c r="C786" s="10" t="s">
        <v>769</v>
      </c>
      <c r="D786" s="11" t="s">
        <v>2038</v>
      </c>
      <c r="E786" s="11" t="s">
        <v>1997</v>
      </c>
      <c r="F786" s="12">
        <v>19.8</v>
      </c>
    </row>
    <row r="787" spans="3:6" hidden="1" x14ac:dyDescent="0.3">
      <c r="C787" s="7" t="s">
        <v>770</v>
      </c>
      <c r="D787" s="8" t="s">
        <v>2038</v>
      </c>
      <c r="E787" s="8" t="s">
        <v>1986</v>
      </c>
      <c r="F787" s="9">
        <v>5.1100000000000003</v>
      </c>
    </row>
    <row r="788" spans="3:6" hidden="1" x14ac:dyDescent="0.3">
      <c r="C788" s="10" t="s">
        <v>771</v>
      </c>
      <c r="D788" s="11" t="s">
        <v>2034</v>
      </c>
      <c r="E788" s="11" t="s">
        <v>1979</v>
      </c>
      <c r="F788" s="12">
        <v>3.45</v>
      </c>
    </row>
    <row r="789" spans="3:6" hidden="1" x14ac:dyDescent="0.3">
      <c r="C789" s="7" t="s">
        <v>772</v>
      </c>
      <c r="D789" s="8" t="s">
        <v>2042</v>
      </c>
      <c r="E789" s="8" t="s">
        <v>2031</v>
      </c>
      <c r="F789" s="9">
        <v>7.57</v>
      </c>
    </row>
    <row r="790" spans="3:6" hidden="1" x14ac:dyDescent="0.3">
      <c r="C790" s="10" t="s">
        <v>773</v>
      </c>
      <c r="D790" s="11" t="s">
        <v>2038</v>
      </c>
      <c r="E790" s="11" t="s">
        <v>2030</v>
      </c>
      <c r="F790" s="12">
        <v>12.06</v>
      </c>
    </row>
    <row r="791" spans="3:6" hidden="1" x14ac:dyDescent="0.3">
      <c r="C791" s="7" t="s">
        <v>774</v>
      </c>
      <c r="D791" s="8" t="s">
        <v>2035</v>
      </c>
      <c r="E791" s="8" t="s">
        <v>2017</v>
      </c>
      <c r="F791" s="9">
        <v>7.25</v>
      </c>
    </row>
    <row r="792" spans="3:6" hidden="1" x14ac:dyDescent="0.3">
      <c r="C792" s="10" t="s">
        <v>775</v>
      </c>
      <c r="D792" s="11" t="s">
        <v>1977</v>
      </c>
      <c r="E792" s="11" t="s">
        <v>1979</v>
      </c>
      <c r="F792" s="12">
        <v>3.24</v>
      </c>
    </row>
    <row r="793" spans="3:6" hidden="1" x14ac:dyDescent="0.3">
      <c r="C793" s="7" t="s">
        <v>776</v>
      </c>
      <c r="D793" s="8" t="s">
        <v>2042</v>
      </c>
      <c r="E793" s="8" t="s">
        <v>1979</v>
      </c>
      <c r="F793" s="9">
        <v>5.98</v>
      </c>
    </row>
    <row r="794" spans="3:6" hidden="1" x14ac:dyDescent="0.3">
      <c r="C794" s="10" t="s">
        <v>777</v>
      </c>
      <c r="D794" s="11" t="s">
        <v>2038</v>
      </c>
      <c r="E794" s="11" t="s">
        <v>1997</v>
      </c>
      <c r="F794" s="12">
        <v>13.93</v>
      </c>
    </row>
    <row r="795" spans="3:6" hidden="1" x14ac:dyDescent="0.3">
      <c r="C795" s="7" t="s">
        <v>778</v>
      </c>
      <c r="D795" s="8" t="s">
        <v>2065</v>
      </c>
      <c r="E795" s="8" t="s">
        <v>1988</v>
      </c>
      <c r="F795" s="9">
        <v>4.5999999999999996</v>
      </c>
    </row>
    <row r="796" spans="3:6" hidden="1" x14ac:dyDescent="0.3">
      <c r="C796" s="10" t="s">
        <v>779</v>
      </c>
      <c r="D796" s="11" t="s">
        <v>2038</v>
      </c>
      <c r="E796" s="11" t="s">
        <v>2001</v>
      </c>
      <c r="F796" s="12">
        <v>10.01</v>
      </c>
    </row>
    <row r="797" spans="3:6" hidden="1" x14ac:dyDescent="0.3">
      <c r="C797" s="7" t="s">
        <v>780</v>
      </c>
      <c r="D797" s="8" t="s">
        <v>2076</v>
      </c>
      <c r="E797" s="8" t="s">
        <v>1979</v>
      </c>
      <c r="F797" s="9">
        <v>3.85</v>
      </c>
    </row>
    <row r="798" spans="3:6" hidden="1" x14ac:dyDescent="0.3">
      <c r="C798" s="10" t="s">
        <v>2019</v>
      </c>
      <c r="D798" s="11" t="s">
        <v>2042</v>
      </c>
      <c r="E798" s="11" t="s">
        <v>2017</v>
      </c>
      <c r="F798" s="12">
        <v>4.5999999999999996</v>
      </c>
    </row>
    <row r="799" spans="3:6" hidden="1" x14ac:dyDescent="0.3">
      <c r="C799" s="7" t="s">
        <v>781</v>
      </c>
      <c r="D799" s="8" t="s">
        <v>2045</v>
      </c>
      <c r="E799" s="8" t="s">
        <v>1979</v>
      </c>
      <c r="F799" s="9">
        <v>2.74</v>
      </c>
    </row>
    <row r="800" spans="3:6" hidden="1" x14ac:dyDescent="0.3">
      <c r="C800" s="10" t="s">
        <v>782</v>
      </c>
      <c r="D800" s="11" t="s">
        <v>2034</v>
      </c>
      <c r="E800" s="11" t="s">
        <v>2031</v>
      </c>
      <c r="F800" s="12">
        <v>7.89</v>
      </c>
    </row>
    <row r="801" spans="3:6" hidden="1" x14ac:dyDescent="0.3">
      <c r="C801" s="7" t="s">
        <v>783</v>
      </c>
      <c r="D801" s="8" t="s">
        <v>2038</v>
      </c>
      <c r="E801" s="8" t="s">
        <v>1993</v>
      </c>
      <c r="F801" s="9">
        <v>13.11</v>
      </c>
    </row>
    <row r="802" spans="3:6" hidden="1" x14ac:dyDescent="0.3">
      <c r="C802" s="10" t="s">
        <v>784</v>
      </c>
      <c r="D802" s="11" t="s">
        <v>2057</v>
      </c>
      <c r="E802" s="11" t="s">
        <v>1997</v>
      </c>
      <c r="F802" s="12">
        <v>16.27</v>
      </c>
    </row>
    <row r="803" spans="3:6" hidden="1" x14ac:dyDescent="0.3">
      <c r="C803" s="7" t="s">
        <v>785</v>
      </c>
      <c r="D803" s="8" t="s">
        <v>2053</v>
      </c>
      <c r="E803" s="8" t="s">
        <v>2022</v>
      </c>
      <c r="F803" s="9">
        <v>11.79</v>
      </c>
    </row>
    <row r="804" spans="3:6" hidden="1" x14ac:dyDescent="0.3">
      <c r="C804" s="10" t="s">
        <v>786</v>
      </c>
      <c r="D804" s="11" t="s">
        <v>2075</v>
      </c>
      <c r="E804" s="11" t="s">
        <v>1979</v>
      </c>
      <c r="F804" s="12">
        <v>2.61</v>
      </c>
    </row>
    <row r="805" spans="3:6" hidden="1" x14ac:dyDescent="0.3">
      <c r="C805" s="7" t="s">
        <v>787</v>
      </c>
      <c r="D805" s="8" t="s">
        <v>2052</v>
      </c>
      <c r="E805" s="8" t="s">
        <v>1998</v>
      </c>
      <c r="F805" s="9">
        <v>2.36</v>
      </c>
    </row>
    <row r="806" spans="3:6" hidden="1" x14ac:dyDescent="0.3">
      <c r="C806" s="10" t="s">
        <v>788</v>
      </c>
      <c r="D806" s="11" t="s">
        <v>2051</v>
      </c>
      <c r="E806" s="11" t="s">
        <v>2022</v>
      </c>
      <c r="F806" s="12">
        <v>4.33</v>
      </c>
    </row>
    <row r="807" spans="3:6" hidden="1" x14ac:dyDescent="0.3">
      <c r="C807" s="7" t="s">
        <v>789</v>
      </c>
      <c r="D807" s="8" t="s">
        <v>2047</v>
      </c>
      <c r="E807" s="8" t="s">
        <v>1986</v>
      </c>
      <c r="F807" s="9">
        <v>14.24</v>
      </c>
    </row>
    <row r="808" spans="3:6" hidden="1" x14ac:dyDescent="0.3">
      <c r="C808" s="10" t="s">
        <v>790</v>
      </c>
      <c r="D808" s="11" t="s">
        <v>2070</v>
      </c>
      <c r="E808" s="11" t="s">
        <v>2028</v>
      </c>
      <c r="F808" s="12">
        <v>7.03</v>
      </c>
    </row>
    <row r="809" spans="3:6" hidden="1" x14ac:dyDescent="0.3">
      <c r="C809" s="7" t="s">
        <v>791</v>
      </c>
      <c r="D809" s="8" t="s">
        <v>2034</v>
      </c>
      <c r="E809" s="8" t="s">
        <v>1998</v>
      </c>
      <c r="F809" s="9">
        <v>2.54</v>
      </c>
    </row>
    <row r="810" spans="3:6" hidden="1" x14ac:dyDescent="0.3">
      <c r="C810" s="10" t="s">
        <v>792</v>
      </c>
      <c r="D810" s="11" t="s">
        <v>2060</v>
      </c>
      <c r="E810" s="11" t="s">
        <v>2015</v>
      </c>
      <c r="F810" s="12">
        <v>5.48</v>
      </c>
    </row>
    <row r="811" spans="3:6" hidden="1" x14ac:dyDescent="0.3">
      <c r="C811" s="7" t="s">
        <v>793</v>
      </c>
      <c r="D811" s="8" t="s">
        <v>2035</v>
      </c>
      <c r="E811" s="8" t="s">
        <v>2001</v>
      </c>
      <c r="F811" s="9">
        <v>5.6</v>
      </c>
    </row>
    <row r="812" spans="3:6" hidden="1" x14ac:dyDescent="0.3">
      <c r="C812" s="10" t="s">
        <v>794</v>
      </c>
      <c r="D812" s="11" t="s">
        <v>2034</v>
      </c>
      <c r="E812" s="11" t="s">
        <v>2027</v>
      </c>
      <c r="F812" s="12">
        <v>11.66</v>
      </c>
    </row>
    <row r="813" spans="3:6" hidden="1" x14ac:dyDescent="0.3">
      <c r="C813" s="7" t="s">
        <v>795</v>
      </c>
      <c r="D813" s="8" t="s">
        <v>2038</v>
      </c>
      <c r="E813" s="8" t="s">
        <v>2025</v>
      </c>
      <c r="F813" s="9">
        <v>5.93</v>
      </c>
    </row>
    <row r="814" spans="3:6" hidden="1" x14ac:dyDescent="0.3">
      <c r="C814" s="10" t="s">
        <v>796</v>
      </c>
      <c r="D814" s="11" t="s">
        <v>2034</v>
      </c>
      <c r="E814" s="11" t="s">
        <v>2003</v>
      </c>
      <c r="F814" s="12">
        <v>6.71</v>
      </c>
    </row>
    <row r="815" spans="3:6" hidden="1" x14ac:dyDescent="0.3">
      <c r="C815" s="7" t="s">
        <v>797</v>
      </c>
      <c r="D815" s="8" t="s">
        <v>2034</v>
      </c>
      <c r="E815" s="8" t="s">
        <v>2002</v>
      </c>
      <c r="F815" s="9">
        <v>4.87</v>
      </c>
    </row>
    <row r="816" spans="3:6" hidden="1" x14ac:dyDescent="0.3">
      <c r="C816" s="10" t="s">
        <v>798</v>
      </c>
      <c r="D816" s="11" t="s">
        <v>2035</v>
      </c>
      <c r="E816" s="11" t="s">
        <v>2023</v>
      </c>
      <c r="F816" s="12">
        <v>10.34</v>
      </c>
    </row>
    <row r="817" spans="3:7" hidden="1" x14ac:dyDescent="0.3">
      <c r="C817" s="7" t="s">
        <v>799</v>
      </c>
      <c r="D817" s="8" t="s">
        <v>2034</v>
      </c>
      <c r="E817" s="8" t="s">
        <v>2002</v>
      </c>
      <c r="F817" s="9">
        <v>14.42</v>
      </c>
    </row>
    <row r="818" spans="3:7" hidden="1" x14ac:dyDescent="0.3">
      <c r="C818" s="10" t="s">
        <v>800</v>
      </c>
      <c r="D818" s="11" t="s">
        <v>2035</v>
      </c>
      <c r="E818" s="11" t="s">
        <v>2023</v>
      </c>
      <c r="F818" s="12">
        <v>13.33</v>
      </c>
    </row>
    <row r="819" spans="3:7" hidden="1" x14ac:dyDescent="0.3">
      <c r="C819" s="7" t="s">
        <v>801</v>
      </c>
      <c r="D819" s="8" t="s">
        <v>2065</v>
      </c>
      <c r="E819" s="8" t="s">
        <v>1988</v>
      </c>
      <c r="F819" s="9">
        <v>4.34</v>
      </c>
    </row>
    <row r="820" spans="3:7" hidden="1" x14ac:dyDescent="0.3">
      <c r="C820" s="10" t="s">
        <v>802</v>
      </c>
      <c r="D820" s="11" t="s">
        <v>2063</v>
      </c>
      <c r="E820" s="11" t="s">
        <v>2028</v>
      </c>
      <c r="F820" s="12">
        <v>4.6399999999999997</v>
      </c>
    </row>
    <row r="821" spans="3:7" hidden="1" x14ac:dyDescent="0.3">
      <c r="C821" s="7" t="s">
        <v>803</v>
      </c>
      <c r="D821" s="8" t="s">
        <v>2034</v>
      </c>
      <c r="E821" s="8" t="s">
        <v>2005</v>
      </c>
      <c r="F821" s="9">
        <v>2.2999999999999998</v>
      </c>
    </row>
    <row r="822" spans="3:7" x14ac:dyDescent="0.3">
      <c r="C822" s="7" t="s">
        <v>727</v>
      </c>
      <c r="D822" s="8" t="s">
        <v>2046</v>
      </c>
      <c r="E822" s="8" t="s">
        <v>2015</v>
      </c>
      <c r="F822" s="9">
        <v>6.89</v>
      </c>
      <c r="G822" s="26">
        <f>F822*$G$2</f>
        <v>1.3780000000000001</v>
      </c>
    </row>
    <row r="823" spans="3:7" hidden="1" x14ac:dyDescent="0.3">
      <c r="C823" s="7" t="s">
        <v>805</v>
      </c>
      <c r="D823" s="8" t="s">
        <v>2034</v>
      </c>
      <c r="E823" s="8" t="s">
        <v>1998</v>
      </c>
      <c r="F823" s="9">
        <v>1.95</v>
      </c>
    </row>
    <row r="824" spans="3:7" hidden="1" x14ac:dyDescent="0.3">
      <c r="C824" s="10" t="s">
        <v>806</v>
      </c>
      <c r="D824" s="11" t="s">
        <v>2035</v>
      </c>
      <c r="E824" s="11" t="s">
        <v>2001</v>
      </c>
      <c r="F824" s="12">
        <v>4.8899999999999997</v>
      </c>
    </row>
    <row r="825" spans="3:7" hidden="1" x14ac:dyDescent="0.3">
      <c r="C825" s="7" t="s">
        <v>807</v>
      </c>
      <c r="D825" s="8" t="s">
        <v>2041</v>
      </c>
      <c r="E825" s="8" t="s">
        <v>1979</v>
      </c>
      <c r="F825" s="9">
        <v>8.7799999999999994</v>
      </c>
    </row>
    <row r="826" spans="3:7" hidden="1" x14ac:dyDescent="0.3">
      <c r="C826" s="10" t="s">
        <v>808</v>
      </c>
      <c r="D826" s="11" t="s">
        <v>2038</v>
      </c>
      <c r="E826" s="11" t="s">
        <v>2030</v>
      </c>
      <c r="F826" s="12">
        <v>10.32</v>
      </c>
    </row>
    <row r="827" spans="3:7" hidden="1" x14ac:dyDescent="0.3">
      <c r="C827" s="7" t="s">
        <v>809</v>
      </c>
      <c r="D827" s="8" t="s">
        <v>2034</v>
      </c>
      <c r="E827" s="8" t="s">
        <v>2023</v>
      </c>
      <c r="F827" s="9">
        <v>14.28</v>
      </c>
    </row>
    <row r="828" spans="3:7" hidden="1" x14ac:dyDescent="0.3">
      <c r="C828" s="10" t="s">
        <v>810</v>
      </c>
      <c r="D828" s="11" t="s">
        <v>2052</v>
      </c>
      <c r="E828" s="11" t="s">
        <v>1998</v>
      </c>
      <c r="F828" s="12">
        <v>0.75</v>
      </c>
    </row>
    <row r="829" spans="3:7" hidden="1" x14ac:dyDescent="0.3">
      <c r="C829" s="7" t="s">
        <v>811</v>
      </c>
      <c r="D829" s="8" t="s">
        <v>2035</v>
      </c>
      <c r="E829" s="8" t="s">
        <v>1998</v>
      </c>
      <c r="F829" s="9">
        <v>3.86</v>
      </c>
    </row>
    <row r="830" spans="3:7" hidden="1" x14ac:dyDescent="0.3">
      <c r="C830" s="10" t="s">
        <v>812</v>
      </c>
      <c r="D830" s="11" t="s">
        <v>2038</v>
      </c>
      <c r="E830" s="11" t="s">
        <v>1987</v>
      </c>
      <c r="F830" s="12">
        <v>3.08</v>
      </c>
    </row>
    <row r="831" spans="3:7" hidden="1" x14ac:dyDescent="0.3">
      <c r="C831" s="7" t="s">
        <v>813</v>
      </c>
      <c r="D831" s="8" t="s">
        <v>2034</v>
      </c>
      <c r="E831" s="8" t="s">
        <v>1992</v>
      </c>
      <c r="F831" s="9">
        <v>6.1</v>
      </c>
    </row>
    <row r="832" spans="3:7" hidden="1" x14ac:dyDescent="0.3">
      <c r="C832" s="10" t="s">
        <v>814</v>
      </c>
      <c r="D832" s="11" t="s">
        <v>1976</v>
      </c>
      <c r="E832" s="11" t="s">
        <v>1986</v>
      </c>
      <c r="F832" s="12">
        <v>6.03</v>
      </c>
    </row>
    <row r="833" spans="3:6" hidden="1" x14ac:dyDescent="0.3">
      <c r="C833" s="7" t="s">
        <v>815</v>
      </c>
      <c r="D833" s="8" t="s">
        <v>2034</v>
      </c>
      <c r="E833" s="8" t="s">
        <v>1998</v>
      </c>
      <c r="F833" s="9">
        <v>2.2799999999999998</v>
      </c>
    </row>
    <row r="834" spans="3:6" hidden="1" x14ac:dyDescent="0.3">
      <c r="C834" s="10" t="s">
        <v>816</v>
      </c>
      <c r="D834" s="11" t="s">
        <v>2042</v>
      </c>
      <c r="E834" s="11" t="s">
        <v>1997</v>
      </c>
      <c r="F834" s="12">
        <v>9.65</v>
      </c>
    </row>
    <row r="835" spans="3:6" hidden="1" x14ac:dyDescent="0.3">
      <c r="C835" s="7" t="s">
        <v>817</v>
      </c>
      <c r="D835" s="8" t="s">
        <v>2035</v>
      </c>
      <c r="E835" s="8" t="s">
        <v>2003</v>
      </c>
      <c r="F835" s="9">
        <v>22.41</v>
      </c>
    </row>
    <row r="836" spans="3:6" hidden="1" x14ac:dyDescent="0.3">
      <c r="C836" s="10" t="s">
        <v>818</v>
      </c>
      <c r="D836" s="11" t="s">
        <v>2057</v>
      </c>
      <c r="E836" s="11" t="s">
        <v>2015</v>
      </c>
      <c r="F836" s="12">
        <v>12.11</v>
      </c>
    </row>
    <row r="837" spans="3:6" hidden="1" x14ac:dyDescent="0.3">
      <c r="C837" s="7" t="s">
        <v>819</v>
      </c>
      <c r="D837" s="8" t="s">
        <v>2067</v>
      </c>
      <c r="E837" s="8" t="s">
        <v>1993</v>
      </c>
      <c r="F837" s="9">
        <v>4.95</v>
      </c>
    </row>
    <row r="838" spans="3:6" hidden="1" x14ac:dyDescent="0.3">
      <c r="C838" s="10" t="s">
        <v>820</v>
      </c>
      <c r="D838" s="11" t="s">
        <v>2040</v>
      </c>
      <c r="E838" s="11" t="s">
        <v>1993</v>
      </c>
      <c r="F838" s="12">
        <v>5.49</v>
      </c>
    </row>
    <row r="839" spans="3:6" hidden="1" x14ac:dyDescent="0.3">
      <c r="C839" s="7" t="s">
        <v>821</v>
      </c>
      <c r="D839" s="8" t="s">
        <v>2034</v>
      </c>
      <c r="E839" s="8" t="s">
        <v>1992</v>
      </c>
      <c r="F839" s="9">
        <v>7.43</v>
      </c>
    </row>
    <row r="840" spans="3:6" hidden="1" x14ac:dyDescent="0.3">
      <c r="C840" s="10" t="s">
        <v>822</v>
      </c>
      <c r="D840" s="11" t="s">
        <v>2038</v>
      </c>
      <c r="E840" s="11" t="s">
        <v>1999</v>
      </c>
      <c r="F840" s="12">
        <v>4.17</v>
      </c>
    </row>
    <row r="841" spans="3:6" hidden="1" x14ac:dyDescent="0.3">
      <c r="C841" s="7" t="s">
        <v>823</v>
      </c>
      <c r="D841" s="8" t="s">
        <v>2040</v>
      </c>
      <c r="E841" s="8" t="s">
        <v>2030</v>
      </c>
      <c r="F841" s="9">
        <v>2.02</v>
      </c>
    </row>
    <row r="842" spans="3:6" hidden="1" x14ac:dyDescent="0.3">
      <c r="C842" s="10" t="s">
        <v>824</v>
      </c>
      <c r="D842" s="11" t="s">
        <v>2038</v>
      </c>
      <c r="E842" s="11" t="s">
        <v>2001</v>
      </c>
      <c r="F842" s="12">
        <v>8.0399999999999991</v>
      </c>
    </row>
    <row r="843" spans="3:6" hidden="1" x14ac:dyDescent="0.3">
      <c r="C843" s="7" t="s">
        <v>2011</v>
      </c>
      <c r="D843" s="8" t="s">
        <v>2038</v>
      </c>
      <c r="E843" s="8" t="s">
        <v>2005</v>
      </c>
      <c r="F843" s="9">
        <v>9.7200000000000006</v>
      </c>
    </row>
    <row r="844" spans="3:6" hidden="1" x14ac:dyDescent="0.3">
      <c r="C844" s="10" t="s">
        <v>825</v>
      </c>
      <c r="D844" s="11" t="s">
        <v>2034</v>
      </c>
      <c r="E844" s="11" t="s">
        <v>1979</v>
      </c>
      <c r="F844" s="12">
        <v>2.35</v>
      </c>
    </row>
    <row r="845" spans="3:6" hidden="1" x14ac:dyDescent="0.3">
      <c r="C845" s="7" t="s">
        <v>2012</v>
      </c>
      <c r="D845" s="8" t="s">
        <v>2038</v>
      </c>
      <c r="E845" s="8" t="s">
        <v>2005</v>
      </c>
      <c r="F845" s="9">
        <v>9.6300000000000008</v>
      </c>
    </row>
    <row r="846" spans="3:6" hidden="1" x14ac:dyDescent="0.3">
      <c r="C846" s="10" t="s">
        <v>826</v>
      </c>
      <c r="D846" s="11" t="s">
        <v>2041</v>
      </c>
      <c r="E846" s="11" t="s">
        <v>2002</v>
      </c>
      <c r="F846" s="12">
        <v>9.8699999999999992</v>
      </c>
    </row>
    <row r="847" spans="3:6" hidden="1" x14ac:dyDescent="0.3">
      <c r="C847" s="7" t="s">
        <v>827</v>
      </c>
      <c r="D847" s="8" t="s">
        <v>2034</v>
      </c>
      <c r="E847" s="8" t="s">
        <v>2023</v>
      </c>
      <c r="F847" s="9">
        <v>7.72</v>
      </c>
    </row>
    <row r="848" spans="3:6" hidden="1" x14ac:dyDescent="0.3">
      <c r="C848" s="10" t="s">
        <v>828</v>
      </c>
      <c r="D848" s="11" t="s">
        <v>2044</v>
      </c>
      <c r="E848" s="11" t="s">
        <v>2015</v>
      </c>
      <c r="F848" s="12">
        <v>4.5999999999999996</v>
      </c>
    </row>
    <row r="849" spans="3:6" hidden="1" x14ac:dyDescent="0.3">
      <c r="C849" s="7" t="s">
        <v>829</v>
      </c>
      <c r="D849" s="8" t="s">
        <v>1977</v>
      </c>
      <c r="E849" s="8" t="s">
        <v>2028</v>
      </c>
      <c r="F849" s="9">
        <v>5.5</v>
      </c>
    </row>
    <row r="850" spans="3:6" hidden="1" x14ac:dyDescent="0.3">
      <c r="C850" s="10" t="s">
        <v>830</v>
      </c>
      <c r="D850" s="11" t="s">
        <v>2038</v>
      </c>
      <c r="E850" s="11" t="s">
        <v>1999</v>
      </c>
      <c r="F850" s="12">
        <v>4.97</v>
      </c>
    </row>
    <row r="851" spans="3:6" hidden="1" x14ac:dyDescent="0.3">
      <c r="C851" s="7" t="s">
        <v>831</v>
      </c>
      <c r="D851" s="8" t="s">
        <v>2038</v>
      </c>
      <c r="E851" s="8" t="s">
        <v>2031</v>
      </c>
      <c r="F851" s="9">
        <v>5.55</v>
      </c>
    </row>
    <row r="852" spans="3:6" hidden="1" x14ac:dyDescent="0.3">
      <c r="C852" s="10" t="s">
        <v>832</v>
      </c>
      <c r="D852" s="11" t="s">
        <v>2041</v>
      </c>
      <c r="E852" s="11" t="s">
        <v>2004</v>
      </c>
      <c r="F852" s="12">
        <v>8.7899999999999991</v>
      </c>
    </row>
    <row r="853" spans="3:6" hidden="1" x14ac:dyDescent="0.3">
      <c r="C853" s="7" t="s">
        <v>1989</v>
      </c>
      <c r="D853" s="8" t="s">
        <v>2038</v>
      </c>
      <c r="E853" s="8" t="s">
        <v>1988</v>
      </c>
      <c r="F853" s="9">
        <v>11.45</v>
      </c>
    </row>
    <row r="854" spans="3:6" hidden="1" x14ac:dyDescent="0.3">
      <c r="C854" s="10" t="s">
        <v>833</v>
      </c>
      <c r="D854" s="11" t="s">
        <v>2074</v>
      </c>
      <c r="E854" s="11" t="s">
        <v>2028</v>
      </c>
      <c r="F854" s="12">
        <v>3.49</v>
      </c>
    </row>
    <row r="855" spans="3:6" hidden="1" x14ac:dyDescent="0.3">
      <c r="C855" s="7" t="s">
        <v>834</v>
      </c>
      <c r="D855" s="8" t="s">
        <v>2052</v>
      </c>
      <c r="E855" s="8" t="s">
        <v>2030</v>
      </c>
      <c r="F855" s="9">
        <v>5.03</v>
      </c>
    </row>
    <row r="856" spans="3:6" hidden="1" x14ac:dyDescent="0.3">
      <c r="C856" s="10" t="s">
        <v>835</v>
      </c>
      <c r="D856" s="11" t="s">
        <v>2047</v>
      </c>
      <c r="E856" s="11" t="s">
        <v>2027</v>
      </c>
      <c r="F856" s="12">
        <v>10.59</v>
      </c>
    </row>
    <row r="857" spans="3:6" hidden="1" x14ac:dyDescent="0.3">
      <c r="C857" s="7" t="s">
        <v>836</v>
      </c>
      <c r="D857" s="8" t="s">
        <v>2038</v>
      </c>
      <c r="E857" s="8" t="s">
        <v>1993</v>
      </c>
      <c r="F857" s="9">
        <v>13.85</v>
      </c>
    </row>
    <row r="858" spans="3:6" hidden="1" x14ac:dyDescent="0.3">
      <c r="C858" s="10" t="s">
        <v>837</v>
      </c>
      <c r="D858" s="11" t="s">
        <v>2070</v>
      </c>
      <c r="E858" s="11" t="s">
        <v>2031</v>
      </c>
      <c r="F858" s="12">
        <v>5.56</v>
      </c>
    </row>
    <row r="859" spans="3:6" hidden="1" x14ac:dyDescent="0.3">
      <c r="C859" s="7" t="s">
        <v>838</v>
      </c>
      <c r="D859" s="8" t="s">
        <v>2043</v>
      </c>
      <c r="E859" s="8" t="s">
        <v>2029</v>
      </c>
      <c r="F859" s="9">
        <v>17.05</v>
      </c>
    </row>
    <row r="860" spans="3:6" hidden="1" x14ac:dyDescent="0.3">
      <c r="C860" s="10" t="s">
        <v>839</v>
      </c>
      <c r="D860" s="11" t="s">
        <v>2052</v>
      </c>
      <c r="E860" s="11" t="s">
        <v>1998</v>
      </c>
      <c r="F860" s="12">
        <v>0.37</v>
      </c>
    </row>
    <row r="861" spans="3:6" hidden="1" x14ac:dyDescent="0.3">
      <c r="C861" s="7" t="s">
        <v>840</v>
      </c>
      <c r="D861" s="8" t="s">
        <v>2044</v>
      </c>
      <c r="E861" s="8" t="s">
        <v>2015</v>
      </c>
      <c r="F861" s="9">
        <v>3.69</v>
      </c>
    </row>
    <row r="862" spans="3:6" hidden="1" x14ac:dyDescent="0.3">
      <c r="C862" s="10" t="s">
        <v>841</v>
      </c>
      <c r="D862" s="11" t="s">
        <v>2038</v>
      </c>
      <c r="E862" s="11" t="s">
        <v>1993</v>
      </c>
      <c r="F862" s="12">
        <v>15.94</v>
      </c>
    </row>
    <row r="863" spans="3:6" hidden="1" x14ac:dyDescent="0.3">
      <c r="C863" s="7" t="s">
        <v>842</v>
      </c>
      <c r="D863" s="8" t="s">
        <v>2035</v>
      </c>
      <c r="E863" s="8" t="s">
        <v>2002</v>
      </c>
      <c r="F863" s="9">
        <v>17.079999999999998</v>
      </c>
    </row>
    <row r="864" spans="3:6" hidden="1" x14ac:dyDescent="0.3">
      <c r="C864" s="10" t="s">
        <v>843</v>
      </c>
      <c r="D864" s="11" t="s">
        <v>2038</v>
      </c>
      <c r="E864" s="11" t="s">
        <v>1986</v>
      </c>
      <c r="F864" s="12">
        <v>3.96</v>
      </c>
    </row>
    <row r="865" spans="3:6" hidden="1" x14ac:dyDescent="0.3">
      <c r="C865" s="7" t="s">
        <v>844</v>
      </c>
      <c r="D865" s="8" t="s">
        <v>2078</v>
      </c>
      <c r="E865" s="8" t="s">
        <v>1979</v>
      </c>
      <c r="F865" s="9">
        <v>1.45</v>
      </c>
    </row>
    <row r="866" spans="3:6" hidden="1" x14ac:dyDescent="0.3">
      <c r="C866" s="10" t="s">
        <v>845</v>
      </c>
      <c r="D866" s="11" t="s">
        <v>2035</v>
      </c>
      <c r="E866" s="11" t="s">
        <v>1997</v>
      </c>
      <c r="F866" s="12">
        <v>6.69</v>
      </c>
    </row>
    <row r="867" spans="3:6" hidden="1" x14ac:dyDescent="0.3">
      <c r="C867" s="7" t="s">
        <v>846</v>
      </c>
      <c r="D867" s="8" t="s">
        <v>2034</v>
      </c>
      <c r="E867" s="8" t="s">
        <v>2005</v>
      </c>
      <c r="F867" s="9">
        <v>1.66</v>
      </c>
    </row>
    <row r="868" spans="3:6" hidden="1" x14ac:dyDescent="0.3">
      <c r="C868" s="10" t="s">
        <v>847</v>
      </c>
      <c r="D868" s="11" t="s">
        <v>2034</v>
      </c>
      <c r="E868" s="11" t="s">
        <v>1987</v>
      </c>
      <c r="F868" s="12">
        <v>9.92</v>
      </c>
    </row>
    <row r="869" spans="3:6" hidden="1" x14ac:dyDescent="0.3">
      <c r="C869" s="7" t="s">
        <v>848</v>
      </c>
      <c r="D869" s="8" t="s">
        <v>2041</v>
      </c>
      <c r="E869" s="8" t="s">
        <v>1993</v>
      </c>
      <c r="F869" s="9">
        <v>9.4</v>
      </c>
    </row>
    <row r="870" spans="3:6" hidden="1" x14ac:dyDescent="0.3">
      <c r="C870" s="10" t="s">
        <v>849</v>
      </c>
      <c r="D870" s="11" t="s">
        <v>2045</v>
      </c>
      <c r="E870" s="11" t="s">
        <v>2031</v>
      </c>
      <c r="F870" s="12">
        <v>3.64</v>
      </c>
    </row>
    <row r="871" spans="3:6" hidden="1" x14ac:dyDescent="0.3">
      <c r="C871" s="7" t="s">
        <v>850</v>
      </c>
      <c r="D871" s="8" t="s">
        <v>2034</v>
      </c>
      <c r="E871" s="8" t="s">
        <v>2031</v>
      </c>
      <c r="F871" s="9">
        <v>1.59</v>
      </c>
    </row>
    <row r="872" spans="3:6" hidden="1" x14ac:dyDescent="0.3">
      <c r="C872" s="10" t="s">
        <v>851</v>
      </c>
      <c r="D872" s="11" t="s">
        <v>2034</v>
      </c>
      <c r="E872" s="11" t="s">
        <v>1998</v>
      </c>
      <c r="F872" s="12">
        <v>2.35</v>
      </c>
    </row>
    <row r="873" spans="3:6" hidden="1" x14ac:dyDescent="0.3">
      <c r="C873" s="7" t="s">
        <v>852</v>
      </c>
      <c r="D873" s="8" t="s">
        <v>2034</v>
      </c>
      <c r="E873" s="8" t="s">
        <v>2002</v>
      </c>
      <c r="F873" s="9">
        <v>5.58</v>
      </c>
    </row>
    <row r="874" spans="3:6" hidden="1" x14ac:dyDescent="0.3">
      <c r="C874" s="10" t="s">
        <v>853</v>
      </c>
      <c r="D874" s="11" t="s">
        <v>2043</v>
      </c>
      <c r="E874" s="11" t="s">
        <v>2005</v>
      </c>
      <c r="F874" s="12">
        <v>6.42</v>
      </c>
    </row>
    <row r="875" spans="3:6" hidden="1" x14ac:dyDescent="0.3">
      <c r="C875" s="7" t="s">
        <v>854</v>
      </c>
      <c r="D875" s="8" t="s">
        <v>2038</v>
      </c>
      <c r="E875" s="8" t="s">
        <v>2030</v>
      </c>
      <c r="F875" s="9">
        <v>10</v>
      </c>
    </row>
    <row r="876" spans="3:6" hidden="1" x14ac:dyDescent="0.3">
      <c r="C876" s="10" t="s">
        <v>855</v>
      </c>
      <c r="D876" s="11" t="s">
        <v>2060</v>
      </c>
      <c r="E876" s="11" t="s">
        <v>1979</v>
      </c>
      <c r="F876" s="12">
        <v>3.91</v>
      </c>
    </row>
    <row r="877" spans="3:6" hidden="1" x14ac:dyDescent="0.3">
      <c r="C877" s="7" t="s">
        <v>856</v>
      </c>
      <c r="D877" s="8" t="s">
        <v>2034</v>
      </c>
      <c r="E877" s="8" t="s">
        <v>2015</v>
      </c>
      <c r="F877" s="9">
        <v>4.6399999999999997</v>
      </c>
    </row>
    <row r="878" spans="3:6" hidden="1" x14ac:dyDescent="0.3">
      <c r="C878" s="10" t="s">
        <v>857</v>
      </c>
      <c r="D878" s="11" t="s">
        <v>2034</v>
      </c>
      <c r="E878" s="11" t="s">
        <v>2002</v>
      </c>
      <c r="F878" s="12">
        <v>3.29</v>
      </c>
    </row>
    <row r="879" spans="3:6" hidden="1" x14ac:dyDescent="0.3">
      <c r="C879" s="7" t="s">
        <v>858</v>
      </c>
      <c r="D879" s="8" t="s">
        <v>2079</v>
      </c>
      <c r="E879" s="8" t="s">
        <v>2028</v>
      </c>
      <c r="F879" s="9">
        <v>3.67</v>
      </c>
    </row>
    <row r="880" spans="3:6" hidden="1" x14ac:dyDescent="0.3">
      <c r="C880" s="10" t="s">
        <v>859</v>
      </c>
      <c r="D880" s="11" t="s">
        <v>2045</v>
      </c>
      <c r="E880" s="11" t="s">
        <v>2015</v>
      </c>
      <c r="F880" s="12">
        <v>3.9</v>
      </c>
    </row>
    <row r="881" spans="3:6" hidden="1" x14ac:dyDescent="0.3">
      <c r="C881" s="7" t="s">
        <v>860</v>
      </c>
      <c r="D881" s="8" t="s">
        <v>2044</v>
      </c>
      <c r="E881" s="8" t="s">
        <v>2028</v>
      </c>
      <c r="F881" s="9">
        <v>5.96</v>
      </c>
    </row>
    <row r="882" spans="3:6" hidden="1" x14ac:dyDescent="0.3">
      <c r="C882" s="10" t="s">
        <v>861</v>
      </c>
      <c r="D882" s="11" t="s">
        <v>2043</v>
      </c>
      <c r="E882" s="11" t="s">
        <v>1997</v>
      </c>
      <c r="F882" s="12">
        <v>7.06</v>
      </c>
    </row>
    <row r="883" spans="3:6" hidden="1" x14ac:dyDescent="0.3">
      <c r="C883" s="7" t="s">
        <v>862</v>
      </c>
      <c r="D883" s="8" t="s">
        <v>2034</v>
      </c>
      <c r="E883" s="8" t="s">
        <v>2004</v>
      </c>
      <c r="F883" s="9">
        <v>14.27</v>
      </c>
    </row>
    <row r="884" spans="3:6" hidden="1" x14ac:dyDescent="0.3">
      <c r="C884" s="10" t="s">
        <v>863</v>
      </c>
      <c r="D884" s="11" t="s">
        <v>2034</v>
      </c>
      <c r="E884" s="11" t="s">
        <v>2015</v>
      </c>
      <c r="F884" s="12">
        <v>4.18</v>
      </c>
    </row>
    <row r="885" spans="3:6" hidden="1" x14ac:dyDescent="0.3">
      <c r="C885" s="7" t="s">
        <v>864</v>
      </c>
      <c r="D885" s="8" t="s">
        <v>2038</v>
      </c>
      <c r="E885" s="8" t="s">
        <v>2015</v>
      </c>
      <c r="F885" s="9">
        <v>11.01</v>
      </c>
    </row>
    <row r="886" spans="3:6" hidden="1" x14ac:dyDescent="0.3">
      <c r="C886" s="10" t="s">
        <v>865</v>
      </c>
      <c r="D886" s="11" t="s">
        <v>2034</v>
      </c>
      <c r="E886" s="11" t="s">
        <v>1993</v>
      </c>
      <c r="F886" s="12">
        <v>6.2</v>
      </c>
    </row>
    <row r="887" spans="3:6" hidden="1" x14ac:dyDescent="0.3">
      <c r="C887" s="7" t="s">
        <v>866</v>
      </c>
      <c r="D887" s="8" t="s">
        <v>2034</v>
      </c>
      <c r="E887" s="8" t="s">
        <v>2003</v>
      </c>
      <c r="F887" s="9">
        <v>4.4400000000000004</v>
      </c>
    </row>
    <row r="888" spans="3:6" hidden="1" x14ac:dyDescent="0.3">
      <c r="C888" s="10" t="s">
        <v>867</v>
      </c>
      <c r="D888" s="11" t="s">
        <v>2034</v>
      </c>
      <c r="E888" s="11" t="s">
        <v>1979</v>
      </c>
      <c r="F888" s="12">
        <v>3.24</v>
      </c>
    </row>
    <row r="889" spans="3:6" hidden="1" x14ac:dyDescent="0.3">
      <c r="C889" s="7" t="s">
        <v>868</v>
      </c>
      <c r="D889" s="8" t="s">
        <v>2034</v>
      </c>
      <c r="E889" s="8" t="s">
        <v>2002</v>
      </c>
      <c r="F889" s="9">
        <v>5.5</v>
      </c>
    </row>
    <row r="890" spans="3:6" hidden="1" x14ac:dyDescent="0.3">
      <c r="C890" s="10" t="s">
        <v>869</v>
      </c>
      <c r="D890" s="11" t="s">
        <v>1975</v>
      </c>
      <c r="E890" s="11" t="s">
        <v>1992</v>
      </c>
      <c r="F890" s="12">
        <v>6.11</v>
      </c>
    </row>
    <row r="891" spans="3:6" hidden="1" x14ac:dyDescent="0.3">
      <c r="C891" s="7" t="s">
        <v>870</v>
      </c>
      <c r="D891" s="8" t="s">
        <v>2038</v>
      </c>
      <c r="E891" s="8" t="s">
        <v>1997</v>
      </c>
      <c r="F891" s="9">
        <v>24.13</v>
      </c>
    </row>
    <row r="892" spans="3:6" hidden="1" x14ac:dyDescent="0.3">
      <c r="C892" s="10" t="s">
        <v>871</v>
      </c>
      <c r="D892" s="11" t="s">
        <v>2034</v>
      </c>
      <c r="E892" s="11" t="s">
        <v>2031</v>
      </c>
      <c r="F892" s="12">
        <v>7.73</v>
      </c>
    </row>
    <row r="893" spans="3:6" hidden="1" x14ac:dyDescent="0.3">
      <c r="C893" s="7" t="s">
        <v>872</v>
      </c>
      <c r="D893" s="8" t="s">
        <v>1977</v>
      </c>
      <c r="E893" s="8" t="s">
        <v>2031</v>
      </c>
      <c r="F893" s="9">
        <v>4.18</v>
      </c>
    </row>
    <row r="894" spans="3:6" hidden="1" x14ac:dyDescent="0.3">
      <c r="C894" s="10" t="s">
        <v>873</v>
      </c>
      <c r="D894" s="11" t="s">
        <v>2052</v>
      </c>
      <c r="E894" s="11" t="s">
        <v>2030</v>
      </c>
      <c r="F894" s="12">
        <v>1.07</v>
      </c>
    </row>
    <row r="895" spans="3:6" hidden="1" x14ac:dyDescent="0.3">
      <c r="C895" s="7" t="s">
        <v>874</v>
      </c>
      <c r="D895" s="8" t="s">
        <v>2051</v>
      </c>
      <c r="E895" s="8" t="s">
        <v>2022</v>
      </c>
      <c r="F895" s="9">
        <v>3.55</v>
      </c>
    </row>
    <row r="896" spans="3:6" hidden="1" x14ac:dyDescent="0.3">
      <c r="C896" s="10" t="s">
        <v>875</v>
      </c>
      <c r="D896" s="11" t="s">
        <v>2034</v>
      </c>
      <c r="E896" s="11" t="s">
        <v>2002</v>
      </c>
      <c r="F896" s="12">
        <v>3.55</v>
      </c>
    </row>
    <row r="897" spans="3:6" hidden="1" x14ac:dyDescent="0.3">
      <c r="C897" s="7" t="s">
        <v>876</v>
      </c>
      <c r="D897" s="8" t="s">
        <v>2060</v>
      </c>
      <c r="E897" s="8" t="s">
        <v>2001</v>
      </c>
      <c r="F897" s="9">
        <v>4.0199999999999996</v>
      </c>
    </row>
    <row r="898" spans="3:6" hidden="1" x14ac:dyDescent="0.3">
      <c r="C898" s="10" t="s">
        <v>877</v>
      </c>
      <c r="D898" s="11" t="s">
        <v>2056</v>
      </c>
      <c r="E898" s="11" t="s">
        <v>2015</v>
      </c>
      <c r="F898" s="12">
        <v>4.45</v>
      </c>
    </row>
    <row r="899" spans="3:6" hidden="1" x14ac:dyDescent="0.3">
      <c r="C899" s="7" t="s">
        <v>878</v>
      </c>
      <c r="D899" s="8" t="s">
        <v>2080</v>
      </c>
      <c r="E899" s="8" t="s">
        <v>1998</v>
      </c>
      <c r="F899" s="9">
        <v>5.74</v>
      </c>
    </row>
    <row r="900" spans="3:6" hidden="1" x14ac:dyDescent="0.3">
      <c r="C900" s="10" t="s">
        <v>879</v>
      </c>
      <c r="D900" s="11" t="s">
        <v>2039</v>
      </c>
      <c r="E900" s="11" t="s">
        <v>2017</v>
      </c>
      <c r="F900" s="12">
        <v>5.19</v>
      </c>
    </row>
    <row r="901" spans="3:6" hidden="1" x14ac:dyDescent="0.3">
      <c r="C901" s="7" t="s">
        <v>880</v>
      </c>
      <c r="D901" s="8" t="s">
        <v>2038</v>
      </c>
      <c r="E901" s="8" t="s">
        <v>1993</v>
      </c>
      <c r="F901" s="9">
        <v>15.74</v>
      </c>
    </row>
    <row r="902" spans="3:6" hidden="1" x14ac:dyDescent="0.3">
      <c r="C902" s="10" t="s">
        <v>881</v>
      </c>
      <c r="D902" s="11" t="s">
        <v>2035</v>
      </c>
      <c r="E902" s="11" t="s">
        <v>2003</v>
      </c>
      <c r="F902" s="12">
        <v>4.2300000000000004</v>
      </c>
    </row>
    <row r="903" spans="3:6" hidden="1" x14ac:dyDescent="0.3">
      <c r="C903" s="7" t="s">
        <v>882</v>
      </c>
      <c r="D903" s="8" t="s">
        <v>2039</v>
      </c>
      <c r="E903" s="8" t="s">
        <v>2003</v>
      </c>
      <c r="F903" s="9">
        <v>14.39</v>
      </c>
    </row>
    <row r="904" spans="3:6" hidden="1" x14ac:dyDescent="0.3">
      <c r="C904" s="10" t="s">
        <v>883</v>
      </c>
      <c r="D904" s="11" t="s">
        <v>2038</v>
      </c>
      <c r="E904" s="11" t="s">
        <v>1979</v>
      </c>
      <c r="F904" s="12">
        <v>1.93</v>
      </c>
    </row>
    <row r="905" spans="3:6" hidden="1" x14ac:dyDescent="0.3">
      <c r="C905" s="7" t="s">
        <v>884</v>
      </c>
      <c r="D905" s="8" t="s">
        <v>2038</v>
      </c>
      <c r="E905" s="8" t="s">
        <v>1993</v>
      </c>
      <c r="F905" s="9">
        <v>9.1999999999999993</v>
      </c>
    </row>
    <row r="906" spans="3:6" hidden="1" x14ac:dyDescent="0.3">
      <c r="C906" s="10" t="s">
        <v>885</v>
      </c>
      <c r="D906" s="11" t="s">
        <v>2034</v>
      </c>
      <c r="E906" s="11" t="s">
        <v>2030</v>
      </c>
      <c r="F906" s="12">
        <v>20.71</v>
      </c>
    </row>
    <row r="907" spans="3:6" hidden="1" x14ac:dyDescent="0.3">
      <c r="C907" s="7" t="s">
        <v>886</v>
      </c>
      <c r="D907" s="8" t="s">
        <v>2034</v>
      </c>
      <c r="E907" s="8" t="s">
        <v>2002</v>
      </c>
      <c r="F907" s="9">
        <v>6.61</v>
      </c>
    </row>
    <row r="908" spans="3:6" hidden="1" x14ac:dyDescent="0.3">
      <c r="C908" s="10" t="s">
        <v>887</v>
      </c>
      <c r="D908" s="11" t="s">
        <v>2034</v>
      </c>
      <c r="E908" s="11" t="s">
        <v>1986</v>
      </c>
      <c r="F908" s="12">
        <v>4.7300000000000004</v>
      </c>
    </row>
    <row r="909" spans="3:6" hidden="1" x14ac:dyDescent="0.3">
      <c r="C909" s="7" t="s">
        <v>888</v>
      </c>
      <c r="D909" s="8" t="s">
        <v>2038</v>
      </c>
      <c r="E909" s="8" t="s">
        <v>1986</v>
      </c>
      <c r="F909" s="9">
        <v>6.14</v>
      </c>
    </row>
    <row r="910" spans="3:6" hidden="1" x14ac:dyDescent="0.3">
      <c r="C910" s="10" t="s">
        <v>889</v>
      </c>
      <c r="D910" s="11" t="s">
        <v>2034</v>
      </c>
      <c r="E910" s="11" t="s">
        <v>2023</v>
      </c>
      <c r="F910" s="12">
        <v>8.49</v>
      </c>
    </row>
    <row r="911" spans="3:6" hidden="1" x14ac:dyDescent="0.3">
      <c r="C911" s="7" t="s">
        <v>890</v>
      </c>
      <c r="D911" s="8" t="s">
        <v>2043</v>
      </c>
      <c r="E911" s="8" t="s">
        <v>1986</v>
      </c>
      <c r="F911" s="9">
        <v>9</v>
      </c>
    </row>
    <row r="912" spans="3:6" hidden="1" x14ac:dyDescent="0.3">
      <c r="C912" s="10" t="s">
        <v>891</v>
      </c>
      <c r="D912" s="11" t="s">
        <v>2034</v>
      </c>
      <c r="E912" s="11" t="s">
        <v>1997</v>
      </c>
      <c r="F912" s="12">
        <v>9.7799999999999994</v>
      </c>
    </row>
    <row r="913" spans="3:6" hidden="1" x14ac:dyDescent="0.3">
      <c r="C913" s="7" t="s">
        <v>892</v>
      </c>
      <c r="D913" s="8" t="s">
        <v>2038</v>
      </c>
      <c r="E913" s="8" t="s">
        <v>1998</v>
      </c>
      <c r="F913" s="9">
        <v>5.75</v>
      </c>
    </row>
    <row r="914" spans="3:6" hidden="1" x14ac:dyDescent="0.3">
      <c r="C914" s="10" t="s">
        <v>893</v>
      </c>
      <c r="D914" s="11" t="s">
        <v>2038</v>
      </c>
      <c r="E914" s="11" t="s">
        <v>1998</v>
      </c>
      <c r="F914" s="12">
        <v>3.99</v>
      </c>
    </row>
    <row r="915" spans="3:6" hidden="1" x14ac:dyDescent="0.3">
      <c r="C915" s="7" t="s">
        <v>894</v>
      </c>
      <c r="D915" s="8" t="s">
        <v>2065</v>
      </c>
      <c r="E915" s="8" t="s">
        <v>2027</v>
      </c>
      <c r="F915" s="9">
        <v>7.87</v>
      </c>
    </row>
    <row r="916" spans="3:6" hidden="1" x14ac:dyDescent="0.3">
      <c r="C916" s="10" t="s">
        <v>895</v>
      </c>
      <c r="D916" s="11" t="s">
        <v>2034</v>
      </c>
      <c r="E916" s="11" t="s">
        <v>2031</v>
      </c>
      <c r="F916" s="12">
        <v>12.68</v>
      </c>
    </row>
    <row r="917" spans="3:6" hidden="1" x14ac:dyDescent="0.3">
      <c r="C917" s="7" t="s">
        <v>896</v>
      </c>
      <c r="D917" s="8" t="s">
        <v>2039</v>
      </c>
      <c r="E917" s="8" t="s">
        <v>1978</v>
      </c>
      <c r="F917" s="9">
        <v>4.6900000000000004</v>
      </c>
    </row>
    <row r="918" spans="3:6" hidden="1" x14ac:dyDescent="0.3">
      <c r="C918" s="10" t="s">
        <v>897</v>
      </c>
      <c r="D918" s="11" t="s">
        <v>2034</v>
      </c>
      <c r="E918" s="11" t="s">
        <v>1997</v>
      </c>
      <c r="F918" s="12">
        <v>6.52</v>
      </c>
    </row>
    <row r="919" spans="3:6" hidden="1" x14ac:dyDescent="0.3">
      <c r="C919" s="7" t="s">
        <v>898</v>
      </c>
      <c r="D919" s="8" t="s">
        <v>2065</v>
      </c>
      <c r="E919" s="8" t="s">
        <v>1979</v>
      </c>
      <c r="F919" s="9">
        <v>2.39</v>
      </c>
    </row>
    <row r="920" spans="3:6" hidden="1" x14ac:dyDescent="0.3">
      <c r="C920" s="10" t="s">
        <v>899</v>
      </c>
      <c r="D920" s="11" t="s">
        <v>2051</v>
      </c>
      <c r="E920" s="11" t="s">
        <v>2005</v>
      </c>
      <c r="F920" s="12">
        <v>4.5999999999999996</v>
      </c>
    </row>
    <row r="921" spans="3:6" hidden="1" x14ac:dyDescent="0.3">
      <c r="C921" s="7" t="s">
        <v>900</v>
      </c>
      <c r="D921" s="8" t="s">
        <v>2066</v>
      </c>
      <c r="E921" s="8" t="s">
        <v>1986</v>
      </c>
      <c r="F921" s="9">
        <v>15.58</v>
      </c>
    </row>
    <row r="922" spans="3:6" hidden="1" x14ac:dyDescent="0.3">
      <c r="C922" s="10" t="s">
        <v>901</v>
      </c>
      <c r="D922" s="11" t="s">
        <v>2034</v>
      </c>
      <c r="E922" s="11" t="s">
        <v>1987</v>
      </c>
      <c r="F922" s="12">
        <v>5.12</v>
      </c>
    </row>
    <row r="923" spans="3:6" hidden="1" x14ac:dyDescent="0.3">
      <c r="C923" s="7" t="s">
        <v>902</v>
      </c>
      <c r="D923" s="8" t="s">
        <v>2034</v>
      </c>
      <c r="E923" s="8" t="s">
        <v>2001</v>
      </c>
      <c r="F923" s="9">
        <v>10.51</v>
      </c>
    </row>
    <row r="924" spans="3:6" hidden="1" x14ac:dyDescent="0.3">
      <c r="C924" s="10" t="s">
        <v>903</v>
      </c>
      <c r="D924" s="11" t="s">
        <v>2035</v>
      </c>
      <c r="E924" s="11" t="s">
        <v>2028</v>
      </c>
      <c r="F924" s="12">
        <v>5.71</v>
      </c>
    </row>
    <row r="925" spans="3:6" hidden="1" x14ac:dyDescent="0.3">
      <c r="C925" s="7" t="s">
        <v>904</v>
      </c>
      <c r="D925" s="8" t="s">
        <v>2038</v>
      </c>
      <c r="E925" s="8" t="s">
        <v>1979</v>
      </c>
      <c r="F925" s="9">
        <v>1.6</v>
      </c>
    </row>
    <row r="926" spans="3:6" hidden="1" x14ac:dyDescent="0.3">
      <c r="C926" s="10" t="s">
        <v>905</v>
      </c>
      <c r="D926" s="11" t="s">
        <v>2038</v>
      </c>
      <c r="E926" s="11" t="s">
        <v>2023</v>
      </c>
      <c r="F926" s="12">
        <v>17.55</v>
      </c>
    </row>
    <row r="927" spans="3:6" hidden="1" x14ac:dyDescent="0.3">
      <c r="C927" s="7" t="s">
        <v>906</v>
      </c>
      <c r="D927" s="8" t="s">
        <v>2039</v>
      </c>
      <c r="E927" s="8" t="s">
        <v>1998</v>
      </c>
      <c r="F927" s="9">
        <v>0.87</v>
      </c>
    </row>
    <row r="928" spans="3:6" hidden="1" x14ac:dyDescent="0.3">
      <c r="C928" s="10" t="s">
        <v>907</v>
      </c>
      <c r="D928" s="11" t="s">
        <v>2035</v>
      </c>
      <c r="E928" s="11" t="s">
        <v>1998</v>
      </c>
      <c r="F928" s="12">
        <v>2.56</v>
      </c>
    </row>
    <row r="929" spans="3:6" hidden="1" x14ac:dyDescent="0.3">
      <c r="C929" s="7" t="s">
        <v>908</v>
      </c>
      <c r="D929" s="8" t="s">
        <v>2074</v>
      </c>
      <c r="E929" s="8" t="s">
        <v>2030</v>
      </c>
      <c r="F929" s="9">
        <v>2.8</v>
      </c>
    </row>
    <row r="930" spans="3:6" hidden="1" x14ac:dyDescent="0.3">
      <c r="C930" s="10" t="s">
        <v>909</v>
      </c>
      <c r="D930" s="11" t="s">
        <v>2038</v>
      </c>
      <c r="E930" s="11" t="s">
        <v>1987</v>
      </c>
      <c r="F930" s="12">
        <v>6.8</v>
      </c>
    </row>
    <row r="931" spans="3:6" hidden="1" x14ac:dyDescent="0.3">
      <c r="C931" s="7" t="s">
        <v>910</v>
      </c>
      <c r="D931" s="8" t="s">
        <v>2041</v>
      </c>
      <c r="E931" s="8" t="s">
        <v>2001</v>
      </c>
      <c r="F931" s="9">
        <v>6.39</v>
      </c>
    </row>
    <row r="932" spans="3:6" hidden="1" x14ac:dyDescent="0.3">
      <c r="C932" s="10" t="s">
        <v>911</v>
      </c>
      <c r="D932" s="11" t="s">
        <v>2042</v>
      </c>
      <c r="E932" s="11" t="s">
        <v>1979</v>
      </c>
      <c r="F932" s="12">
        <v>3.68</v>
      </c>
    </row>
    <row r="933" spans="3:6" hidden="1" x14ac:dyDescent="0.3">
      <c r="C933" s="7" t="s">
        <v>912</v>
      </c>
      <c r="D933" s="8" t="s">
        <v>2034</v>
      </c>
      <c r="E933" s="8" t="s">
        <v>1997</v>
      </c>
      <c r="F933" s="9">
        <v>6.62</v>
      </c>
    </row>
    <row r="934" spans="3:6" hidden="1" x14ac:dyDescent="0.3">
      <c r="C934" s="10" t="s">
        <v>913</v>
      </c>
      <c r="D934" s="11" t="s">
        <v>1975</v>
      </c>
      <c r="E934" s="11" t="s">
        <v>2001</v>
      </c>
      <c r="F934" s="12">
        <v>3.02</v>
      </c>
    </row>
    <row r="935" spans="3:6" hidden="1" x14ac:dyDescent="0.3">
      <c r="C935" s="7" t="s">
        <v>914</v>
      </c>
      <c r="D935" s="8" t="s">
        <v>2034</v>
      </c>
      <c r="E935" s="8" t="s">
        <v>2025</v>
      </c>
      <c r="F935" s="9">
        <v>5.84</v>
      </c>
    </row>
    <row r="936" spans="3:6" hidden="1" x14ac:dyDescent="0.3">
      <c r="C936" s="10" t="s">
        <v>915</v>
      </c>
      <c r="D936" s="11" t="s">
        <v>2042</v>
      </c>
      <c r="E936" s="11" t="s">
        <v>2004</v>
      </c>
      <c r="F936" s="12">
        <v>4.42</v>
      </c>
    </row>
    <row r="937" spans="3:6" hidden="1" x14ac:dyDescent="0.3">
      <c r="C937" s="7" t="s">
        <v>916</v>
      </c>
      <c r="D937" s="8" t="s">
        <v>2047</v>
      </c>
      <c r="E937" s="8" t="s">
        <v>2030</v>
      </c>
      <c r="F937" s="9">
        <v>3.67</v>
      </c>
    </row>
    <row r="938" spans="3:6" hidden="1" x14ac:dyDescent="0.3">
      <c r="C938" s="10" t="s">
        <v>917</v>
      </c>
      <c r="D938" s="11" t="s">
        <v>2034</v>
      </c>
      <c r="E938" s="11" t="s">
        <v>2031</v>
      </c>
      <c r="F938" s="12">
        <v>9.7200000000000006</v>
      </c>
    </row>
    <row r="939" spans="3:6" hidden="1" x14ac:dyDescent="0.3">
      <c r="C939" s="7" t="s">
        <v>918</v>
      </c>
      <c r="D939" s="8" t="s">
        <v>2038</v>
      </c>
      <c r="E939" s="8" t="s">
        <v>2022</v>
      </c>
      <c r="F939" s="9">
        <v>20.100000000000001</v>
      </c>
    </row>
    <row r="940" spans="3:6" hidden="1" x14ac:dyDescent="0.3">
      <c r="C940" s="10" t="s">
        <v>919</v>
      </c>
      <c r="D940" s="11" t="s">
        <v>2034</v>
      </c>
      <c r="E940" s="11" t="s">
        <v>2022</v>
      </c>
      <c r="F940" s="12">
        <v>16.579999999999998</v>
      </c>
    </row>
    <row r="941" spans="3:6" hidden="1" x14ac:dyDescent="0.3">
      <c r="C941" s="7" t="s">
        <v>920</v>
      </c>
      <c r="D941" s="8" t="s">
        <v>2037</v>
      </c>
      <c r="E941" s="8" t="s">
        <v>2005</v>
      </c>
      <c r="F941" s="9">
        <v>8</v>
      </c>
    </row>
    <row r="942" spans="3:6" hidden="1" x14ac:dyDescent="0.3">
      <c r="C942" s="10" t="s">
        <v>921</v>
      </c>
      <c r="D942" s="11" t="s">
        <v>2034</v>
      </c>
      <c r="E942" s="11" t="s">
        <v>2027</v>
      </c>
      <c r="F942" s="12">
        <v>6.03</v>
      </c>
    </row>
    <row r="943" spans="3:6" hidden="1" x14ac:dyDescent="0.3">
      <c r="C943" s="7" t="s">
        <v>922</v>
      </c>
      <c r="D943" s="8" t="s">
        <v>2060</v>
      </c>
      <c r="E943" s="8" t="s">
        <v>2017</v>
      </c>
      <c r="F943" s="9">
        <v>3.06</v>
      </c>
    </row>
    <row r="944" spans="3:6" hidden="1" x14ac:dyDescent="0.3">
      <c r="C944" s="10" t="s">
        <v>923</v>
      </c>
      <c r="D944" s="11" t="s">
        <v>2038</v>
      </c>
      <c r="E944" s="11" t="s">
        <v>2025</v>
      </c>
      <c r="F944" s="12">
        <v>3.44</v>
      </c>
    </row>
    <row r="945" spans="3:6" hidden="1" x14ac:dyDescent="0.3">
      <c r="C945" s="7" t="s">
        <v>924</v>
      </c>
      <c r="D945" s="8" t="s">
        <v>2034</v>
      </c>
      <c r="E945" s="8" t="s">
        <v>1998</v>
      </c>
      <c r="F945" s="9">
        <v>1.18</v>
      </c>
    </row>
    <row r="946" spans="3:6" hidden="1" x14ac:dyDescent="0.3">
      <c r="C946" s="10" t="s">
        <v>925</v>
      </c>
      <c r="D946" s="11" t="s">
        <v>2047</v>
      </c>
      <c r="E946" s="11" t="s">
        <v>1978</v>
      </c>
      <c r="F946" s="12">
        <v>16.41</v>
      </c>
    </row>
    <row r="947" spans="3:6" hidden="1" x14ac:dyDescent="0.3">
      <c r="C947" s="7" t="s">
        <v>926</v>
      </c>
      <c r="D947" s="8" t="s">
        <v>2057</v>
      </c>
      <c r="E947" s="8" t="s">
        <v>1986</v>
      </c>
      <c r="F947" s="9">
        <v>8.3000000000000007</v>
      </c>
    </row>
    <row r="948" spans="3:6" hidden="1" x14ac:dyDescent="0.3">
      <c r="C948" s="10" t="s">
        <v>927</v>
      </c>
      <c r="D948" s="11" t="s">
        <v>2038</v>
      </c>
      <c r="E948" s="11" t="s">
        <v>2031</v>
      </c>
      <c r="F948" s="12">
        <v>4.87</v>
      </c>
    </row>
    <row r="949" spans="3:6" hidden="1" x14ac:dyDescent="0.3">
      <c r="C949" s="7" t="s">
        <v>928</v>
      </c>
      <c r="D949" s="8" t="s">
        <v>2035</v>
      </c>
      <c r="E949" s="8" t="s">
        <v>1992</v>
      </c>
      <c r="F949" s="9">
        <v>5.3</v>
      </c>
    </row>
    <row r="950" spans="3:6" hidden="1" x14ac:dyDescent="0.3">
      <c r="C950" s="10" t="s">
        <v>929</v>
      </c>
      <c r="D950" s="11" t="s">
        <v>2067</v>
      </c>
      <c r="E950" s="11" t="s">
        <v>1979</v>
      </c>
      <c r="F950" s="12">
        <v>1.72</v>
      </c>
    </row>
    <row r="951" spans="3:6" hidden="1" x14ac:dyDescent="0.3">
      <c r="C951" s="7" t="s">
        <v>930</v>
      </c>
      <c r="D951" s="8" t="s">
        <v>2034</v>
      </c>
      <c r="E951" s="8" t="s">
        <v>2005</v>
      </c>
      <c r="F951" s="9">
        <v>4.3600000000000003</v>
      </c>
    </row>
    <row r="952" spans="3:6" hidden="1" x14ac:dyDescent="0.3">
      <c r="C952" s="10" t="s">
        <v>931</v>
      </c>
      <c r="D952" s="11" t="s">
        <v>2034</v>
      </c>
      <c r="E952" s="11" t="s">
        <v>2000</v>
      </c>
      <c r="F952" s="12">
        <v>19.809999999999999</v>
      </c>
    </row>
    <row r="953" spans="3:6" hidden="1" x14ac:dyDescent="0.3">
      <c r="C953" s="7" t="s">
        <v>932</v>
      </c>
      <c r="D953" s="8" t="s">
        <v>2034</v>
      </c>
      <c r="E953" s="8" t="s">
        <v>2026</v>
      </c>
      <c r="F953" s="9">
        <v>3.62</v>
      </c>
    </row>
    <row r="954" spans="3:6" hidden="1" x14ac:dyDescent="0.3">
      <c r="C954" s="10" t="s">
        <v>933</v>
      </c>
      <c r="D954" s="11" t="s">
        <v>2034</v>
      </c>
      <c r="E954" s="11" t="s">
        <v>2023</v>
      </c>
      <c r="F954" s="12">
        <v>5.59</v>
      </c>
    </row>
    <row r="955" spans="3:6" hidden="1" x14ac:dyDescent="0.3">
      <c r="C955" s="7" t="s">
        <v>934</v>
      </c>
      <c r="D955" s="8" t="s">
        <v>2034</v>
      </c>
      <c r="E955" s="8" t="s">
        <v>1997</v>
      </c>
      <c r="F955" s="9">
        <v>19.72</v>
      </c>
    </row>
    <row r="956" spans="3:6" hidden="1" x14ac:dyDescent="0.3">
      <c r="C956" s="10" t="s">
        <v>935</v>
      </c>
      <c r="D956" s="11" t="s">
        <v>2034</v>
      </c>
      <c r="E956" s="11" t="s">
        <v>2005</v>
      </c>
      <c r="F956" s="12">
        <v>3.12</v>
      </c>
    </row>
    <row r="957" spans="3:6" hidden="1" x14ac:dyDescent="0.3">
      <c r="C957" s="7" t="s">
        <v>936</v>
      </c>
      <c r="D957" s="8" t="s">
        <v>2064</v>
      </c>
      <c r="E957" s="8" t="s">
        <v>1979</v>
      </c>
      <c r="F957" s="9">
        <v>3.45</v>
      </c>
    </row>
    <row r="958" spans="3:6" hidden="1" x14ac:dyDescent="0.3">
      <c r="C958" s="10" t="s">
        <v>937</v>
      </c>
      <c r="D958" s="11" t="s">
        <v>2034</v>
      </c>
      <c r="E958" s="11" t="s">
        <v>1998</v>
      </c>
      <c r="F958" s="12">
        <v>0.95</v>
      </c>
    </row>
    <row r="959" spans="3:6" hidden="1" x14ac:dyDescent="0.3">
      <c r="C959" s="7" t="s">
        <v>938</v>
      </c>
      <c r="D959" s="8" t="s">
        <v>2039</v>
      </c>
      <c r="E959" s="8" t="s">
        <v>1993</v>
      </c>
      <c r="F959" s="9">
        <v>10.6</v>
      </c>
    </row>
    <row r="960" spans="3:6" hidden="1" x14ac:dyDescent="0.3">
      <c r="C960" s="10" t="s">
        <v>939</v>
      </c>
      <c r="D960" s="11" t="s">
        <v>2034</v>
      </c>
      <c r="E960" s="11" t="s">
        <v>1998</v>
      </c>
      <c r="F960" s="12">
        <v>0.73</v>
      </c>
    </row>
    <row r="961" spans="3:6" hidden="1" x14ac:dyDescent="0.3">
      <c r="C961" s="7" t="s">
        <v>940</v>
      </c>
      <c r="D961" s="8" t="s">
        <v>2034</v>
      </c>
      <c r="E961" s="8" t="s">
        <v>2030</v>
      </c>
      <c r="F961" s="9">
        <v>17.38</v>
      </c>
    </row>
    <row r="962" spans="3:6" hidden="1" x14ac:dyDescent="0.3">
      <c r="C962" s="10" t="s">
        <v>941</v>
      </c>
      <c r="D962" s="11" t="s">
        <v>2047</v>
      </c>
      <c r="E962" s="11" t="s">
        <v>2028</v>
      </c>
      <c r="F962" s="12">
        <v>6.43</v>
      </c>
    </row>
    <row r="963" spans="3:6" hidden="1" x14ac:dyDescent="0.3">
      <c r="C963" s="7" t="s">
        <v>942</v>
      </c>
      <c r="D963" s="8" t="s">
        <v>2034</v>
      </c>
      <c r="E963" s="8" t="s">
        <v>2026</v>
      </c>
      <c r="F963" s="9">
        <v>3.76</v>
      </c>
    </row>
    <row r="964" spans="3:6" hidden="1" x14ac:dyDescent="0.3">
      <c r="C964" s="10" t="s">
        <v>943</v>
      </c>
      <c r="D964" s="11" t="s">
        <v>2034</v>
      </c>
      <c r="E964" s="11" t="s">
        <v>2005</v>
      </c>
      <c r="F964" s="12">
        <v>8.06</v>
      </c>
    </row>
    <row r="965" spans="3:6" hidden="1" x14ac:dyDescent="0.3">
      <c r="C965" s="7" t="s">
        <v>944</v>
      </c>
      <c r="D965" s="8" t="s">
        <v>2070</v>
      </c>
      <c r="E965" s="8" t="s">
        <v>2003</v>
      </c>
      <c r="F965" s="9">
        <v>4.3099999999999996</v>
      </c>
    </row>
    <row r="966" spans="3:6" hidden="1" x14ac:dyDescent="0.3">
      <c r="C966" s="10" t="s">
        <v>945</v>
      </c>
      <c r="D966" s="11" t="s">
        <v>2034</v>
      </c>
      <c r="E966" s="11" t="s">
        <v>2001</v>
      </c>
      <c r="F966" s="12">
        <v>4.16</v>
      </c>
    </row>
    <row r="967" spans="3:6" hidden="1" x14ac:dyDescent="0.3">
      <c r="C967" s="7" t="s">
        <v>946</v>
      </c>
      <c r="D967" s="8" t="s">
        <v>2034</v>
      </c>
      <c r="E967" s="8" t="s">
        <v>2001</v>
      </c>
      <c r="F967" s="9">
        <v>4.84</v>
      </c>
    </row>
    <row r="968" spans="3:6" hidden="1" x14ac:dyDescent="0.3">
      <c r="C968" s="10" t="s">
        <v>947</v>
      </c>
      <c r="D968" s="11" t="s">
        <v>2034</v>
      </c>
      <c r="E968" s="11" t="s">
        <v>2004</v>
      </c>
      <c r="F968" s="12">
        <v>6.43</v>
      </c>
    </row>
    <row r="969" spans="3:6" hidden="1" x14ac:dyDescent="0.3">
      <c r="C969" s="7" t="s">
        <v>948</v>
      </c>
      <c r="D969" s="8" t="s">
        <v>2034</v>
      </c>
      <c r="E969" s="8" t="s">
        <v>1979</v>
      </c>
      <c r="F969" s="9">
        <v>2.2000000000000002</v>
      </c>
    </row>
    <row r="970" spans="3:6" hidden="1" x14ac:dyDescent="0.3">
      <c r="C970" s="10" t="s">
        <v>949</v>
      </c>
      <c r="D970" s="11" t="s">
        <v>2043</v>
      </c>
      <c r="E970" s="11" t="s">
        <v>1987</v>
      </c>
      <c r="F970" s="12">
        <v>11.5</v>
      </c>
    </row>
    <row r="971" spans="3:6" hidden="1" x14ac:dyDescent="0.3">
      <c r="C971" s="7" t="s">
        <v>950</v>
      </c>
      <c r="D971" s="8" t="s">
        <v>2034</v>
      </c>
      <c r="E971" s="8" t="s">
        <v>2022</v>
      </c>
      <c r="F971" s="9">
        <v>4.54</v>
      </c>
    </row>
    <row r="972" spans="3:6" hidden="1" x14ac:dyDescent="0.3">
      <c r="C972" s="10" t="s">
        <v>951</v>
      </c>
      <c r="D972" s="11" t="s">
        <v>2036</v>
      </c>
      <c r="E972" s="11" t="s">
        <v>2017</v>
      </c>
      <c r="F972" s="12">
        <v>5.13</v>
      </c>
    </row>
    <row r="973" spans="3:6" hidden="1" x14ac:dyDescent="0.3">
      <c r="C973" s="7" t="s">
        <v>952</v>
      </c>
      <c r="D973" s="8" t="s">
        <v>2034</v>
      </c>
      <c r="E973" s="8" t="s">
        <v>1999</v>
      </c>
      <c r="F973" s="9">
        <v>2.73</v>
      </c>
    </row>
    <row r="974" spans="3:6" hidden="1" x14ac:dyDescent="0.3">
      <c r="C974" s="10" t="s">
        <v>953</v>
      </c>
      <c r="D974" s="11" t="s">
        <v>2043</v>
      </c>
      <c r="E974" s="11" t="s">
        <v>2023</v>
      </c>
      <c r="F974" s="12">
        <v>7.04</v>
      </c>
    </row>
    <row r="975" spans="3:6" hidden="1" x14ac:dyDescent="0.3">
      <c r="C975" s="7" t="s">
        <v>954</v>
      </c>
      <c r="D975" s="8" t="s">
        <v>2043</v>
      </c>
      <c r="E975" s="8" t="s">
        <v>2030</v>
      </c>
      <c r="F975" s="9">
        <v>7.16</v>
      </c>
    </row>
    <row r="976" spans="3:6" hidden="1" x14ac:dyDescent="0.3">
      <c r="C976" s="10" t="s">
        <v>955</v>
      </c>
      <c r="D976" s="11" t="s">
        <v>2034</v>
      </c>
      <c r="E976" s="11" t="s">
        <v>2005</v>
      </c>
      <c r="F976" s="12">
        <v>3.7</v>
      </c>
    </row>
    <row r="977" spans="3:6" hidden="1" x14ac:dyDescent="0.3">
      <c r="C977" s="7" t="s">
        <v>956</v>
      </c>
      <c r="D977" s="8" t="s">
        <v>2034</v>
      </c>
      <c r="E977" s="8" t="s">
        <v>2027</v>
      </c>
      <c r="F977" s="9">
        <v>5</v>
      </c>
    </row>
    <row r="978" spans="3:6" hidden="1" x14ac:dyDescent="0.3">
      <c r="C978" s="10" t="s">
        <v>957</v>
      </c>
      <c r="D978" s="11" t="s">
        <v>1977</v>
      </c>
      <c r="E978" s="11" t="s">
        <v>2015</v>
      </c>
      <c r="F978" s="12">
        <v>7.49</v>
      </c>
    </row>
    <row r="979" spans="3:6" hidden="1" x14ac:dyDescent="0.3">
      <c r="C979" s="7" t="s">
        <v>958</v>
      </c>
      <c r="D979" s="8" t="s">
        <v>2065</v>
      </c>
      <c r="E979" s="8" t="s">
        <v>2027</v>
      </c>
      <c r="F979" s="9">
        <v>10.38</v>
      </c>
    </row>
    <row r="980" spans="3:6" hidden="1" x14ac:dyDescent="0.3">
      <c r="C980" s="10" t="s">
        <v>959</v>
      </c>
      <c r="D980" s="11" t="s">
        <v>2063</v>
      </c>
      <c r="E980" s="11" t="s">
        <v>1992</v>
      </c>
      <c r="F980" s="12">
        <v>1.6</v>
      </c>
    </row>
    <row r="981" spans="3:6" hidden="1" x14ac:dyDescent="0.3">
      <c r="C981" s="7" t="s">
        <v>960</v>
      </c>
      <c r="D981" s="8" t="s">
        <v>2050</v>
      </c>
      <c r="E981" s="8" t="s">
        <v>1999</v>
      </c>
      <c r="F981" s="9">
        <v>4.16</v>
      </c>
    </row>
    <row r="982" spans="3:6" hidden="1" x14ac:dyDescent="0.3">
      <c r="C982" s="10" t="s">
        <v>961</v>
      </c>
      <c r="D982" s="11" t="s">
        <v>2064</v>
      </c>
      <c r="E982" s="11" t="s">
        <v>2028</v>
      </c>
      <c r="F982" s="12">
        <v>3.7</v>
      </c>
    </row>
    <row r="983" spans="3:6" hidden="1" x14ac:dyDescent="0.3">
      <c r="C983" s="7" t="s">
        <v>962</v>
      </c>
      <c r="D983" s="8" t="s">
        <v>2034</v>
      </c>
      <c r="E983" s="8" t="s">
        <v>2025</v>
      </c>
      <c r="F983" s="9">
        <v>5.85</v>
      </c>
    </row>
    <row r="984" spans="3:6" hidden="1" x14ac:dyDescent="0.3">
      <c r="C984" s="10" t="s">
        <v>963</v>
      </c>
      <c r="D984" s="11" t="s">
        <v>2038</v>
      </c>
      <c r="E984" s="11" t="s">
        <v>2031</v>
      </c>
      <c r="F984" s="12">
        <v>5.38</v>
      </c>
    </row>
    <row r="985" spans="3:6" hidden="1" x14ac:dyDescent="0.3">
      <c r="C985" s="7" t="s">
        <v>964</v>
      </c>
      <c r="D985" s="8" t="s">
        <v>2034</v>
      </c>
      <c r="E985" s="8" t="s">
        <v>2023</v>
      </c>
      <c r="F985" s="9">
        <v>5.76</v>
      </c>
    </row>
    <row r="986" spans="3:6" hidden="1" x14ac:dyDescent="0.3">
      <c r="C986" s="10" t="s">
        <v>965</v>
      </c>
      <c r="D986" s="11" t="s">
        <v>2034</v>
      </c>
      <c r="E986" s="11" t="s">
        <v>2022</v>
      </c>
      <c r="F986" s="12">
        <v>4.6399999999999997</v>
      </c>
    </row>
    <row r="987" spans="3:6" hidden="1" x14ac:dyDescent="0.3">
      <c r="C987" s="7" t="s">
        <v>966</v>
      </c>
      <c r="D987" s="8" t="s">
        <v>2074</v>
      </c>
      <c r="E987" s="8" t="s">
        <v>1979</v>
      </c>
      <c r="F987" s="9">
        <v>1.56</v>
      </c>
    </row>
    <row r="988" spans="3:6" hidden="1" x14ac:dyDescent="0.3">
      <c r="C988" s="10" t="s">
        <v>967</v>
      </c>
      <c r="D988" s="11" t="s">
        <v>2065</v>
      </c>
      <c r="E988" s="11" t="s">
        <v>2027</v>
      </c>
      <c r="F988" s="12">
        <v>3.71</v>
      </c>
    </row>
    <row r="989" spans="3:6" hidden="1" x14ac:dyDescent="0.3">
      <c r="C989" s="7" t="s">
        <v>968</v>
      </c>
      <c r="D989" s="8" t="s">
        <v>2034</v>
      </c>
      <c r="E989" s="8" t="s">
        <v>1979</v>
      </c>
      <c r="F989" s="9">
        <v>2.27</v>
      </c>
    </row>
    <row r="990" spans="3:6" hidden="1" x14ac:dyDescent="0.3">
      <c r="C990" s="10" t="s">
        <v>969</v>
      </c>
      <c r="D990" s="11" t="s">
        <v>2047</v>
      </c>
      <c r="E990" s="11" t="s">
        <v>1988</v>
      </c>
      <c r="F990" s="12">
        <v>3.61</v>
      </c>
    </row>
    <row r="991" spans="3:6" hidden="1" x14ac:dyDescent="0.3">
      <c r="C991" s="7" t="s">
        <v>970</v>
      </c>
      <c r="D991" s="8" t="s">
        <v>1975</v>
      </c>
      <c r="E991" s="8" t="s">
        <v>2022</v>
      </c>
      <c r="F991" s="9">
        <v>1.92</v>
      </c>
    </row>
    <row r="992" spans="3:6" hidden="1" x14ac:dyDescent="0.3">
      <c r="C992" s="10" t="s">
        <v>971</v>
      </c>
      <c r="D992" s="11" t="s">
        <v>2041</v>
      </c>
      <c r="E992" s="11" t="s">
        <v>1998</v>
      </c>
      <c r="F992" s="12">
        <v>2.0699999999999998</v>
      </c>
    </row>
    <row r="993" spans="3:6" hidden="1" x14ac:dyDescent="0.3">
      <c r="C993" s="7" t="s">
        <v>972</v>
      </c>
      <c r="D993" s="8" t="s">
        <v>2034</v>
      </c>
      <c r="E993" s="8" t="s">
        <v>2028</v>
      </c>
      <c r="F993" s="9">
        <v>4.59</v>
      </c>
    </row>
    <row r="994" spans="3:6" hidden="1" x14ac:dyDescent="0.3">
      <c r="C994" s="10" t="s">
        <v>973</v>
      </c>
      <c r="D994" s="11" t="s">
        <v>2041</v>
      </c>
      <c r="E994" s="11" t="s">
        <v>2023</v>
      </c>
      <c r="F994" s="12">
        <v>18.25</v>
      </c>
    </row>
    <row r="995" spans="3:6" hidden="1" x14ac:dyDescent="0.3">
      <c r="C995" s="7" t="s">
        <v>974</v>
      </c>
      <c r="D995" s="8" t="s">
        <v>2057</v>
      </c>
      <c r="E995" s="8" t="s">
        <v>1987</v>
      </c>
      <c r="F995" s="9">
        <v>6.19</v>
      </c>
    </row>
    <row r="996" spans="3:6" hidden="1" x14ac:dyDescent="0.3">
      <c r="C996" s="10" t="s">
        <v>975</v>
      </c>
      <c r="D996" s="11" t="s">
        <v>2052</v>
      </c>
      <c r="E996" s="11" t="s">
        <v>2031</v>
      </c>
      <c r="F996" s="12">
        <v>1.47</v>
      </c>
    </row>
    <row r="997" spans="3:6" hidden="1" x14ac:dyDescent="0.3">
      <c r="C997" s="7" t="s">
        <v>976</v>
      </c>
      <c r="D997" s="8" t="s">
        <v>2034</v>
      </c>
      <c r="E997" s="8" t="s">
        <v>2026</v>
      </c>
      <c r="F997" s="9">
        <v>4.0599999999999996</v>
      </c>
    </row>
    <row r="998" spans="3:6" hidden="1" x14ac:dyDescent="0.3">
      <c r="C998" s="10" t="s">
        <v>2016</v>
      </c>
      <c r="D998" s="11" t="s">
        <v>2038</v>
      </c>
      <c r="E998" s="11" t="s">
        <v>2015</v>
      </c>
      <c r="F998" s="12">
        <v>9.19</v>
      </c>
    </row>
    <row r="999" spans="3:6" hidden="1" x14ac:dyDescent="0.3">
      <c r="C999" s="7" t="s">
        <v>977</v>
      </c>
      <c r="D999" s="8" t="s">
        <v>1975</v>
      </c>
      <c r="E999" s="8" t="s">
        <v>1993</v>
      </c>
      <c r="F999" s="9">
        <v>4.5199999999999996</v>
      </c>
    </row>
    <row r="1000" spans="3:6" hidden="1" x14ac:dyDescent="0.3">
      <c r="C1000" s="10" t="s">
        <v>978</v>
      </c>
      <c r="D1000" s="11" t="s">
        <v>2038</v>
      </c>
      <c r="E1000" s="11" t="s">
        <v>2023</v>
      </c>
      <c r="F1000" s="12">
        <v>10.29</v>
      </c>
    </row>
    <row r="1001" spans="3:6" hidden="1" x14ac:dyDescent="0.3">
      <c r="C1001" s="7" t="s">
        <v>979</v>
      </c>
      <c r="D1001" s="8" t="s">
        <v>2035</v>
      </c>
      <c r="E1001" s="8" t="s">
        <v>2031</v>
      </c>
      <c r="F1001" s="9">
        <v>3.93</v>
      </c>
    </row>
    <row r="1002" spans="3:6" hidden="1" x14ac:dyDescent="0.3">
      <c r="C1002" s="10" t="s">
        <v>980</v>
      </c>
      <c r="D1002" s="11" t="s">
        <v>2034</v>
      </c>
      <c r="E1002" s="11" t="s">
        <v>2015</v>
      </c>
      <c r="F1002" s="12">
        <v>4.8600000000000003</v>
      </c>
    </row>
    <row r="1003" spans="3:6" hidden="1" x14ac:dyDescent="0.3">
      <c r="C1003" s="7" t="s">
        <v>981</v>
      </c>
      <c r="D1003" s="8" t="s">
        <v>2038</v>
      </c>
      <c r="E1003" s="8" t="s">
        <v>1988</v>
      </c>
      <c r="F1003" s="9">
        <v>4.8</v>
      </c>
    </row>
    <row r="1004" spans="3:6" hidden="1" x14ac:dyDescent="0.3">
      <c r="C1004" s="10" t="s">
        <v>982</v>
      </c>
      <c r="D1004" s="11" t="s">
        <v>2035</v>
      </c>
      <c r="E1004" s="11" t="s">
        <v>1993</v>
      </c>
      <c r="F1004" s="12">
        <v>6.45</v>
      </c>
    </row>
    <row r="1005" spans="3:6" hidden="1" x14ac:dyDescent="0.3">
      <c r="C1005" s="7" t="s">
        <v>983</v>
      </c>
      <c r="D1005" s="8" t="s">
        <v>2034</v>
      </c>
      <c r="E1005" s="8" t="s">
        <v>2023</v>
      </c>
      <c r="F1005" s="9">
        <v>7.19</v>
      </c>
    </row>
    <row r="1006" spans="3:6" hidden="1" x14ac:dyDescent="0.3">
      <c r="C1006" s="10" t="s">
        <v>984</v>
      </c>
      <c r="D1006" s="11" t="s">
        <v>2052</v>
      </c>
      <c r="E1006" s="11" t="s">
        <v>1998</v>
      </c>
      <c r="F1006" s="12">
        <v>1.54</v>
      </c>
    </row>
    <row r="1007" spans="3:6" hidden="1" x14ac:dyDescent="0.3">
      <c r="C1007" s="7" t="s">
        <v>985</v>
      </c>
      <c r="D1007" s="8" t="s">
        <v>2035</v>
      </c>
      <c r="E1007" s="8" t="s">
        <v>1998</v>
      </c>
      <c r="F1007" s="9">
        <v>0.75</v>
      </c>
    </row>
    <row r="1008" spans="3:6" hidden="1" x14ac:dyDescent="0.3">
      <c r="C1008" s="10" t="s">
        <v>986</v>
      </c>
      <c r="D1008" s="11" t="s">
        <v>2047</v>
      </c>
      <c r="E1008" s="11" t="s">
        <v>2015</v>
      </c>
      <c r="F1008" s="12">
        <v>2.44</v>
      </c>
    </row>
    <row r="1009" spans="3:6" hidden="1" x14ac:dyDescent="0.3">
      <c r="C1009" s="7" t="s">
        <v>987</v>
      </c>
      <c r="D1009" s="8" t="s">
        <v>2038</v>
      </c>
      <c r="E1009" s="8" t="s">
        <v>2030</v>
      </c>
      <c r="F1009" s="9">
        <v>4.45</v>
      </c>
    </row>
    <row r="1010" spans="3:6" hidden="1" x14ac:dyDescent="0.3">
      <c r="C1010" s="10" t="s">
        <v>988</v>
      </c>
      <c r="D1010" s="11" t="s">
        <v>2081</v>
      </c>
      <c r="E1010" s="11" t="s">
        <v>1979</v>
      </c>
      <c r="F1010" s="12">
        <v>1.38</v>
      </c>
    </row>
    <row r="1011" spans="3:6" hidden="1" x14ac:dyDescent="0.3">
      <c r="C1011" s="7" t="s">
        <v>989</v>
      </c>
      <c r="D1011" s="8" t="s">
        <v>2039</v>
      </c>
      <c r="E1011" s="8" t="s">
        <v>2029</v>
      </c>
      <c r="F1011" s="9">
        <v>32.369999999999997</v>
      </c>
    </row>
    <row r="1012" spans="3:6" hidden="1" x14ac:dyDescent="0.3">
      <c r="C1012" s="10" t="s">
        <v>990</v>
      </c>
      <c r="D1012" s="11" t="s">
        <v>2035</v>
      </c>
      <c r="E1012" s="11" t="s">
        <v>2017</v>
      </c>
      <c r="F1012" s="12">
        <v>4.1399999999999997</v>
      </c>
    </row>
    <row r="1013" spans="3:6" hidden="1" x14ac:dyDescent="0.3">
      <c r="C1013" s="7" t="s">
        <v>991</v>
      </c>
      <c r="D1013" s="8" t="s">
        <v>2049</v>
      </c>
      <c r="E1013" s="8" t="s">
        <v>2005</v>
      </c>
      <c r="F1013" s="9">
        <v>4.49</v>
      </c>
    </row>
    <row r="1014" spans="3:6" hidden="1" x14ac:dyDescent="0.3">
      <c r="C1014" s="10" t="s">
        <v>992</v>
      </c>
      <c r="D1014" s="11" t="s">
        <v>2034</v>
      </c>
      <c r="E1014" s="11" t="s">
        <v>2026</v>
      </c>
      <c r="F1014" s="12">
        <v>4.9400000000000004</v>
      </c>
    </row>
    <row r="1015" spans="3:6" hidden="1" x14ac:dyDescent="0.3">
      <c r="C1015" s="7" t="s">
        <v>993</v>
      </c>
      <c r="D1015" s="8" t="s">
        <v>2035</v>
      </c>
      <c r="E1015" s="8" t="s">
        <v>2017</v>
      </c>
      <c r="F1015" s="9">
        <v>3.94</v>
      </c>
    </row>
    <row r="1016" spans="3:6" hidden="1" x14ac:dyDescent="0.3">
      <c r="C1016" s="10" t="s">
        <v>994</v>
      </c>
      <c r="D1016" s="11" t="s">
        <v>2038</v>
      </c>
      <c r="E1016" s="11" t="s">
        <v>2029</v>
      </c>
      <c r="F1016" s="12">
        <v>43.63</v>
      </c>
    </row>
    <row r="1017" spans="3:6" hidden="1" x14ac:dyDescent="0.3">
      <c r="C1017" s="7" t="s">
        <v>995</v>
      </c>
      <c r="D1017" s="8" t="s">
        <v>2034</v>
      </c>
      <c r="E1017" s="8" t="s">
        <v>1988</v>
      </c>
      <c r="F1017" s="9">
        <v>5.49</v>
      </c>
    </row>
    <row r="1018" spans="3:6" hidden="1" x14ac:dyDescent="0.3">
      <c r="C1018" s="10" t="s">
        <v>996</v>
      </c>
      <c r="D1018" s="11" t="s">
        <v>2034</v>
      </c>
      <c r="E1018" s="11" t="s">
        <v>1986</v>
      </c>
      <c r="F1018" s="12">
        <v>16.079999999999998</v>
      </c>
    </row>
    <row r="1019" spans="3:6" hidden="1" x14ac:dyDescent="0.3">
      <c r="C1019" s="7" t="s">
        <v>997</v>
      </c>
      <c r="D1019" s="8" t="s">
        <v>2034</v>
      </c>
      <c r="E1019" s="8" t="s">
        <v>1979</v>
      </c>
      <c r="F1019" s="9">
        <v>1.19</v>
      </c>
    </row>
    <row r="1020" spans="3:6" hidden="1" x14ac:dyDescent="0.3">
      <c r="C1020" s="10" t="s">
        <v>998</v>
      </c>
      <c r="D1020" s="11" t="s">
        <v>2034</v>
      </c>
      <c r="E1020" s="11" t="s">
        <v>1986</v>
      </c>
      <c r="F1020" s="12">
        <v>11.16</v>
      </c>
    </row>
    <row r="1021" spans="3:6" hidden="1" x14ac:dyDescent="0.3">
      <c r="C1021" s="7" t="s">
        <v>999</v>
      </c>
      <c r="D1021" s="8" t="s">
        <v>2035</v>
      </c>
      <c r="E1021" s="8" t="s">
        <v>1998</v>
      </c>
      <c r="F1021" s="9">
        <v>0.42</v>
      </c>
    </row>
    <row r="1022" spans="3:6" hidden="1" x14ac:dyDescent="0.3">
      <c r="C1022" s="10" t="s">
        <v>1000</v>
      </c>
      <c r="D1022" s="11" t="s">
        <v>2043</v>
      </c>
      <c r="E1022" s="11" t="s">
        <v>1988</v>
      </c>
      <c r="F1022" s="12">
        <v>11.2</v>
      </c>
    </row>
    <row r="1023" spans="3:6" hidden="1" x14ac:dyDescent="0.3">
      <c r="C1023" s="7" t="s">
        <v>1001</v>
      </c>
      <c r="D1023" s="8" t="s">
        <v>2057</v>
      </c>
      <c r="E1023" s="8" t="s">
        <v>2028</v>
      </c>
      <c r="F1023" s="9">
        <v>6.28</v>
      </c>
    </row>
    <row r="1024" spans="3:6" hidden="1" x14ac:dyDescent="0.3">
      <c r="C1024" s="10" t="s">
        <v>1002</v>
      </c>
      <c r="D1024" s="11" t="s">
        <v>2041</v>
      </c>
      <c r="E1024" s="11" t="s">
        <v>2004</v>
      </c>
      <c r="F1024" s="12">
        <v>5.65</v>
      </c>
    </row>
    <row r="1025" spans="3:6" hidden="1" x14ac:dyDescent="0.3">
      <c r="C1025" s="7" t="s">
        <v>1003</v>
      </c>
      <c r="D1025" s="8" t="s">
        <v>2044</v>
      </c>
      <c r="E1025" s="8" t="s">
        <v>2015</v>
      </c>
      <c r="F1025" s="9">
        <v>7.38</v>
      </c>
    </row>
    <row r="1026" spans="3:6" hidden="1" x14ac:dyDescent="0.3">
      <c r="C1026" s="10" t="s">
        <v>1004</v>
      </c>
      <c r="D1026" s="11" t="s">
        <v>2034</v>
      </c>
      <c r="E1026" s="11" t="s">
        <v>1988</v>
      </c>
      <c r="F1026" s="12">
        <v>7.06</v>
      </c>
    </row>
    <row r="1027" spans="3:6" hidden="1" x14ac:dyDescent="0.3">
      <c r="C1027" s="7" t="s">
        <v>1005</v>
      </c>
      <c r="D1027" s="8" t="s">
        <v>2034</v>
      </c>
      <c r="E1027" s="8" t="s">
        <v>1999</v>
      </c>
      <c r="F1027" s="9">
        <v>2.0299999999999998</v>
      </c>
    </row>
    <row r="1028" spans="3:6" hidden="1" x14ac:dyDescent="0.3">
      <c r="C1028" s="10" t="s">
        <v>1006</v>
      </c>
      <c r="D1028" s="11" t="s">
        <v>2038</v>
      </c>
      <c r="E1028" s="11" t="s">
        <v>1997</v>
      </c>
      <c r="F1028" s="12">
        <v>4.8099999999999996</v>
      </c>
    </row>
    <row r="1029" spans="3:6" hidden="1" x14ac:dyDescent="0.3">
      <c r="C1029" s="7" t="s">
        <v>1007</v>
      </c>
      <c r="D1029" s="8" t="s">
        <v>2052</v>
      </c>
      <c r="E1029" s="8" t="s">
        <v>1993</v>
      </c>
      <c r="F1029" s="9">
        <v>2.87</v>
      </c>
    </row>
    <row r="1030" spans="3:6" hidden="1" x14ac:dyDescent="0.3">
      <c r="C1030" s="10" t="s">
        <v>1008</v>
      </c>
      <c r="D1030" s="11" t="s">
        <v>2052</v>
      </c>
      <c r="E1030" s="11" t="s">
        <v>1979</v>
      </c>
      <c r="F1030" s="12">
        <v>1.01</v>
      </c>
    </row>
    <row r="1031" spans="3:6" hidden="1" x14ac:dyDescent="0.3">
      <c r="C1031" s="7" t="s">
        <v>1009</v>
      </c>
      <c r="D1031" s="8" t="s">
        <v>2035</v>
      </c>
      <c r="E1031" s="8" t="s">
        <v>2023</v>
      </c>
      <c r="F1031" s="9">
        <v>5.38</v>
      </c>
    </row>
    <row r="1032" spans="3:6" hidden="1" x14ac:dyDescent="0.3">
      <c r="C1032" s="10" t="s">
        <v>1010</v>
      </c>
      <c r="D1032" s="11" t="s">
        <v>2038</v>
      </c>
      <c r="E1032" s="11" t="s">
        <v>1979</v>
      </c>
      <c r="F1032" s="12">
        <v>1.51</v>
      </c>
    </row>
    <row r="1033" spans="3:6" hidden="1" x14ac:dyDescent="0.3">
      <c r="C1033" s="7" t="s">
        <v>1011</v>
      </c>
      <c r="D1033" s="8" t="s">
        <v>2035</v>
      </c>
      <c r="E1033" s="8" t="s">
        <v>1998</v>
      </c>
      <c r="F1033" s="9">
        <v>3.1</v>
      </c>
    </row>
    <row r="1034" spans="3:6" hidden="1" x14ac:dyDescent="0.3">
      <c r="C1034" s="10" t="s">
        <v>1012</v>
      </c>
      <c r="D1034" s="11" t="s">
        <v>2038</v>
      </c>
      <c r="E1034" s="11" t="s">
        <v>1997</v>
      </c>
      <c r="F1034" s="12">
        <v>13.5</v>
      </c>
    </row>
    <row r="1035" spans="3:6" hidden="1" x14ac:dyDescent="0.3">
      <c r="C1035" s="7" t="s">
        <v>1013</v>
      </c>
      <c r="D1035" s="8" t="s">
        <v>2041</v>
      </c>
      <c r="E1035" s="8" t="s">
        <v>2025</v>
      </c>
      <c r="F1035" s="9">
        <v>8.1199999999999992</v>
      </c>
    </row>
    <row r="1036" spans="3:6" hidden="1" x14ac:dyDescent="0.3">
      <c r="C1036" s="10" t="s">
        <v>1014</v>
      </c>
      <c r="D1036" s="11" t="s">
        <v>2034</v>
      </c>
      <c r="E1036" s="11" t="s">
        <v>1979</v>
      </c>
      <c r="F1036" s="12">
        <v>2.11</v>
      </c>
    </row>
    <row r="1037" spans="3:6" hidden="1" x14ac:dyDescent="0.3">
      <c r="C1037" s="7" t="s">
        <v>1015</v>
      </c>
      <c r="D1037" s="8" t="s">
        <v>2038</v>
      </c>
      <c r="E1037" s="8" t="s">
        <v>2030</v>
      </c>
      <c r="F1037" s="9">
        <v>7.73</v>
      </c>
    </row>
    <row r="1038" spans="3:6" hidden="1" x14ac:dyDescent="0.3">
      <c r="C1038" s="10" t="s">
        <v>1016</v>
      </c>
      <c r="D1038" s="11" t="s">
        <v>2049</v>
      </c>
      <c r="E1038" s="11" t="s">
        <v>1988</v>
      </c>
      <c r="F1038" s="12">
        <v>7.1</v>
      </c>
    </row>
    <row r="1039" spans="3:6" hidden="1" x14ac:dyDescent="0.3">
      <c r="C1039" s="7" t="s">
        <v>1017</v>
      </c>
      <c r="D1039" s="8" t="s">
        <v>2035</v>
      </c>
      <c r="E1039" s="8" t="s">
        <v>2015</v>
      </c>
      <c r="F1039" s="9">
        <v>5.56</v>
      </c>
    </row>
    <row r="1040" spans="3:6" hidden="1" x14ac:dyDescent="0.3">
      <c r="C1040" s="10" t="s">
        <v>1018</v>
      </c>
      <c r="D1040" s="11" t="s">
        <v>2034</v>
      </c>
      <c r="E1040" s="11" t="s">
        <v>1998</v>
      </c>
      <c r="F1040" s="12">
        <v>3.07</v>
      </c>
    </row>
    <row r="1041" spans="3:6" hidden="1" x14ac:dyDescent="0.3">
      <c r="C1041" s="7" t="s">
        <v>1019</v>
      </c>
      <c r="D1041" s="8" t="s">
        <v>2038</v>
      </c>
      <c r="E1041" s="8" t="s">
        <v>2027</v>
      </c>
      <c r="F1041" s="9">
        <v>2.88</v>
      </c>
    </row>
    <row r="1042" spans="3:6" hidden="1" x14ac:dyDescent="0.3">
      <c r="C1042" s="10" t="s">
        <v>1020</v>
      </c>
      <c r="D1042" s="11" t="s">
        <v>2034</v>
      </c>
      <c r="E1042" s="11" t="s">
        <v>2022</v>
      </c>
      <c r="F1042" s="12">
        <v>2.19</v>
      </c>
    </row>
    <row r="1043" spans="3:6" hidden="1" x14ac:dyDescent="0.3">
      <c r="C1043" s="7" t="s">
        <v>1021</v>
      </c>
      <c r="D1043" s="8" t="s">
        <v>2038</v>
      </c>
      <c r="E1043" s="8" t="s">
        <v>2031</v>
      </c>
      <c r="F1043" s="9">
        <v>4.3899999999999997</v>
      </c>
    </row>
    <row r="1044" spans="3:6" hidden="1" x14ac:dyDescent="0.3">
      <c r="C1044" s="10" t="s">
        <v>1022</v>
      </c>
      <c r="D1044" s="11" t="s">
        <v>2034</v>
      </c>
      <c r="E1044" s="11" t="s">
        <v>2031</v>
      </c>
      <c r="F1044" s="12">
        <v>4.78</v>
      </c>
    </row>
    <row r="1045" spans="3:6" hidden="1" x14ac:dyDescent="0.3">
      <c r="C1045" s="7" t="s">
        <v>1023</v>
      </c>
      <c r="D1045" s="8" t="s">
        <v>2065</v>
      </c>
      <c r="E1045" s="8" t="s">
        <v>1979</v>
      </c>
      <c r="F1045" s="9">
        <v>2.12</v>
      </c>
    </row>
    <row r="1046" spans="3:6" hidden="1" x14ac:dyDescent="0.3">
      <c r="C1046" s="10" t="s">
        <v>1024</v>
      </c>
      <c r="D1046" s="11" t="s">
        <v>2051</v>
      </c>
      <c r="E1046" s="11" t="s">
        <v>1987</v>
      </c>
      <c r="F1046" s="12">
        <v>4.7300000000000004</v>
      </c>
    </row>
    <row r="1047" spans="3:6" hidden="1" x14ac:dyDescent="0.3">
      <c r="C1047" s="7" t="s">
        <v>1025</v>
      </c>
      <c r="D1047" s="8" t="s">
        <v>2038</v>
      </c>
      <c r="E1047" s="8" t="s">
        <v>1979</v>
      </c>
      <c r="F1047" s="9">
        <v>1.37</v>
      </c>
    </row>
    <row r="1048" spans="3:6" hidden="1" x14ac:dyDescent="0.3">
      <c r="C1048" s="10" t="s">
        <v>1026</v>
      </c>
      <c r="D1048" s="11" t="s">
        <v>2034</v>
      </c>
      <c r="E1048" s="11" t="s">
        <v>2001</v>
      </c>
      <c r="F1048" s="12">
        <v>4.59</v>
      </c>
    </row>
    <row r="1049" spans="3:6" hidden="1" x14ac:dyDescent="0.3">
      <c r="C1049" s="7" t="s">
        <v>1027</v>
      </c>
      <c r="D1049" s="8" t="s">
        <v>2065</v>
      </c>
      <c r="E1049" s="8" t="s">
        <v>1998</v>
      </c>
      <c r="F1049" s="9">
        <v>1.93</v>
      </c>
    </row>
    <row r="1050" spans="3:6" hidden="1" x14ac:dyDescent="0.3">
      <c r="C1050" s="10" t="s">
        <v>1028</v>
      </c>
      <c r="D1050" s="11" t="s">
        <v>2041</v>
      </c>
      <c r="E1050" s="11" t="s">
        <v>1979</v>
      </c>
      <c r="F1050" s="12">
        <v>5.73</v>
      </c>
    </row>
    <row r="1051" spans="3:6" hidden="1" x14ac:dyDescent="0.3">
      <c r="C1051" s="7" t="s">
        <v>1029</v>
      </c>
      <c r="D1051" s="8" t="s">
        <v>2038</v>
      </c>
      <c r="E1051" s="8" t="s">
        <v>1987</v>
      </c>
      <c r="F1051" s="9">
        <v>11.58</v>
      </c>
    </row>
    <row r="1052" spans="3:6" hidden="1" x14ac:dyDescent="0.3">
      <c r="C1052" s="10" t="s">
        <v>1030</v>
      </c>
      <c r="D1052" s="11" t="s">
        <v>2034</v>
      </c>
      <c r="E1052" s="11" t="s">
        <v>1999</v>
      </c>
      <c r="F1052" s="12">
        <v>2.86</v>
      </c>
    </row>
    <row r="1053" spans="3:6" hidden="1" x14ac:dyDescent="0.3">
      <c r="C1053" s="7" t="s">
        <v>1031</v>
      </c>
      <c r="D1053" s="8" t="s">
        <v>2038</v>
      </c>
      <c r="E1053" s="8" t="s">
        <v>2004</v>
      </c>
      <c r="F1053" s="9">
        <v>9.9600000000000009</v>
      </c>
    </row>
    <row r="1054" spans="3:6" hidden="1" x14ac:dyDescent="0.3">
      <c r="C1054" s="10" t="s">
        <v>1032</v>
      </c>
      <c r="D1054" s="11" t="s">
        <v>2064</v>
      </c>
      <c r="E1054" s="11" t="s">
        <v>2022</v>
      </c>
      <c r="F1054" s="12">
        <v>8.5</v>
      </c>
    </row>
    <row r="1055" spans="3:6" hidden="1" x14ac:dyDescent="0.3">
      <c r="C1055" s="7" t="s">
        <v>1033</v>
      </c>
      <c r="D1055" s="8" t="s">
        <v>2035</v>
      </c>
      <c r="E1055" s="8" t="s">
        <v>1993</v>
      </c>
      <c r="F1055" s="9">
        <v>3.93</v>
      </c>
    </row>
    <row r="1056" spans="3:6" hidden="1" x14ac:dyDescent="0.3">
      <c r="C1056" s="10" t="s">
        <v>1034</v>
      </c>
      <c r="D1056" s="11" t="s">
        <v>2034</v>
      </c>
      <c r="E1056" s="11" t="s">
        <v>2017</v>
      </c>
      <c r="F1056" s="12">
        <v>8.43</v>
      </c>
    </row>
    <row r="1057" spans="3:6" hidden="1" x14ac:dyDescent="0.3">
      <c r="C1057" s="7" t="s">
        <v>1035</v>
      </c>
      <c r="D1057" s="8" t="s">
        <v>1977</v>
      </c>
      <c r="E1057" s="8" t="s">
        <v>2005</v>
      </c>
      <c r="F1057" s="9">
        <v>5.63</v>
      </c>
    </row>
    <row r="1058" spans="3:6" hidden="1" x14ac:dyDescent="0.3">
      <c r="C1058" s="10" t="s">
        <v>1036</v>
      </c>
      <c r="D1058" s="11" t="s">
        <v>2042</v>
      </c>
      <c r="E1058" s="11" t="s">
        <v>1979</v>
      </c>
      <c r="F1058" s="12">
        <v>3.25</v>
      </c>
    </row>
    <row r="1059" spans="3:6" hidden="1" x14ac:dyDescent="0.3">
      <c r="C1059" s="7" t="s">
        <v>1037</v>
      </c>
      <c r="D1059" s="8" t="s">
        <v>2034</v>
      </c>
      <c r="E1059" s="8" t="s">
        <v>1998</v>
      </c>
      <c r="F1059" s="9">
        <v>1.44</v>
      </c>
    </row>
    <row r="1060" spans="3:6" hidden="1" x14ac:dyDescent="0.3">
      <c r="C1060" s="10" t="s">
        <v>1038</v>
      </c>
      <c r="D1060" s="11" t="s">
        <v>2037</v>
      </c>
      <c r="E1060" s="11" t="s">
        <v>2004</v>
      </c>
      <c r="F1060" s="12">
        <v>3.49</v>
      </c>
    </row>
    <row r="1061" spans="3:6" hidden="1" x14ac:dyDescent="0.3">
      <c r="C1061" s="7" t="s">
        <v>1039</v>
      </c>
      <c r="D1061" s="8" t="s">
        <v>2034</v>
      </c>
      <c r="E1061" s="8" t="s">
        <v>1998</v>
      </c>
      <c r="F1061" s="9">
        <v>3</v>
      </c>
    </row>
    <row r="1062" spans="3:6" hidden="1" x14ac:dyDescent="0.3">
      <c r="C1062" s="10" t="s">
        <v>1040</v>
      </c>
      <c r="D1062" s="11" t="s">
        <v>2060</v>
      </c>
      <c r="E1062" s="11" t="s">
        <v>2001</v>
      </c>
      <c r="F1062" s="12">
        <v>4.18</v>
      </c>
    </row>
    <row r="1063" spans="3:6" hidden="1" x14ac:dyDescent="0.3">
      <c r="C1063" s="7" t="s">
        <v>1041</v>
      </c>
      <c r="D1063" s="8" t="s">
        <v>2038</v>
      </c>
      <c r="E1063" s="8" t="s">
        <v>2017</v>
      </c>
      <c r="F1063" s="9">
        <v>2.97</v>
      </c>
    </row>
    <row r="1064" spans="3:6" hidden="1" x14ac:dyDescent="0.3">
      <c r="C1064" s="10" t="s">
        <v>1042</v>
      </c>
      <c r="D1064" s="11" t="s">
        <v>2041</v>
      </c>
      <c r="E1064" s="11" t="s">
        <v>1998</v>
      </c>
      <c r="F1064" s="12">
        <v>8.31</v>
      </c>
    </row>
    <row r="1065" spans="3:6" hidden="1" x14ac:dyDescent="0.3">
      <c r="C1065" s="7" t="s">
        <v>1043</v>
      </c>
      <c r="D1065" s="8" t="s">
        <v>2034</v>
      </c>
      <c r="E1065" s="8" t="s">
        <v>1997</v>
      </c>
      <c r="F1065" s="9">
        <v>27.2</v>
      </c>
    </row>
    <row r="1066" spans="3:6" hidden="1" x14ac:dyDescent="0.3">
      <c r="C1066" s="10" t="s">
        <v>1044</v>
      </c>
      <c r="D1066" s="11" t="s">
        <v>2038</v>
      </c>
      <c r="E1066" s="11" t="s">
        <v>1987</v>
      </c>
      <c r="F1066" s="12">
        <v>4.53</v>
      </c>
    </row>
    <row r="1067" spans="3:6" hidden="1" x14ac:dyDescent="0.3">
      <c r="C1067" s="7" t="s">
        <v>1045</v>
      </c>
      <c r="D1067" s="8" t="s">
        <v>2079</v>
      </c>
      <c r="E1067" s="8" t="s">
        <v>1979</v>
      </c>
      <c r="F1067" s="9">
        <v>2.33</v>
      </c>
    </row>
    <row r="1068" spans="3:6" hidden="1" x14ac:dyDescent="0.3">
      <c r="C1068" s="10" t="s">
        <v>1046</v>
      </c>
      <c r="D1068" s="11" t="s">
        <v>2034</v>
      </c>
      <c r="E1068" s="11" t="s">
        <v>1997</v>
      </c>
      <c r="F1068" s="12">
        <v>11.6</v>
      </c>
    </row>
    <row r="1069" spans="3:6" hidden="1" x14ac:dyDescent="0.3">
      <c r="C1069" s="7" t="s">
        <v>1047</v>
      </c>
      <c r="D1069" s="8" t="s">
        <v>2038</v>
      </c>
      <c r="E1069" s="8" t="s">
        <v>2015</v>
      </c>
      <c r="F1069" s="9">
        <v>4.5199999999999996</v>
      </c>
    </row>
    <row r="1070" spans="3:6" hidden="1" x14ac:dyDescent="0.3">
      <c r="C1070" s="10" t="s">
        <v>1048</v>
      </c>
      <c r="D1070" s="11" t="s">
        <v>2034</v>
      </c>
      <c r="E1070" s="11" t="s">
        <v>2002</v>
      </c>
      <c r="F1070" s="12">
        <v>2.92</v>
      </c>
    </row>
    <row r="1071" spans="3:6" hidden="1" x14ac:dyDescent="0.3">
      <c r="C1071" s="7" t="s">
        <v>1049</v>
      </c>
      <c r="D1071" s="8" t="s">
        <v>2044</v>
      </c>
      <c r="E1071" s="8" t="s">
        <v>1978</v>
      </c>
      <c r="F1071" s="9">
        <v>3.85</v>
      </c>
    </row>
    <row r="1072" spans="3:6" hidden="1" x14ac:dyDescent="0.3">
      <c r="C1072" s="10" t="s">
        <v>1050</v>
      </c>
      <c r="D1072" s="11" t="s">
        <v>2034</v>
      </c>
      <c r="E1072" s="11" t="s">
        <v>2004</v>
      </c>
      <c r="F1072" s="12">
        <v>4.51</v>
      </c>
    </row>
    <row r="1073" spans="3:6" hidden="1" x14ac:dyDescent="0.3">
      <c r="C1073" s="7" t="s">
        <v>1051</v>
      </c>
      <c r="D1073" s="8" t="s">
        <v>2034</v>
      </c>
      <c r="E1073" s="8" t="s">
        <v>2027</v>
      </c>
      <c r="F1073" s="9">
        <v>8.1</v>
      </c>
    </row>
    <row r="1074" spans="3:6" hidden="1" x14ac:dyDescent="0.3">
      <c r="C1074" s="10" t="s">
        <v>1052</v>
      </c>
      <c r="D1074" s="11" t="s">
        <v>2082</v>
      </c>
      <c r="E1074" s="11" t="s">
        <v>2028</v>
      </c>
      <c r="F1074" s="12">
        <v>3.35</v>
      </c>
    </row>
    <row r="1075" spans="3:6" hidden="1" x14ac:dyDescent="0.3">
      <c r="C1075" s="7" t="s">
        <v>1053</v>
      </c>
      <c r="D1075" s="8" t="s">
        <v>2043</v>
      </c>
      <c r="E1075" s="8" t="s">
        <v>2031</v>
      </c>
      <c r="F1075" s="9">
        <v>8.92</v>
      </c>
    </row>
    <row r="1076" spans="3:6" hidden="1" x14ac:dyDescent="0.3">
      <c r="C1076" s="10" t="s">
        <v>1054</v>
      </c>
      <c r="D1076" s="11" t="s">
        <v>2060</v>
      </c>
      <c r="E1076" s="11" t="s">
        <v>1992</v>
      </c>
      <c r="F1076" s="12">
        <v>6.53</v>
      </c>
    </row>
    <row r="1077" spans="3:6" hidden="1" x14ac:dyDescent="0.3">
      <c r="C1077" s="7" t="s">
        <v>1055</v>
      </c>
      <c r="D1077" s="8" t="s">
        <v>2042</v>
      </c>
      <c r="E1077" s="8" t="s">
        <v>1979</v>
      </c>
      <c r="F1077" s="9">
        <v>2.71</v>
      </c>
    </row>
    <row r="1078" spans="3:6" hidden="1" x14ac:dyDescent="0.3">
      <c r="C1078" s="10" t="s">
        <v>1056</v>
      </c>
      <c r="D1078" s="11" t="s">
        <v>2056</v>
      </c>
      <c r="E1078" s="11" t="s">
        <v>2017</v>
      </c>
      <c r="F1078" s="12">
        <v>1.46</v>
      </c>
    </row>
    <row r="1079" spans="3:6" hidden="1" x14ac:dyDescent="0.3">
      <c r="C1079" s="7" t="s">
        <v>1057</v>
      </c>
      <c r="D1079" s="8" t="s">
        <v>2039</v>
      </c>
      <c r="E1079" s="8" t="s">
        <v>1997</v>
      </c>
      <c r="F1079" s="9">
        <v>10.85</v>
      </c>
    </row>
    <row r="1080" spans="3:6" hidden="1" x14ac:dyDescent="0.3">
      <c r="C1080" s="10" t="s">
        <v>1058</v>
      </c>
      <c r="D1080" s="11" t="s">
        <v>2034</v>
      </c>
      <c r="E1080" s="11" t="s">
        <v>1993</v>
      </c>
      <c r="F1080" s="12">
        <v>11.94</v>
      </c>
    </row>
    <row r="1081" spans="3:6" hidden="1" x14ac:dyDescent="0.3">
      <c r="C1081" s="7" t="s">
        <v>1059</v>
      </c>
      <c r="D1081" s="8" t="s">
        <v>2034</v>
      </c>
      <c r="E1081" s="8" t="s">
        <v>2026</v>
      </c>
      <c r="F1081" s="9">
        <v>1.97</v>
      </c>
    </row>
    <row r="1082" spans="3:6" hidden="1" x14ac:dyDescent="0.3">
      <c r="C1082" s="10" t="s">
        <v>1060</v>
      </c>
      <c r="D1082" s="11" t="s">
        <v>2034</v>
      </c>
      <c r="E1082" s="11" t="s">
        <v>2027</v>
      </c>
      <c r="F1082" s="12">
        <v>11.16</v>
      </c>
    </row>
    <row r="1083" spans="3:6" hidden="1" x14ac:dyDescent="0.3">
      <c r="C1083" s="7" t="s">
        <v>1061</v>
      </c>
      <c r="D1083" s="8" t="s">
        <v>2066</v>
      </c>
      <c r="E1083" s="8" t="s">
        <v>1998</v>
      </c>
      <c r="F1083" s="9">
        <v>2.31</v>
      </c>
    </row>
    <row r="1084" spans="3:6" hidden="1" x14ac:dyDescent="0.3">
      <c r="C1084" s="10" t="s">
        <v>1062</v>
      </c>
      <c r="D1084" s="11" t="s">
        <v>2034</v>
      </c>
      <c r="E1084" s="11" t="s">
        <v>2015</v>
      </c>
      <c r="F1084" s="12">
        <v>3.81</v>
      </c>
    </row>
    <row r="1085" spans="3:6" hidden="1" x14ac:dyDescent="0.3">
      <c r="C1085" s="7" t="s">
        <v>1063</v>
      </c>
      <c r="D1085" s="8" t="s">
        <v>2043</v>
      </c>
      <c r="E1085" s="8" t="s">
        <v>2029</v>
      </c>
      <c r="F1085" s="9">
        <v>15.4</v>
      </c>
    </row>
    <row r="1086" spans="3:6" hidden="1" x14ac:dyDescent="0.3">
      <c r="C1086" s="10" t="s">
        <v>1064</v>
      </c>
      <c r="D1086" s="11" t="s">
        <v>2034</v>
      </c>
      <c r="E1086" s="11" t="s">
        <v>2027</v>
      </c>
      <c r="F1086" s="12">
        <v>28.81</v>
      </c>
    </row>
    <row r="1087" spans="3:6" hidden="1" x14ac:dyDescent="0.3">
      <c r="C1087" s="7" t="s">
        <v>1065</v>
      </c>
      <c r="D1087" s="8" t="s">
        <v>2047</v>
      </c>
      <c r="E1087" s="8" t="s">
        <v>2023</v>
      </c>
      <c r="F1087" s="9">
        <v>6.15</v>
      </c>
    </row>
    <row r="1088" spans="3:6" hidden="1" x14ac:dyDescent="0.3">
      <c r="C1088" s="10" t="s">
        <v>1066</v>
      </c>
      <c r="D1088" s="11" t="s">
        <v>2034</v>
      </c>
      <c r="E1088" s="11" t="s">
        <v>2004</v>
      </c>
      <c r="F1088" s="12">
        <v>6.36</v>
      </c>
    </row>
    <row r="1089" spans="3:6" hidden="1" x14ac:dyDescent="0.3">
      <c r="C1089" s="7" t="s">
        <v>1067</v>
      </c>
      <c r="D1089" s="8" t="s">
        <v>2066</v>
      </c>
      <c r="E1089" s="8" t="s">
        <v>1992</v>
      </c>
      <c r="F1089" s="9">
        <v>3.42</v>
      </c>
    </row>
    <row r="1090" spans="3:6" hidden="1" x14ac:dyDescent="0.3">
      <c r="C1090" s="10" t="s">
        <v>1068</v>
      </c>
      <c r="D1090" s="11" t="s">
        <v>2039</v>
      </c>
      <c r="E1090" s="11" t="s">
        <v>2026</v>
      </c>
      <c r="F1090" s="12">
        <v>8.2200000000000006</v>
      </c>
    </row>
    <row r="1091" spans="3:6" hidden="1" x14ac:dyDescent="0.3">
      <c r="C1091" s="7" t="s">
        <v>1069</v>
      </c>
      <c r="D1091" s="8" t="s">
        <v>2061</v>
      </c>
      <c r="E1091" s="8" t="s">
        <v>2022</v>
      </c>
      <c r="F1091" s="9">
        <v>14.75</v>
      </c>
    </row>
    <row r="1092" spans="3:6" hidden="1" x14ac:dyDescent="0.3">
      <c r="C1092" s="10" t="s">
        <v>1070</v>
      </c>
      <c r="D1092" s="11" t="s">
        <v>2052</v>
      </c>
      <c r="E1092" s="11" t="s">
        <v>1992</v>
      </c>
      <c r="F1092" s="12">
        <v>2.95</v>
      </c>
    </row>
    <row r="1093" spans="3:6" hidden="1" x14ac:dyDescent="0.3">
      <c r="C1093" s="7" t="s">
        <v>1071</v>
      </c>
      <c r="D1093" s="8" t="s">
        <v>2034</v>
      </c>
      <c r="E1093" s="8" t="s">
        <v>2031</v>
      </c>
      <c r="F1093" s="9">
        <v>3.82</v>
      </c>
    </row>
    <row r="1094" spans="3:6" hidden="1" x14ac:dyDescent="0.3">
      <c r="C1094" s="10" t="s">
        <v>1072</v>
      </c>
      <c r="D1094" s="11" t="s">
        <v>2034</v>
      </c>
      <c r="E1094" s="11" t="s">
        <v>2002</v>
      </c>
      <c r="F1094" s="12">
        <v>5.29</v>
      </c>
    </row>
    <row r="1095" spans="3:6" hidden="1" x14ac:dyDescent="0.3">
      <c r="C1095" s="7" t="s">
        <v>1073</v>
      </c>
      <c r="D1095" s="8" t="s">
        <v>2034</v>
      </c>
      <c r="E1095" s="8" t="s">
        <v>2030</v>
      </c>
      <c r="F1095" s="9">
        <v>15.69</v>
      </c>
    </row>
    <row r="1096" spans="3:6" hidden="1" x14ac:dyDescent="0.3">
      <c r="C1096" s="10" t="s">
        <v>1074</v>
      </c>
      <c r="D1096" s="11" t="s">
        <v>2041</v>
      </c>
      <c r="E1096" s="11" t="s">
        <v>2015</v>
      </c>
      <c r="F1096" s="12">
        <v>8.06</v>
      </c>
    </row>
    <row r="1097" spans="3:6" hidden="1" x14ac:dyDescent="0.3">
      <c r="C1097" s="7" t="s">
        <v>1075</v>
      </c>
      <c r="D1097" s="8" t="s">
        <v>2034</v>
      </c>
      <c r="E1097" s="8" t="s">
        <v>2023</v>
      </c>
      <c r="F1097" s="9">
        <v>8.3000000000000007</v>
      </c>
    </row>
    <row r="1098" spans="3:6" hidden="1" x14ac:dyDescent="0.3">
      <c r="C1098" s="10" t="s">
        <v>1985</v>
      </c>
      <c r="D1098" s="11" t="s">
        <v>2045</v>
      </c>
      <c r="E1098" s="11" t="s">
        <v>1979</v>
      </c>
      <c r="F1098" s="12">
        <v>2.17</v>
      </c>
    </row>
    <row r="1099" spans="3:6" hidden="1" x14ac:dyDescent="0.3">
      <c r="C1099" s="7" t="s">
        <v>1076</v>
      </c>
      <c r="D1099" s="8" t="s">
        <v>2038</v>
      </c>
      <c r="E1099" s="8" t="s">
        <v>2002</v>
      </c>
      <c r="F1099" s="9">
        <v>7.59</v>
      </c>
    </row>
    <row r="1100" spans="3:6" hidden="1" x14ac:dyDescent="0.3">
      <c r="C1100" s="10" t="s">
        <v>1077</v>
      </c>
      <c r="D1100" s="11" t="s">
        <v>2073</v>
      </c>
      <c r="E1100" s="11" t="s">
        <v>2022</v>
      </c>
      <c r="F1100" s="12">
        <v>2.2599999999999998</v>
      </c>
    </row>
    <row r="1101" spans="3:6" hidden="1" x14ac:dyDescent="0.3">
      <c r="C1101" s="7" t="s">
        <v>1078</v>
      </c>
      <c r="D1101" s="8" t="s">
        <v>1975</v>
      </c>
      <c r="E1101" s="8" t="s">
        <v>2015</v>
      </c>
      <c r="F1101" s="9">
        <v>6.04</v>
      </c>
    </row>
    <row r="1102" spans="3:6" hidden="1" x14ac:dyDescent="0.3">
      <c r="C1102" s="10" t="s">
        <v>1079</v>
      </c>
      <c r="D1102" s="11" t="s">
        <v>2034</v>
      </c>
      <c r="E1102" s="11" t="s">
        <v>2004</v>
      </c>
      <c r="F1102" s="12">
        <v>5.18</v>
      </c>
    </row>
    <row r="1103" spans="3:6" hidden="1" x14ac:dyDescent="0.3">
      <c r="C1103" s="7" t="s">
        <v>1080</v>
      </c>
      <c r="D1103" s="8" t="s">
        <v>2040</v>
      </c>
      <c r="E1103" s="8" t="s">
        <v>1979</v>
      </c>
      <c r="F1103" s="9">
        <v>1.7</v>
      </c>
    </row>
    <row r="1104" spans="3:6" hidden="1" x14ac:dyDescent="0.3">
      <c r="C1104" s="10" t="s">
        <v>1081</v>
      </c>
      <c r="D1104" s="11" t="s">
        <v>2034</v>
      </c>
      <c r="E1104" s="11" t="s">
        <v>1993</v>
      </c>
      <c r="F1104" s="12">
        <v>5.28</v>
      </c>
    </row>
    <row r="1105" spans="3:6" hidden="1" x14ac:dyDescent="0.3">
      <c r="C1105" s="7" t="s">
        <v>1082</v>
      </c>
      <c r="D1105" s="8" t="s">
        <v>2069</v>
      </c>
      <c r="E1105" s="8" t="s">
        <v>1992</v>
      </c>
      <c r="F1105" s="9">
        <v>9</v>
      </c>
    </row>
    <row r="1106" spans="3:6" hidden="1" x14ac:dyDescent="0.3">
      <c r="C1106" s="10" t="s">
        <v>1083</v>
      </c>
      <c r="D1106" s="11" t="s">
        <v>2034</v>
      </c>
      <c r="E1106" s="11" t="s">
        <v>2022</v>
      </c>
      <c r="F1106" s="12">
        <v>3.46</v>
      </c>
    </row>
    <row r="1107" spans="3:6" hidden="1" x14ac:dyDescent="0.3">
      <c r="C1107" s="7" t="s">
        <v>1084</v>
      </c>
      <c r="D1107" s="8" t="s">
        <v>2036</v>
      </c>
      <c r="E1107" s="8" t="s">
        <v>1986</v>
      </c>
      <c r="F1107" s="9">
        <v>7.85</v>
      </c>
    </row>
    <row r="1108" spans="3:6" hidden="1" x14ac:dyDescent="0.3">
      <c r="C1108" s="10" t="s">
        <v>1085</v>
      </c>
      <c r="D1108" s="11" t="s">
        <v>2038</v>
      </c>
      <c r="E1108" s="11" t="s">
        <v>1986</v>
      </c>
      <c r="F1108" s="12">
        <v>5.68</v>
      </c>
    </row>
    <row r="1109" spans="3:6" hidden="1" x14ac:dyDescent="0.3">
      <c r="C1109" s="7" t="s">
        <v>1086</v>
      </c>
      <c r="D1109" s="8" t="s">
        <v>2034</v>
      </c>
      <c r="E1109" s="8" t="s">
        <v>2027</v>
      </c>
      <c r="F1109" s="9">
        <v>2.06</v>
      </c>
    </row>
    <row r="1110" spans="3:6" hidden="1" x14ac:dyDescent="0.3">
      <c r="C1110" s="10" t="s">
        <v>1087</v>
      </c>
      <c r="D1110" s="11" t="s">
        <v>2034</v>
      </c>
      <c r="E1110" s="11" t="s">
        <v>1986</v>
      </c>
      <c r="F1110" s="12">
        <v>1.73</v>
      </c>
    </row>
    <row r="1111" spans="3:6" hidden="1" x14ac:dyDescent="0.3">
      <c r="C1111" s="7" t="s">
        <v>1088</v>
      </c>
      <c r="D1111" s="8" t="s">
        <v>2042</v>
      </c>
      <c r="E1111" s="8" t="s">
        <v>1979</v>
      </c>
      <c r="F1111" s="9">
        <v>3.18</v>
      </c>
    </row>
    <row r="1112" spans="3:6" hidden="1" x14ac:dyDescent="0.3">
      <c r="C1112" s="10" t="s">
        <v>1089</v>
      </c>
      <c r="D1112" s="11" t="s">
        <v>2034</v>
      </c>
      <c r="E1112" s="11" t="s">
        <v>2025</v>
      </c>
      <c r="F1112" s="12">
        <v>2.67</v>
      </c>
    </row>
    <row r="1113" spans="3:6" hidden="1" x14ac:dyDescent="0.3">
      <c r="C1113" s="7" t="s">
        <v>1090</v>
      </c>
      <c r="D1113" s="8" t="s">
        <v>2034</v>
      </c>
      <c r="E1113" s="8" t="s">
        <v>1998</v>
      </c>
      <c r="F1113" s="9">
        <v>1.04</v>
      </c>
    </row>
    <row r="1114" spans="3:6" hidden="1" x14ac:dyDescent="0.3">
      <c r="C1114" s="10" t="s">
        <v>1091</v>
      </c>
      <c r="D1114" s="11" t="s">
        <v>2042</v>
      </c>
      <c r="E1114" s="11" t="s">
        <v>2005</v>
      </c>
      <c r="F1114" s="12">
        <v>3.41</v>
      </c>
    </row>
    <row r="1115" spans="3:6" hidden="1" x14ac:dyDescent="0.3">
      <c r="C1115" s="7" t="s">
        <v>1092</v>
      </c>
      <c r="D1115" s="8" t="s">
        <v>2038</v>
      </c>
      <c r="E1115" s="8" t="s">
        <v>2025</v>
      </c>
      <c r="F1115" s="9">
        <v>5.96</v>
      </c>
    </row>
    <row r="1116" spans="3:6" hidden="1" x14ac:dyDescent="0.3">
      <c r="C1116" s="10" t="s">
        <v>1093</v>
      </c>
      <c r="D1116" s="11" t="s">
        <v>2034</v>
      </c>
      <c r="E1116" s="11" t="s">
        <v>1992</v>
      </c>
      <c r="F1116" s="12">
        <v>4.29</v>
      </c>
    </row>
    <row r="1117" spans="3:6" hidden="1" x14ac:dyDescent="0.3">
      <c r="C1117" s="7" t="s">
        <v>1094</v>
      </c>
      <c r="D1117" s="8" t="s">
        <v>2034</v>
      </c>
      <c r="E1117" s="8" t="s">
        <v>1988</v>
      </c>
      <c r="F1117" s="9">
        <v>12.94</v>
      </c>
    </row>
    <row r="1118" spans="3:6" hidden="1" x14ac:dyDescent="0.3">
      <c r="C1118" s="10" t="s">
        <v>1095</v>
      </c>
      <c r="D1118" s="11" t="s">
        <v>2069</v>
      </c>
      <c r="E1118" s="11" t="s">
        <v>1998</v>
      </c>
      <c r="F1118" s="12">
        <v>2.4</v>
      </c>
    </row>
    <row r="1119" spans="3:6" hidden="1" x14ac:dyDescent="0.3">
      <c r="C1119" s="7" t="s">
        <v>1096</v>
      </c>
      <c r="D1119" s="8" t="s">
        <v>2063</v>
      </c>
      <c r="E1119" s="8" t="s">
        <v>1992</v>
      </c>
      <c r="F1119" s="9">
        <v>9.4499999999999993</v>
      </c>
    </row>
    <row r="1120" spans="3:6" hidden="1" x14ac:dyDescent="0.3">
      <c r="C1120" s="10" t="s">
        <v>1097</v>
      </c>
      <c r="D1120" s="11" t="s">
        <v>2038</v>
      </c>
      <c r="E1120" s="11" t="s">
        <v>1987</v>
      </c>
      <c r="F1120" s="12">
        <v>10.16</v>
      </c>
    </row>
    <row r="1121" spans="3:6" hidden="1" x14ac:dyDescent="0.3">
      <c r="C1121" s="7" t="s">
        <v>1098</v>
      </c>
      <c r="D1121" s="8" t="s">
        <v>2034</v>
      </c>
      <c r="E1121" s="8" t="s">
        <v>2031</v>
      </c>
      <c r="F1121" s="9">
        <v>5.3</v>
      </c>
    </row>
    <row r="1122" spans="3:6" hidden="1" x14ac:dyDescent="0.3">
      <c r="C1122" s="10" t="s">
        <v>1099</v>
      </c>
      <c r="D1122" s="11" t="s">
        <v>2038</v>
      </c>
      <c r="E1122" s="11" t="s">
        <v>1988</v>
      </c>
      <c r="F1122" s="12">
        <v>8.48</v>
      </c>
    </row>
    <row r="1123" spans="3:6" hidden="1" x14ac:dyDescent="0.3">
      <c r="C1123" s="7" t="s">
        <v>1100</v>
      </c>
      <c r="D1123" s="8" t="s">
        <v>2034</v>
      </c>
      <c r="E1123" s="8" t="s">
        <v>2022</v>
      </c>
      <c r="F1123" s="9">
        <v>5.58</v>
      </c>
    </row>
    <row r="1124" spans="3:6" hidden="1" x14ac:dyDescent="0.3">
      <c r="C1124" s="10" t="s">
        <v>1101</v>
      </c>
      <c r="D1124" s="11" t="s">
        <v>2041</v>
      </c>
      <c r="E1124" s="11" t="s">
        <v>1999</v>
      </c>
      <c r="F1124" s="12">
        <v>4.0199999999999996</v>
      </c>
    </row>
    <row r="1125" spans="3:6" hidden="1" x14ac:dyDescent="0.3">
      <c r="C1125" s="7" t="s">
        <v>1102</v>
      </c>
      <c r="D1125" s="8" t="s">
        <v>2043</v>
      </c>
      <c r="E1125" s="8" t="s">
        <v>1998</v>
      </c>
      <c r="F1125" s="9">
        <v>9.48</v>
      </c>
    </row>
    <row r="1126" spans="3:6" hidden="1" x14ac:dyDescent="0.3">
      <c r="C1126" s="10" t="s">
        <v>1103</v>
      </c>
      <c r="D1126" s="11" t="s">
        <v>2042</v>
      </c>
      <c r="E1126" s="11" t="s">
        <v>2005</v>
      </c>
      <c r="F1126" s="12">
        <v>6.42</v>
      </c>
    </row>
    <row r="1127" spans="3:6" hidden="1" x14ac:dyDescent="0.3">
      <c r="C1127" s="7" t="s">
        <v>1104</v>
      </c>
      <c r="D1127" s="8" t="s">
        <v>2083</v>
      </c>
      <c r="E1127" s="8" t="s">
        <v>1998</v>
      </c>
      <c r="F1127" s="9">
        <v>2.4700000000000002</v>
      </c>
    </row>
    <row r="1128" spans="3:6" hidden="1" x14ac:dyDescent="0.3">
      <c r="C1128" s="10" t="s">
        <v>1105</v>
      </c>
      <c r="D1128" s="11" t="s">
        <v>2044</v>
      </c>
      <c r="E1128" s="11" t="s">
        <v>2031</v>
      </c>
      <c r="F1128" s="12">
        <v>2.69</v>
      </c>
    </row>
    <row r="1129" spans="3:6" hidden="1" x14ac:dyDescent="0.3">
      <c r="C1129" s="7" t="s">
        <v>1106</v>
      </c>
      <c r="D1129" s="8" t="s">
        <v>1977</v>
      </c>
      <c r="E1129" s="8" t="s">
        <v>2005</v>
      </c>
      <c r="F1129" s="9">
        <v>5.75</v>
      </c>
    </row>
    <row r="1130" spans="3:6" hidden="1" x14ac:dyDescent="0.3">
      <c r="C1130" s="10" t="s">
        <v>1107</v>
      </c>
      <c r="D1130" s="11" t="s">
        <v>2034</v>
      </c>
      <c r="E1130" s="11" t="s">
        <v>2031</v>
      </c>
      <c r="F1130" s="12">
        <v>9.23</v>
      </c>
    </row>
    <row r="1131" spans="3:6" hidden="1" x14ac:dyDescent="0.3">
      <c r="C1131" s="7" t="s">
        <v>1108</v>
      </c>
      <c r="D1131" s="8" t="s">
        <v>2035</v>
      </c>
      <c r="E1131" s="8" t="s">
        <v>2003</v>
      </c>
      <c r="F1131" s="9">
        <v>3.68</v>
      </c>
    </row>
    <row r="1132" spans="3:6" hidden="1" x14ac:dyDescent="0.3">
      <c r="C1132" s="10" t="s">
        <v>1109</v>
      </c>
      <c r="D1132" s="11" t="s">
        <v>2034</v>
      </c>
      <c r="E1132" s="11" t="s">
        <v>1979</v>
      </c>
      <c r="F1132" s="12">
        <v>1.28</v>
      </c>
    </row>
    <row r="1133" spans="3:6" hidden="1" x14ac:dyDescent="0.3">
      <c r="C1133" s="7" t="s">
        <v>1110</v>
      </c>
      <c r="D1133" s="8" t="s">
        <v>2034</v>
      </c>
      <c r="E1133" s="8" t="s">
        <v>1978</v>
      </c>
      <c r="F1133" s="9">
        <v>5.4</v>
      </c>
    </row>
    <row r="1134" spans="3:6" hidden="1" x14ac:dyDescent="0.3">
      <c r="C1134" s="10" t="s">
        <v>1111</v>
      </c>
      <c r="D1134" s="11" t="s">
        <v>2034</v>
      </c>
      <c r="E1134" s="11" t="s">
        <v>2002</v>
      </c>
      <c r="F1134" s="12">
        <v>11.94</v>
      </c>
    </row>
    <row r="1135" spans="3:6" hidden="1" x14ac:dyDescent="0.3">
      <c r="C1135" s="7" t="s">
        <v>1112</v>
      </c>
      <c r="D1135" s="8" t="s">
        <v>2034</v>
      </c>
      <c r="E1135" s="8" t="s">
        <v>1997</v>
      </c>
      <c r="F1135" s="9">
        <v>12.64</v>
      </c>
    </row>
    <row r="1136" spans="3:6" hidden="1" x14ac:dyDescent="0.3">
      <c r="C1136" s="10" t="s">
        <v>1113</v>
      </c>
      <c r="D1136" s="11" t="s">
        <v>2034</v>
      </c>
      <c r="E1136" s="11" t="s">
        <v>1987</v>
      </c>
      <c r="F1136" s="12">
        <v>5.53</v>
      </c>
    </row>
    <row r="1137" spans="3:6" hidden="1" x14ac:dyDescent="0.3">
      <c r="C1137" s="7" t="s">
        <v>1114</v>
      </c>
      <c r="D1137" s="8" t="s">
        <v>2034</v>
      </c>
      <c r="E1137" s="8" t="s">
        <v>1979</v>
      </c>
      <c r="F1137" s="9">
        <v>1.39</v>
      </c>
    </row>
    <row r="1138" spans="3:6" hidden="1" x14ac:dyDescent="0.3">
      <c r="C1138" s="10" t="s">
        <v>1115</v>
      </c>
      <c r="D1138" s="11" t="s">
        <v>2037</v>
      </c>
      <c r="E1138" s="11" t="s">
        <v>1987</v>
      </c>
      <c r="F1138" s="12">
        <v>7.21</v>
      </c>
    </row>
    <row r="1139" spans="3:6" hidden="1" x14ac:dyDescent="0.3">
      <c r="C1139" s="7" t="s">
        <v>1116</v>
      </c>
      <c r="D1139" s="8" t="s">
        <v>2038</v>
      </c>
      <c r="E1139" s="8" t="s">
        <v>1987</v>
      </c>
      <c r="F1139" s="9">
        <v>7.24</v>
      </c>
    </row>
    <row r="1140" spans="3:6" hidden="1" x14ac:dyDescent="0.3">
      <c r="C1140" s="10" t="s">
        <v>1117</v>
      </c>
      <c r="D1140" s="11" t="s">
        <v>2079</v>
      </c>
      <c r="E1140" s="11" t="s">
        <v>1979</v>
      </c>
      <c r="F1140" s="12">
        <v>1.43</v>
      </c>
    </row>
    <row r="1141" spans="3:6" hidden="1" x14ac:dyDescent="0.3">
      <c r="C1141" s="7" t="s">
        <v>1118</v>
      </c>
      <c r="D1141" s="8" t="s">
        <v>2051</v>
      </c>
      <c r="E1141" s="8" t="s">
        <v>2005</v>
      </c>
      <c r="F1141" s="9">
        <v>4.5599999999999996</v>
      </c>
    </row>
    <row r="1142" spans="3:6" hidden="1" x14ac:dyDescent="0.3">
      <c r="C1142" s="10" t="s">
        <v>1119</v>
      </c>
      <c r="D1142" s="11" t="s">
        <v>2034</v>
      </c>
      <c r="E1142" s="11" t="s">
        <v>1986</v>
      </c>
      <c r="F1142" s="12">
        <v>5.73</v>
      </c>
    </row>
    <row r="1143" spans="3:6" hidden="1" x14ac:dyDescent="0.3">
      <c r="C1143" s="7" t="s">
        <v>1120</v>
      </c>
      <c r="D1143" s="8" t="s">
        <v>2034</v>
      </c>
      <c r="E1143" s="8" t="s">
        <v>2017</v>
      </c>
      <c r="F1143" s="9">
        <v>5.18</v>
      </c>
    </row>
    <row r="1144" spans="3:6" hidden="1" x14ac:dyDescent="0.3">
      <c r="C1144" s="10" t="s">
        <v>1121</v>
      </c>
      <c r="D1144" s="11" t="s">
        <v>2034</v>
      </c>
      <c r="E1144" s="11" t="s">
        <v>1988</v>
      </c>
      <c r="F1144" s="12">
        <v>4.53</v>
      </c>
    </row>
    <row r="1145" spans="3:6" hidden="1" x14ac:dyDescent="0.3">
      <c r="C1145" s="7" t="s">
        <v>1122</v>
      </c>
      <c r="D1145" s="8" t="s">
        <v>2043</v>
      </c>
      <c r="E1145" s="8" t="s">
        <v>2030</v>
      </c>
      <c r="F1145" s="9">
        <v>6.93</v>
      </c>
    </row>
    <row r="1146" spans="3:6" hidden="1" x14ac:dyDescent="0.3">
      <c r="C1146" s="10" t="s">
        <v>1123</v>
      </c>
      <c r="D1146" s="11" t="s">
        <v>2061</v>
      </c>
      <c r="E1146" s="11" t="s">
        <v>2015</v>
      </c>
      <c r="F1146" s="12">
        <v>3.66</v>
      </c>
    </row>
    <row r="1147" spans="3:6" hidden="1" x14ac:dyDescent="0.3">
      <c r="C1147" s="7" t="s">
        <v>1124</v>
      </c>
      <c r="D1147" s="8" t="s">
        <v>2038</v>
      </c>
      <c r="E1147" s="8" t="s">
        <v>1993</v>
      </c>
      <c r="F1147" s="9">
        <v>8</v>
      </c>
    </row>
    <row r="1148" spans="3:6" hidden="1" x14ac:dyDescent="0.3">
      <c r="C1148" s="10" t="s">
        <v>1125</v>
      </c>
      <c r="D1148" s="11" t="s">
        <v>2047</v>
      </c>
      <c r="E1148" s="11" t="s">
        <v>2023</v>
      </c>
      <c r="F1148" s="12">
        <v>6.68</v>
      </c>
    </row>
    <row r="1149" spans="3:6" hidden="1" x14ac:dyDescent="0.3">
      <c r="C1149" s="7" t="s">
        <v>1126</v>
      </c>
      <c r="D1149" s="8" t="s">
        <v>2063</v>
      </c>
      <c r="E1149" s="8" t="s">
        <v>2015</v>
      </c>
      <c r="F1149" s="9">
        <v>1.89</v>
      </c>
    </row>
    <row r="1150" spans="3:6" hidden="1" x14ac:dyDescent="0.3">
      <c r="C1150" s="10" t="s">
        <v>1127</v>
      </c>
      <c r="D1150" s="11" t="s">
        <v>2038</v>
      </c>
      <c r="E1150" s="11" t="s">
        <v>1979</v>
      </c>
      <c r="F1150" s="12">
        <v>1.56</v>
      </c>
    </row>
    <row r="1151" spans="3:6" hidden="1" x14ac:dyDescent="0.3">
      <c r="C1151" s="7" t="s">
        <v>1128</v>
      </c>
      <c r="D1151" s="8" t="s">
        <v>2066</v>
      </c>
      <c r="E1151" s="8" t="s">
        <v>2030</v>
      </c>
      <c r="F1151" s="9">
        <v>6.76</v>
      </c>
    </row>
    <row r="1152" spans="3:6" hidden="1" x14ac:dyDescent="0.3">
      <c r="C1152" s="10" t="s">
        <v>1129</v>
      </c>
      <c r="D1152" s="11" t="s">
        <v>2034</v>
      </c>
      <c r="E1152" s="11" t="s">
        <v>2025</v>
      </c>
      <c r="F1152" s="12">
        <v>4.9800000000000004</v>
      </c>
    </row>
    <row r="1153" spans="3:6" hidden="1" x14ac:dyDescent="0.3">
      <c r="C1153" s="7" t="s">
        <v>1130</v>
      </c>
      <c r="D1153" s="8" t="s">
        <v>2039</v>
      </c>
      <c r="E1153" s="8" t="s">
        <v>2022</v>
      </c>
      <c r="F1153" s="9">
        <v>6.35</v>
      </c>
    </row>
    <row r="1154" spans="3:6" hidden="1" x14ac:dyDescent="0.3">
      <c r="C1154" s="10" t="s">
        <v>1131</v>
      </c>
      <c r="D1154" s="11" t="s">
        <v>2035</v>
      </c>
      <c r="E1154" s="11" t="s">
        <v>2003</v>
      </c>
      <c r="F1154" s="12">
        <v>15.91</v>
      </c>
    </row>
    <row r="1155" spans="3:6" hidden="1" x14ac:dyDescent="0.3">
      <c r="C1155" s="7" t="s">
        <v>1132</v>
      </c>
      <c r="D1155" s="8" t="s">
        <v>2035</v>
      </c>
      <c r="E1155" s="8" t="s">
        <v>1993</v>
      </c>
      <c r="F1155" s="9">
        <v>4.5</v>
      </c>
    </row>
    <row r="1156" spans="3:6" hidden="1" x14ac:dyDescent="0.3">
      <c r="C1156" s="10" t="s">
        <v>1133</v>
      </c>
      <c r="D1156" s="11" t="s">
        <v>2034</v>
      </c>
      <c r="E1156" s="11" t="s">
        <v>2001</v>
      </c>
      <c r="F1156" s="12">
        <v>5.51</v>
      </c>
    </row>
    <row r="1157" spans="3:6" hidden="1" x14ac:dyDescent="0.3">
      <c r="C1157" s="7" t="s">
        <v>1134</v>
      </c>
      <c r="D1157" s="8" t="s">
        <v>2067</v>
      </c>
      <c r="E1157" s="8" t="s">
        <v>1979</v>
      </c>
      <c r="F1157" s="9">
        <v>1.19</v>
      </c>
    </row>
    <row r="1158" spans="3:6" hidden="1" x14ac:dyDescent="0.3">
      <c r="C1158" s="10" t="s">
        <v>1135</v>
      </c>
      <c r="D1158" s="11" t="s">
        <v>1975</v>
      </c>
      <c r="E1158" s="11" t="s">
        <v>2031</v>
      </c>
      <c r="F1158" s="12">
        <v>3.09</v>
      </c>
    </row>
    <row r="1159" spans="3:6" hidden="1" x14ac:dyDescent="0.3">
      <c r="C1159" s="7" t="s">
        <v>1136</v>
      </c>
      <c r="D1159" s="8" t="s">
        <v>2063</v>
      </c>
      <c r="E1159" s="8" t="s">
        <v>2030</v>
      </c>
      <c r="F1159" s="9">
        <v>6.4</v>
      </c>
    </row>
    <row r="1160" spans="3:6" hidden="1" x14ac:dyDescent="0.3">
      <c r="C1160" s="10" t="s">
        <v>1137</v>
      </c>
      <c r="D1160" s="11" t="s">
        <v>2038</v>
      </c>
      <c r="E1160" s="11" t="s">
        <v>1987</v>
      </c>
      <c r="F1160" s="12">
        <v>2.61</v>
      </c>
    </row>
    <row r="1161" spans="3:6" hidden="1" x14ac:dyDescent="0.3">
      <c r="C1161" s="7" t="s">
        <v>1138</v>
      </c>
      <c r="D1161" s="8" t="s">
        <v>2034</v>
      </c>
      <c r="E1161" s="8" t="s">
        <v>1978</v>
      </c>
      <c r="F1161" s="9">
        <v>3.56</v>
      </c>
    </row>
    <row r="1162" spans="3:6" hidden="1" x14ac:dyDescent="0.3">
      <c r="C1162" s="10" t="s">
        <v>1139</v>
      </c>
      <c r="D1162" s="11" t="s">
        <v>2035</v>
      </c>
      <c r="E1162" s="11" t="s">
        <v>1998</v>
      </c>
      <c r="F1162" s="12">
        <v>1.1499999999999999</v>
      </c>
    </row>
    <row r="1163" spans="3:6" hidden="1" x14ac:dyDescent="0.3">
      <c r="C1163" s="7" t="s">
        <v>1140</v>
      </c>
      <c r="D1163" s="8" t="s">
        <v>2034</v>
      </c>
      <c r="E1163" s="8" t="s">
        <v>2023</v>
      </c>
      <c r="F1163" s="9">
        <v>16.84</v>
      </c>
    </row>
    <row r="1164" spans="3:6" hidden="1" x14ac:dyDescent="0.3">
      <c r="C1164" s="10" t="s">
        <v>1141</v>
      </c>
      <c r="D1164" s="11" t="s">
        <v>2034</v>
      </c>
      <c r="E1164" s="11" t="s">
        <v>2003</v>
      </c>
      <c r="F1164" s="12">
        <v>5.5</v>
      </c>
    </row>
    <row r="1165" spans="3:6" hidden="1" x14ac:dyDescent="0.3">
      <c r="C1165" s="7" t="s">
        <v>1142</v>
      </c>
      <c r="D1165" s="8" t="s">
        <v>2038</v>
      </c>
      <c r="E1165" s="8" t="s">
        <v>2030</v>
      </c>
      <c r="F1165" s="9">
        <v>5.95</v>
      </c>
    </row>
    <row r="1166" spans="3:6" hidden="1" x14ac:dyDescent="0.3">
      <c r="C1166" s="10" t="s">
        <v>1143</v>
      </c>
      <c r="D1166" s="11" t="s">
        <v>2079</v>
      </c>
      <c r="E1166" s="11" t="s">
        <v>1997</v>
      </c>
      <c r="F1166" s="12">
        <v>4.79</v>
      </c>
    </row>
    <row r="1167" spans="3:6" hidden="1" x14ac:dyDescent="0.3">
      <c r="C1167" s="7" t="s">
        <v>1144</v>
      </c>
      <c r="D1167" s="8" t="s">
        <v>2061</v>
      </c>
      <c r="E1167" s="8" t="s">
        <v>1986</v>
      </c>
      <c r="F1167" s="9">
        <v>2.23</v>
      </c>
    </row>
    <row r="1168" spans="3:6" hidden="1" x14ac:dyDescent="0.3">
      <c r="C1168" s="10" t="s">
        <v>1145</v>
      </c>
      <c r="D1168" s="11" t="s">
        <v>2034</v>
      </c>
      <c r="E1168" s="11" t="s">
        <v>1998</v>
      </c>
      <c r="F1168" s="12">
        <v>1.06</v>
      </c>
    </row>
    <row r="1169" spans="3:7" hidden="1" x14ac:dyDescent="0.3">
      <c r="C1169" s="7" t="s">
        <v>1146</v>
      </c>
      <c r="D1169" s="8" t="s">
        <v>2038</v>
      </c>
      <c r="E1169" s="8" t="s">
        <v>1993</v>
      </c>
      <c r="F1169" s="9">
        <v>8.14</v>
      </c>
    </row>
    <row r="1170" spans="3:7" hidden="1" x14ac:dyDescent="0.3">
      <c r="C1170" s="10" t="s">
        <v>1147</v>
      </c>
      <c r="D1170" s="11" t="s">
        <v>2041</v>
      </c>
      <c r="E1170" s="11" t="s">
        <v>1993</v>
      </c>
      <c r="F1170" s="12">
        <v>16.21</v>
      </c>
    </row>
    <row r="1171" spans="3:7" hidden="1" x14ac:dyDescent="0.3">
      <c r="C1171" s="7" t="s">
        <v>1148</v>
      </c>
      <c r="D1171" s="8" t="s">
        <v>2035</v>
      </c>
      <c r="E1171" s="8" t="s">
        <v>1993</v>
      </c>
      <c r="F1171" s="9">
        <v>5.16</v>
      </c>
    </row>
    <row r="1172" spans="3:7" hidden="1" x14ac:dyDescent="0.3">
      <c r="C1172" s="10" t="s">
        <v>1149</v>
      </c>
      <c r="D1172" s="11" t="s">
        <v>2034</v>
      </c>
      <c r="E1172" s="11" t="s">
        <v>1997</v>
      </c>
      <c r="F1172" s="12">
        <v>6.2</v>
      </c>
    </row>
    <row r="1173" spans="3:7" hidden="1" x14ac:dyDescent="0.3">
      <c r="C1173" s="7" t="s">
        <v>1150</v>
      </c>
      <c r="D1173" s="8" t="s">
        <v>2047</v>
      </c>
      <c r="E1173" s="8" t="s">
        <v>2030</v>
      </c>
      <c r="F1173" s="9">
        <v>8.23</v>
      </c>
    </row>
    <row r="1174" spans="3:7" hidden="1" x14ac:dyDescent="0.3">
      <c r="C1174" s="10" t="s">
        <v>1151</v>
      </c>
      <c r="D1174" s="11" t="s">
        <v>1975</v>
      </c>
      <c r="E1174" s="11" t="s">
        <v>2017</v>
      </c>
      <c r="F1174" s="12">
        <v>2.5299999999999998</v>
      </c>
    </row>
    <row r="1175" spans="3:7" hidden="1" x14ac:dyDescent="0.3">
      <c r="C1175" s="7" t="s">
        <v>1152</v>
      </c>
      <c r="D1175" s="8" t="s">
        <v>2061</v>
      </c>
      <c r="E1175" s="8" t="s">
        <v>2001</v>
      </c>
      <c r="F1175" s="9">
        <v>1.84</v>
      </c>
    </row>
    <row r="1176" spans="3:7" hidden="1" x14ac:dyDescent="0.3">
      <c r="C1176" s="10" t="s">
        <v>1153</v>
      </c>
      <c r="D1176" s="11" t="s">
        <v>2034</v>
      </c>
      <c r="E1176" s="11" t="s">
        <v>2001</v>
      </c>
      <c r="F1176" s="12">
        <v>11.84</v>
      </c>
    </row>
    <row r="1177" spans="3:7" hidden="1" x14ac:dyDescent="0.3">
      <c r="C1177" s="7" t="s">
        <v>1154</v>
      </c>
      <c r="D1177" s="8" t="s">
        <v>2034</v>
      </c>
      <c r="E1177" s="8" t="s">
        <v>2005</v>
      </c>
      <c r="F1177" s="9">
        <v>1.53</v>
      </c>
    </row>
    <row r="1178" spans="3:7" x14ac:dyDescent="0.3">
      <c r="C1178" s="10" t="s">
        <v>758</v>
      </c>
      <c r="D1178" s="11" t="s">
        <v>2046</v>
      </c>
      <c r="E1178" s="11" t="s">
        <v>2015</v>
      </c>
      <c r="F1178" s="12">
        <v>4.7</v>
      </c>
      <c r="G1178" s="26">
        <f>F1178*$G$2</f>
        <v>0.94000000000000006</v>
      </c>
    </row>
    <row r="1179" spans="3:7" hidden="1" x14ac:dyDescent="0.3">
      <c r="C1179" s="7" t="s">
        <v>1156</v>
      </c>
      <c r="D1179" s="8" t="s">
        <v>2038</v>
      </c>
      <c r="E1179" s="8" t="s">
        <v>2002</v>
      </c>
      <c r="F1179" s="9">
        <v>15.54</v>
      </c>
    </row>
    <row r="1180" spans="3:7" hidden="1" x14ac:dyDescent="0.3">
      <c r="C1180" s="10" t="s">
        <v>1157</v>
      </c>
      <c r="D1180" s="11" t="s">
        <v>2034</v>
      </c>
      <c r="E1180" s="11" t="s">
        <v>2005</v>
      </c>
      <c r="F1180" s="12">
        <v>4.04</v>
      </c>
    </row>
    <row r="1181" spans="3:7" hidden="1" x14ac:dyDescent="0.3">
      <c r="C1181" s="7" t="s">
        <v>1158</v>
      </c>
      <c r="D1181" s="8" t="s">
        <v>2061</v>
      </c>
      <c r="E1181" s="8" t="s">
        <v>1986</v>
      </c>
      <c r="F1181" s="9">
        <v>1.63</v>
      </c>
    </row>
    <row r="1182" spans="3:7" hidden="1" x14ac:dyDescent="0.3">
      <c r="C1182" s="10" t="s">
        <v>1159</v>
      </c>
      <c r="D1182" s="11" t="s">
        <v>2034</v>
      </c>
      <c r="E1182" s="11" t="s">
        <v>2031</v>
      </c>
      <c r="F1182" s="12">
        <v>3.7</v>
      </c>
    </row>
    <row r="1183" spans="3:7" hidden="1" x14ac:dyDescent="0.3">
      <c r="C1183" s="7" t="s">
        <v>1160</v>
      </c>
      <c r="D1183" s="8" t="s">
        <v>2038</v>
      </c>
      <c r="E1183" s="8" t="s">
        <v>2023</v>
      </c>
      <c r="F1183" s="9">
        <v>5.19</v>
      </c>
    </row>
    <row r="1184" spans="3:7" hidden="1" x14ac:dyDescent="0.3">
      <c r="C1184" s="10" t="s">
        <v>1161</v>
      </c>
      <c r="D1184" s="11" t="s">
        <v>2054</v>
      </c>
      <c r="E1184" s="11" t="s">
        <v>2001</v>
      </c>
      <c r="F1184" s="12">
        <v>6.56</v>
      </c>
    </row>
    <row r="1185" spans="3:6" hidden="1" x14ac:dyDescent="0.3">
      <c r="C1185" s="7" t="s">
        <v>1162</v>
      </c>
      <c r="D1185" s="8" t="s">
        <v>2034</v>
      </c>
      <c r="E1185" s="8" t="s">
        <v>1986</v>
      </c>
      <c r="F1185" s="9">
        <v>5.22</v>
      </c>
    </row>
    <row r="1186" spans="3:6" hidden="1" x14ac:dyDescent="0.3">
      <c r="C1186" s="10" t="s">
        <v>1163</v>
      </c>
      <c r="D1186" s="11" t="s">
        <v>2034</v>
      </c>
      <c r="E1186" s="11" t="s">
        <v>2030</v>
      </c>
      <c r="F1186" s="12">
        <v>12.12</v>
      </c>
    </row>
    <row r="1187" spans="3:6" hidden="1" x14ac:dyDescent="0.3">
      <c r="C1187" s="7" t="s">
        <v>1164</v>
      </c>
      <c r="D1187" s="8" t="s">
        <v>2070</v>
      </c>
      <c r="E1187" s="8" t="s">
        <v>1979</v>
      </c>
      <c r="F1187" s="9">
        <v>1.4</v>
      </c>
    </row>
    <row r="1188" spans="3:6" hidden="1" x14ac:dyDescent="0.3">
      <c r="C1188" s="10" t="s">
        <v>1165</v>
      </c>
      <c r="D1188" s="11" t="s">
        <v>2037</v>
      </c>
      <c r="E1188" s="11" t="s">
        <v>2030</v>
      </c>
      <c r="F1188" s="12">
        <v>8</v>
      </c>
    </row>
    <row r="1189" spans="3:6" hidden="1" x14ac:dyDescent="0.3">
      <c r="C1189" s="7" t="s">
        <v>1166</v>
      </c>
      <c r="D1189" s="8" t="s">
        <v>2034</v>
      </c>
      <c r="E1189" s="8" t="s">
        <v>2025</v>
      </c>
      <c r="F1189" s="9">
        <v>2.4300000000000002</v>
      </c>
    </row>
    <row r="1190" spans="3:6" hidden="1" x14ac:dyDescent="0.3">
      <c r="C1190" s="10" t="s">
        <v>1167</v>
      </c>
      <c r="D1190" s="11" t="s">
        <v>2034</v>
      </c>
      <c r="E1190" s="11" t="s">
        <v>1988</v>
      </c>
      <c r="F1190" s="12">
        <v>6.07</v>
      </c>
    </row>
    <row r="1191" spans="3:6" hidden="1" x14ac:dyDescent="0.3">
      <c r="C1191" s="7" t="s">
        <v>1168</v>
      </c>
      <c r="D1191" s="8" t="s">
        <v>2070</v>
      </c>
      <c r="E1191" s="8" t="s">
        <v>2001</v>
      </c>
      <c r="F1191" s="9">
        <v>5.76</v>
      </c>
    </row>
    <row r="1192" spans="3:6" hidden="1" x14ac:dyDescent="0.3">
      <c r="C1192" s="10" t="s">
        <v>1169</v>
      </c>
      <c r="D1192" s="11" t="s">
        <v>2034</v>
      </c>
      <c r="E1192" s="11" t="s">
        <v>2017</v>
      </c>
      <c r="F1192" s="12">
        <v>6.35</v>
      </c>
    </row>
    <row r="1193" spans="3:6" hidden="1" x14ac:dyDescent="0.3">
      <c r="C1193" s="7" t="s">
        <v>1170</v>
      </c>
      <c r="D1193" s="8" t="s">
        <v>2061</v>
      </c>
      <c r="E1193" s="8" t="s">
        <v>2022</v>
      </c>
      <c r="F1193" s="9">
        <v>14.29</v>
      </c>
    </row>
    <row r="1194" spans="3:6" hidden="1" x14ac:dyDescent="0.3">
      <c r="C1194" s="10" t="s">
        <v>1171</v>
      </c>
      <c r="D1194" s="11" t="s">
        <v>2034</v>
      </c>
      <c r="E1194" s="11" t="s">
        <v>2022</v>
      </c>
      <c r="F1194" s="12">
        <v>2.37</v>
      </c>
    </row>
    <row r="1195" spans="3:6" hidden="1" x14ac:dyDescent="0.3">
      <c r="C1195" s="7" t="s">
        <v>1172</v>
      </c>
      <c r="D1195" s="8" t="s">
        <v>2038</v>
      </c>
      <c r="E1195" s="8" t="s">
        <v>1979</v>
      </c>
      <c r="F1195" s="9">
        <v>0.94</v>
      </c>
    </row>
    <row r="1196" spans="3:6" hidden="1" x14ac:dyDescent="0.3">
      <c r="C1196" s="10" t="s">
        <v>1173</v>
      </c>
      <c r="D1196" s="11" t="s">
        <v>2038</v>
      </c>
      <c r="E1196" s="11" t="s">
        <v>1979</v>
      </c>
      <c r="F1196" s="12">
        <v>1.79</v>
      </c>
    </row>
    <row r="1197" spans="3:6" hidden="1" x14ac:dyDescent="0.3">
      <c r="C1197" s="7" t="s">
        <v>1174</v>
      </c>
      <c r="D1197" s="8" t="s">
        <v>2034</v>
      </c>
      <c r="E1197" s="8" t="s">
        <v>2004</v>
      </c>
      <c r="F1197" s="9">
        <v>6.48</v>
      </c>
    </row>
    <row r="1198" spans="3:6" hidden="1" x14ac:dyDescent="0.3">
      <c r="C1198" s="10" t="s">
        <v>1175</v>
      </c>
      <c r="D1198" s="11" t="s">
        <v>2043</v>
      </c>
      <c r="E1198" s="11" t="s">
        <v>2001</v>
      </c>
      <c r="F1198" s="12">
        <v>2.93</v>
      </c>
    </row>
    <row r="1199" spans="3:6" hidden="1" x14ac:dyDescent="0.3">
      <c r="C1199" s="7" t="s">
        <v>1176</v>
      </c>
      <c r="D1199" s="8" t="s">
        <v>2035</v>
      </c>
      <c r="E1199" s="8" t="s">
        <v>2001</v>
      </c>
      <c r="F1199" s="9">
        <v>5.67</v>
      </c>
    </row>
    <row r="1200" spans="3:6" hidden="1" x14ac:dyDescent="0.3">
      <c r="C1200" s="10" t="s">
        <v>1177</v>
      </c>
      <c r="D1200" s="11" t="s">
        <v>2035</v>
      </c>
      <c r="E1200" s="11" t="s">
        <v>2005</v>
      </c>
      <c r="F1200" s="12">
        <v>2.27</v>
      </c>
    </row>
    <row r="1201" spans="3:6" hidden="1" x14ac:dyDescent="0.3">
      <c r="C1201" s="7" t="s">
        <v>1178</v>
      </c>
      <c r="D1201" s="8" t="s">
        <v>2038</v>
      </c>
      <c r="E1201" s="8" t="s">
        <v>2023</v>
      </c>
      <c r="F1201" s="9">
        <v>9.82</v>
      </c>
    </row>
    <row r="1202" spans="3:6" hidden="1" x14ac:dyDescent="0.3">
      <c r="C1202" s="10" t="s">
        <v>1179</v>
      </c>
      <c r="D1202" s="11" t="s">
        <v>2042</v>
      </c>
      <c r="E1202" s="11" t="s">
        <v>1993</v>
      </c>
      <c r="F1202" s="12">
        <v>6.35</v>
      </c>
    </row>
    <row r="1203" spans="3:6" hidden="1" x14ac:dyDescent="0.3">
      <c r="C1203" s="7" t="s">
        <v>1180</v>
      </c>
      <c r="D1203" s="8" t="s">
        <v>2034</v>
      </c>
      <c r="E1203" s="8" t="s">
        <v>1979</v>
      </c>
      <c r="F1203" s="9">
        <v>1.06</v>
      </c>
    </row>
    <row r="1204" spans="3:6" hidden="1" x14ac:dyDescent="0.3">
      <c r="C1204" s="10" t="s">
        <v>1181</v>
      </c>
      <c r="D1204" s="11" t="s">
        <v>2035</v>
      </c>
      <c r="E1204" s="11" t="s">
        <v>1986</v>
      </c>
      <c r="F1204" s="12">
        <v>3.95</v>
      </c>
    </row>
    <row r="1205" spans="3:6" hidden="1" x14ac:dyDescent="0.3">
      <c r="C1205" s="7" t="s">
        <v>1182</v>
      </c>
      <c r="D1205" s="8" t="s">
        <v>2035</v>
      </c>
      <c r="E1205" s="8" t="s">
        <v>1998</v>
      </c>
      <c r="F1205" s="9">
        <v>4.79</v>
      </c>
    </row>
    <row r="1206" spans="3:6" hidden="1" x14ac:dyDescent="0.3">
      <c r="C1206" s="10" t="s">
        <v>1183</v>
      </c>
      <c r="D1206" s="11" t="s">
        <v>1975</v>
      </c>
      <c r="E1206" s="11" t="s">
        <v>2015</v>
      </c>
      <c r="F1206" s="12">
        <v>8.4499999999999993</v>
      </c>
    </row>
    <row r="1207" spans="3:6" hidden="1" x14ac:dyDescent="0.3">
      <c r="C1207" s="7" t="s">
        <v>1184</v>
      </c>
      <c r="D1207" s="8" t="s">
        <v>2034</v>
      </c>
      <c r="E1207" s="8" t="s">
        <v>1986</v>
      </c>
      <c r="F1207" s="9">
        <v>1.56</v>
      </c>
    </row>
    <row r="1208" spans="3:6" hidden="1" x14ac:dyDescent="0.3">
      <c r="C1208" s="10" t="s">
        <v>1185</v>
      </c>
      <c r="D1208" s="11" t="s">
        <v>2037</v>
      </c>
      <c r="E1208" s="11" t="s">
        <v>1998</v>
      </c>
      <c r="F1208" s="12">
        <v>1.42</v>
      </c>
    </row>
    <row r="1209" spans="3:6" hidden="1" x14ac:dyDescent="0.3">
      <c r="C1209" s="7" t="s">
        <v>1186</v>
      </c>
      <c r="D1209" s="8" t="s">
        <v>2034</v>
      </c>
      <c r="E1209" s="8" t="s">
        <v>1998</v>
      </c>
      <c r="F1209" s="9">
        <v>2.44</v>
      </c>
    </row>
    <row r="1210" spans="3:6" hidden="1" x14ac:dyDescent="0.3">
      <c r="C1210" s="10" t="s">
        <v>1187</v>
      </c>
      <c r="D1210" s="11" t="s">
        <v>2061</v>
      </c>
      <c r="E1210" s="11" t="s">
        <v>1998</v>
      </c>
      <c r="F1210" s="12">
        <v>0.85</v>
      </c>
    </row>
    <row r="1211" spans="3:6" hidden="1" x14ac:dyDescent="0.3">
      <c r="C1211" s="7" t="s">
        <v>1188</v>
      </c>
      <c r="D1211" s="8" t="s">
        <v>2038</v>
      </c>
      <c r="E1211" s="8" t="s">
        <v>1988</v>
      </c>
      <c r="F1211" s="9">
        <v>6.88</v>
      </c>
    </row>
    <row r="1212" spans="3:6" hidden="1" x14ac:dyDescent="0.3">
      <c r="C1212" s="10" t="s">
        <v>1189</v>
      </c>
      <c r="D1212" s="11" t="s">
        <v>2047</v>
      </c>
      <c r="E1212" s="11" t="s">
        <v>2005</v>
      </c>
      <c r="F1212" s="12">
        <v>6.1</v>
      </c>
    </row>
    <row r="1213" spans="3:6" hidden="1" x14ac:dyDescent="0.3">
      <c r="C1213" s="7" t="s">
        <v>1190</v>
      </c>
      <c r="D1213" s="8" t="s">
        <v>2038</v>
      </c>
      <c r="E1213" s="8" t="s">
        <v>1986</v>
      </c>
      <c r="F1213" s="9">
        <v>1.1000000000000001</v>
      </c>
    </row>
    <row r="1214" spans="3:6" hidden="1" x14ac:dyDescent="0.3">
      <c r="C1214" s="10" t="s">
        <v>1191</v>
      </c>
      <c r="D1214" s="11" t="s">
        <v>2039</v>
      </c>
      <c r="E1214" s="11" t="s">
        <v>1997</v>
      </c>
      <c r="F1214" s="12">
        <v>11.74</v>
      </c>
    </row>
    <row r="1215" spans="3:6" hidden="1" x14ac:dyDescent="0.3">
      <c r="C1215" s="7" t="s">
        <v>1192</v>
      </c>
      <c r="D1215" s="8" t="s">
        <v>2067</v>
      </c>
      <c r="E1215" s="8" t="s">
        <v>1979</v>
      </c>
      <c r="F1215" s="9">
        <v>1.24</v>
      </c>
    </row>
    <row r="1216" spans="3:6" hidden="1" x14ac:dyDescent="0.3">
      <c r="C1216" s="10" t="s">
        <v>1193</v>
      </c>
      <c r="D1216" s="11" t="s">
        <v>2034</v>
      </c>
      <c r="E1216" s="11" t="s">
        <v>2015</v>
      </c>
      <c r="F1216" s="12">
        <v>6.17</v>
      </c>
    </row>
    <row r="1217" spans="3:6" hidden="1" x14ac:dyDescent="0.3">
      <c r="C1217" s="7" t="s">
        <v>1194</v>
      </c>
      <c r="D1217" s="8" t="s">
        <v>2038</v>
      </c>
      <c r="E1217" s="8" t="s">
        <v>2030</v>
      </c>
      <c r="F1217" s="9">
        <v>5.86</v>
      </c>
    </row>
    <row r="1218" spans="3:6" hidden="1" x14ac:dyDescent="0.3">
      <c r="C1218" s="10" t="s">
        <v>1195</v>
      </c>
      <c r="D1218" s="11" t="s">
        <v>2034</v>
      </c>
      <c r="E1218" s="11" t="s">
        <v>2002</v>
      </c>
      <c r="F1218" s="12">
        <v>9.7200000000000006</v>
      </c>
    </row>
    <row r="1219" spans="3:6" hidden="1" x14ac:dyDescent="0.3">
      <c r="C1219" s="7" t="s">
        <v>1196</v>
      </c>
      <c r="D1219" s="8" t="s">
        <v>2036</v>
      </c>
      <c r="E1219" s="8" t="s">
        <v>2026</v>
      </c>
      <c r="F1219" s="9">
        <v>2.99</v>
      </c>
    </row>
    <row r="1220" spans="3:6" hidden="1" x14ac:dyDescent="0.3">
      <c r="C1220" s="10" t="s">
        <v>1197</v>
      </c>
      <c r="D1220" s="11" t="s">
        <v>2034</v>
      </c>
      <c r="E1220" s="11" t="s">
        <v>1997</v>
      </c>
      <c r="F1220" s="12">
        <v>5.92</v>
      </c>
    </row>
    <row r="1221" spans="3:6" hidden="1" x14ac:dyDescent="0.3">
      <c r="C1221" s="7" t="s">
        <v>1198</v>
      </c>
      <c r="D1221" s="8" t="s">
        <v>2067</v>
      </c>
      <c r="E1221" s="8" t="s">
        <v>1979</v>
      </c>
      <c r="F1221" s="9">
        <v>1.39</v>
      </c>
    </row>
    <row r="1222" spans="3:6" hidden="1" x14ac:dyDescent="0.3">
      <c r="C1222" s="10" t="s">
        <v>1199</v>
      </c>
      <c r="D1222" s="11" t="s">
        <v>2038</v>
      </c>
      <c r="E1222" s="11" t="s">
        <v>1979</v>
      </c>
      <c r="F1222" s="12">
        <v>1.54</v>
      </c>
    </row>
    <row r="1223" spans="3:6" hidden="1" x14ac:dyDescent="0.3">
      <c r="C1223" s="7" t="s">
        <v>1200</v>
      </c>
      <c r="D1223" s="8" t="s">
        <v>2061</v>
      </c>
      <c r="E1223" s="8" t="s">
        <v>1987</v>
      </c>
      <c r="F1223" s="9">
        <v>4.41</v>
      </c>
    </row>
    <row r="1224" spans="3:6" hidden="1" x14ac:dyDescent="0.3">
      <c r="C1224" s="10" t="s">
        <v>1201</v>
      </c>
      <c r="D1224" s="11" t="s">
        <v>2053</v>
      </c>
      <c r="E1224" s="11" t="s">
        <v>1979</v>
      </c>
      <c r="F1224" s="12">
        <v>1.18</v>
      </c>
    </row>
    <row r="1225" spans="3:6" hidden="1" x14ac:dyDescent="0.3">
      <c r="C1225" s="7" t="s">
        <v>1202</v>
      </c>
      <c r="D1225" s="8" t="s">
        <v>2053</v>
      </c>
      <c r="E1225" s="8" t="s">
        <v>2015</v>
      </c>
      <c r="F1225" s="9">
        <v>4.32</v>
      </c>
    </row>
    <row r="1226" spans="3:6" hidden="1" x14ac:dyDescent="0.3">
      <c r="C1226" s="10" t="s">
        <v>1203</v>
      </c>
      <c r="D1226" s="11" t="s">
        <v>2034</v>
      </c>
      <c r="E1226" s="11" t="s">
        <v>2004</v>
      </c>
      <c r="F1226" s="12">
        <v>1.93</v>
      </c>
    </row>
    <row r="1227" spans="3:6" hidden="1" x14ac:dyDescent="0.3">
      <c r="C1227" s="7" t="s">
        <v>1204</v>
      </c>
      <c r="D1227" s="8" t="s">
        <v>2042</v>
      </c>
      <c r="E1227" s="8" t="s">
        <v>1993</v>
      </c>
      <c r="F1227" s="9">
        <v>3.76</v>
      </c>
    </row>
    <row r="1228" spans="3:6" hidden="1" x14ac:dyDescent="0.3">
      <c r="C1228" s="10" t="s">
        <v>1205</v>
      </c>
      <c r="D1228" s="11" t="s">
        <v>2035</v>
      </c>
      <c r="E1228" s="11" t="s">
        <v>2003</v>
      </c>
      <c r="F1228" s="12">
        <v>1.62</v>
      </c>
    </row>
    <row r="1229" spans="3:6" hidden="1" x14ac:dyDescent="0.3">
      <c r="C1229" s="7" t="s">
        <v>1206</v>
      </c>
      <c r="D1229" s="8" t="s">
        <v>2061</v>
      </c>
      <c r="E1229" s="8" t="s">
        <v>1986</v>
      </c>
      <c r="F1229" s="9">
        <v>1.87</v>
      </c>
    </row>
    <row r="1230" spans="3:6" hidden="1" x14ac:dyDescent="0.3">
      <c r="C1230" s="10" t="s">
        <v>1207</v>
      </c>
      <c r="D1230" s="11" t="s">
        <v>2039</v>
      </c>
      <c r="E1230" s="11" t="s">
        <v>1998</v>
      </c>
      <c r="F1230" s="12">
        <v>1.18</v>
      </c>
    </row>
    <row r="1231" spans="3:6" hidden="1" x14ac:dyDescent="0.3">
      <c r="C1231" s="7" t="s">
        <v>1208</v>
      </c>
      <c r="D1231" s="8" t="s">
        <v>1975</v>
      </c>
      <c r="E1231" s="8" t="s">
        <v>1998</v>
      </c>
      <c r="F1231" s="9">
        <v>3</v>
      </c>
    </row>
    <row r="1232" spans="3:6" hidden="1" x14ac:dyDescent="0.3">
      <c r="C1232" s="10" t="s">
        <v>1209</v>
      </c>
      <c r="D1232" s="11" t="s">
        <v>2034</v>
      </c>
      <c r="E1232" s="11" t="s">
        <v>2017</v>
      </c>
      <c r="F1232" s="12">
        <v>1.9</v>
      </c>
    </row>
    <row r="1233" spans="3:6" hidden="1" x14ac:dyDescent="0.3">
      <c r="C1233" s="7" t="s">
        <v>1210</v>
      </c>
      <c r="D1233" s="8" t="s">
        <v>2050</v>
      </c>
      <c r="E1233" s="8" t="s">
        <v>2000</v>
      </c>
      <c r="F1233" s="9">
        <v>5.75</v>
      </c>
    </row>
    <row r="1234" spans="3:6" hidden="1" x14ac:dyDescent="0.3">
      <c r="C1234" s="10" t="s">
        <v>1211</v>
      </c>
      <c r="D1234" s="11" t="s">
        <v>2043</v>
      </c>
      <c r="E1234" s="11" t="s">
        <v>2015</v>
      </c>
      <c r="F1234" s="12">
        <v>5.52</v>
      </c>
    </row>
    <row r="1235" spans="3:6" hidden="1" x14ac:dyDescent="0.3">
      <c r="C1235" s="7" t="s">
        <v>1212</v>
      </c>
      <c r="D1235" s="8" t="s">
        <v>2084</v>
      </c>
      <c r="E1235" s="8" t="s">
        <v>2022</v>
      </c>
      <c r="F1235" s="9">
        <v>1.1200000000000001</v>
      </c>
    </row>
    <row r="1236" spans="3:6" hidden="1" x14ac:dyDescent="0.3">
      <c r="C1236" s="10" t="s">
        <v>1213</v>
      </c>
      <c r="D1236" s="11" t="s">
        <v>2039</v>
      </c>
      <c r="E1236" s="11" t="s">
        <v>1998</v>
      </c>
      <c r="F1236" s="12">
        <v>0.79</v>
      </c>
    </row>
    <row r="1237" spans="3:6" hidden="1" x14ac:dyDescent="0.3">
      <c r="C1237" s="7" t="s">
        <v>1214</v>
      </c>
      <c r="D1237" s="8" t="s">
        <v>2034</v>
      </c>
      <c r="E1237" s="8" t="s">
        <v>2031</v>
      </c>
      <c r="F1237" s="9">
        <v>9.73</v>
      </c>
    </row>
    <row r="1238" spans="3:6" hidden="1" x14ac:dyDescent="0.3">
      <c r="C1238" s="10" t="s">
        <v>1215</v>
      </c>
      <c r="D1238" s="11" t="s">
        <v>2038</v>
      </c>
      <c r="E1238" s="11" t="s">
        <v>2004</v>
      </c>
      <c r="F1238" s="12">
        <v>5.97</v>
      </c>
    </row>
    <row r="1239" spans="3:6" hidden="1" x14ac:dyDescent="0.3">
      <c r="C1239" s="7" t="s">
        <v>1216</v>
      </c>
      <c r="D1239" s="8" t="s">
        <v>2034</v>
      </c>
      <c r="E1239" s="8" t="s">
        <v>1998</v>
      </c>
      <c r="F1239" s="9">
        <v>3.88</v>
      </c>
    </row>
    <row r="1240" spans="3:6" hidden="1" x14ac:dyDescent="0.3">
      <c r="C1240" s="10" t="s">
        <v>1217</v>
      </c>
      <c r="D1240" s="11" t="s">
        <v>2034</v>
      </c>
      <c r="E1240" s="11" t="s">
        <v>2025</v>
      </c>
      <c r="F1240" s="12">
        <v>1.67</v>
      </c>
    </row>
    <row r="1241" spans="3:6" hidden="1" x14ac:dyDescent="0.3">
      <c r="C1241" s="7" t="s">
        <v>1218</v>
      </c>
      <c r="D1241" s="8" t="s">
        <v>2034</v>
      </c>
      <c r="E1241" s="8" t="s">
        <v>2026</v>
      </c>
      <c r="F1241" s="9">
        <v>2.86</v>
      </c>
    </row>
    <row r="1242" spans="3:6" hidden="1" x14ac:dyDescent="0.3">
      <c r="C1242" s="10" t="s">
        <v>1219</v>
      </c>
      <c r="D1242" s="11" t="s">
        <v>2034</v>
      </c>
      <c r="E1242" s="11" t="s">
        <v>2030</v>
      </c>
      <c r="F1242" s="12">
        <v>8.74</v>
      </c>
    </row>
    <row r="1243" spans="3:6" hidden="1" x14ac:dyDescent="0.3">
      <c r="C1243" s="7" t="s">
        <v>1220</v>
      </c>
      <c r="D1243" s="8" t="s">
        <v>2051</v>
      </c>
      <c r="E1243" s="8" t="s">
        <v>2005</v>
      </c>
      <c r="F1243" s="9">
        <v>3.17</v>
      </c>
    </row>
    <row r="1244" spans="3:6" hidden="1" x14ac:dyDescent="0.3">
      <c r="C1244" s="10" t="s">
        <v>1221</v>
      </c>
      <c r="D1244" s="11" t="s">
        <v>2079</v>
      </c>
      <c r="E1244" s="11" t="s">
        <v>1979</v>
      </c>
      <c r="F1244" s="12">
        <v>1.83</v>
      </c>
    </row>
    <row r="1245" spans="3:6" hidden="1" x14ac:dyDescent="0.3">
      <c r="C1245" s="7" t="s">
        <v>1222</v>
      </c>
      <c r="D1245" s="8" t="s">
        <v>2034</v>
      </c>
      <c r="E1245" s="8" t="s">
        <v>2017</v>
      </c>
      <c r="F1245" s="9">
        <v>3.51</v>
      </c>
    </row>
    <row r="1246" spans="3:6" hidden="1" x14ac:dyDescent="0.3">
      <c r="C1246" s="10" t="s">
        <v>1223</v>
      </c>
      <c r="D1246" s="11" t="s">
        <v>2034</v>
      </c>
      <c r="E1246" s="11" t="s">
        <v>2002</v>
      </c>
      <c r="F1246" s="12">
        <v>3.33</v>
      </c>
    </row>
    <row r="1247" spans="3:6" hidden="1" x14ac:dyDescent="0.3">
      <c r="C1247" s="7" t="s">
        <v>1224</v>
      </c>
      <c r="D1247" s="8" t="s">
        <v>2038</v>
      </c>
      <c r="E1247" s="8" t="s">
        <v>2017</v>
      </c>
      <c r="F1247" s="9">
        <v>4.45</v>
      </c>
    </row>
    <row r="1248" spans="3:6" hidden="1" x14ac:dyDescent="0.3">
      <c r="C1248" s="10" t="s">
        <v>1225</v>
      </c>
      <c r="D1248" s="11" t="s">
        <v>2061</v>
      </c>
      <c r="E1248" s="11" t="s">
        <v>1979</v>
      </c>
      <c r="F1248" s="12">
        <v>2.38</v>
      </c>
    </row>
    <row r="1249" spans="3:6" hidden="1" x14ac:dyDescent="0.3">
      <c r="C1249" s="7" t="s">
        <v>1226</v>
      </c>
      <c r="D1249" s="8" t="s">
        <v>2051</v>
      </c>
      <c r="E1249" s="8" t="s">
        <v>2025</v>
      </c>
      <c r="F1249" s="9">
        <v>1.67</v>
      </c>
    </row>
    <row r="1250" spans="3:6" hidden="1" x14ac:dyDescent="0.3">
      <c r="C1250" s="10" t="s">
        <v>1227</v>
      </c>
      <c r="D1250" s="11" t="s">
        <v>2035</v>
      </c>
      <c r="E1250" s="11" t="s">
        <v>1992</v>
      </c>
      <c r="F1250" s="12">
        <v>5.47</v>
      </c>
    </row>
    <row r="1251" spans="3:6" hidden="1" x14ac:dyDescent="0.3">
      <c r="C1251" s="7" t="s">
        <v>1228</v>
      </c>
      <c r="D1251" s="8" t="s">
        <v>2065</v>
      </c>
      <c r="E1251" s="8" t="s">
        <v>1998</v>
      </c>
      <c r="F1251" s="9">
        <v>1.82</v>
      </c>
    </row>
    <row r="1252" spans="3:6" hidden="1" x14ac:dyDescent="0.3">
      <c r="C1252" s="10" t="s">
        <v>1229</v>
      </c>
      <c r="D1252" s="11" t="s">
        <v>2038</v>
      </c>
      <c r="E1252" s="11" t="s">
        <v>2027</v>
      </c>
      <c r="F1252" s="12">
        <v>1.33</v>
      </c>
    </row>
    <row r="1253" spans="3:6" hidden="1" x14ac:dyDescent="0.3">
      <c r="C1253" s="7" t="s">
        <v>1230</v>
      </c>
      <c r="D1253" s="8" t="s">
        <v>2074</v>
      </c>
      <c r="E1253" s="8" t="s">
        <v>1979</v>
      </c>
      <c r="F1253" s="9">
        <v>1.76</v>
      </c>
    </row>
    <row r="1254" spans="3:6" hidden="1" x14ac:dyDescent="0.3">
      <c r="C1254" s="10" t="s">
        <v>1231</v>
      </c>
      <c r="D1254" s="11" t="s">
        <v>2034</v>
      </c>
      <c r="E1254" s="11" t="s">
        <v>2027</v>
      </c>
      <c r="F1254" s="12">
        <v>12.61</v>
      </c>
    </row>
    <row r="1255" spans="3:6" hidden="1" x14ac:dyDescent="0.3">
      <c r="C1255" s="7" t="s">
        <v>1232</v>
      </c>
      <c r="D1255" s="8" t="s">
        <v>2034</v>
      </c>
      <c r="E1255" s="8" t="s">
        <v>1999</v>
      </c>
      <c r="F1255" s="9">
        <v>2.3199999999999998</v>
      </c>
    </row>
    <row r="1256" spans="3:6" hidden="1" x14ac:dyDescent="0.3">
      <c r="C1256" s="10" t="s">
        <v>2024</v>
      </c>
      <c r="D1256" s="11" t="s">
        <v>2038</v>
      </c>
      <c r="E1256" s="11" t="s">
        <v>2023</v>
      </c>
      <c r="F1256" s="12">
        <v>3.47</v>
      </c>
    </row>
    <row r="1257" spans="3:6" hidden="1" x14ac:dyDescent="0.3">
      <c r="C1257" s="7" t="s">
        <v>1233</v>
      </c>
      <c r="D1257" s="8" t="s">
        <v>2034</v>
      </c>
      <c r="E1257" s="8" t="s">
        <v>2005</v>
      </c>
      <c r="F1257" s="9">
        <v>1.3</v>
      </c>
    </row>
    <row r="1258" spans="3:6" hidden="1" x14ac:dyDescent="0.3">
      <c r="C1258" s="10" t="s">
        <v>1234</v>
      </c>
      <c r="D1258" s="11" t="s">
        <v>2036</v>
      </c>
      <c r="E1258" s="11" t="s">
        <v>2017</v>
      </c>
      <c r="F1258" s="12">
        <v>4.42</v>
      </c>
    </row>
    <row r="1259" spans="3:6" hidden="1" x14ac:dyDescent="0.3">
      <c r="C1259" s="7" t="s">
        <v>1235</v>
      </c>
      <c r="D1259" s="8" t="s">
        <v>2034</v>
      </c>
      <c r="E1259" s="8" t="s">
        <v>2030</v>
      </c>
      <c r="F1259" s="9">
        <v>5.69</v>
      </c>
    </row>
    <row r="1260" spans="3:6" hidden="1" x14ac:dyDescent="0.3">
      <c r="C1260" s="10" t="s">
        <v>1236</v>
      </c>
      <c r="D1260" s="11" t="s">
        <v>2034</v>
      </c>
      <c r="E1260" s="11" t="s">
        <v>1987</v>
      </c>
      <c r="F1260" s="12">
        <v>6.12</v>
      </c>
    </row>
    <row r="1261" spans="3:6" hidden="1" x14ac:dyDescent="0.3">
      <c r="C1261" s="7" t="s">
        <v>1237</v>
      </c>
      <c r="D1261" s="8" t="s">
        <v>2043</v>
      </c>
      <c r="E1261" s="8" t="s">
        <v>1987</v>
      </c>
      <c r="F1261" s="9">
        <v>4.78</v>
      </c>
    </row>
    <row r="1262" spans="3:6" hidden="1" x14ac:dyDescent="0.3">
      <c r="C1262" s="10" t="s">
        <v>1238</v>
      </c>
      <c r="D1262" s="11" t="s">
        <v>2064</v>
      </c>
      <c r="E1262" s="11" t="s">
        <v>1987</v>
      </c>
      <c r="F1262" s="12">
        <v>5.7</v>
      </c>
    </row>
    <row r="1263" spans="3:6" hidden="1" x14ac:dyDescent="0.3">
      <c r="C1263" s="7" t="s">
        <v>1239</v>
      </c>
      <c r="D1263" s="8" t="s">
        <v>2034</v>
      </c>
      <c r="E1263" s="8" t="s">
        <v>1999</v>
      </c>
      <c r="F1263" s="9">
        <v>2.42</v>
      </c>
    </row>
    <row r="1264" spans="3:6" hidden="1" x14ac:dyDescent="0.3">
      <c r="C1264" s="10" t="s">
        <v>1240</v>
      </c>
      <c r="D1264" s="11" t="s">
        <v>2034</v>
      </c>
      <c r="E1264" s="11" t="s">
        <v>2000</v>
      </c>
      <c r="F1264" s="12">
        <v>9.69</v>
      </c>
    </row>
    <row r="1265" spans="3:6" hidden="1" x14ac:dyDescent="0.3">
      <c r="C1265" s="7" t="s">
        <v>1241</v>
      </c>
      <c r="D1265" s="8" t="s">
        <v>2053</v>
      </c>
      <c r="E1265" s="8" t="s">
        <v>1987</v>
      </c>
      <c r="F1265" s="9">
        <v>4.99</v>
      </c>
    </row>
    <row r="1266" spans="3:6" hidden="1" x14ac:dyDescent="0.3">
      <c r="C1266" s="10" t="s">
        <v>1242</v>
      </c>
      <c r="D1266" s="11" t="s">
        <v>2052</v>
      </c>
      <c r="E1266" s="11" t="s">
        <v>2031</v>
      </c>
      <c r="F1266" s="12">
        <v>1.05</v>
      </c>
    </row>
    <row r="1267" spans="3:6" hidden="1" x14ac:dyDescent="0.3">
      <c r="C1267" s="7" t="s">
        <v>1243</v>
      </c>
      <c r="D1267" s="8" t="s">
        <v>2034</v>
      </c>
      <c r="E1267" s="8" t="s">
        <v>2003</v>
      </c>
      <c r="F1267" s="9">
        <v>2.35</v>
      </c>
    </row>
    <row r="1268" spans="3:6" hidden="1" x14ac:dyDescent="0.3">
      <c r="C1268" s="10" t="s">
        <v>1244</v>
      </c>
      <c r="D1268" s="11" t="s">
        <v>2039</v>
      </c>
      <c r="E1268" s="11" t="s">
        <v>2027</v>
      </c>
      <c r="F1268" s="12">
        <v>4.84</v>
      </c>
    </row>
    <row r="1269" spans="3:6" hidden="1" x14ac:dyDescent="0.3">
      <c r="C1269" s="7" t="s">
        <v>1245</v>
      </c>
      <c r="D1269" s="8" t="s">
        <v>2034</v>
      </c>
      <c r="E1269" s="8" t="s">
        <v>1998</v>
      </c>
      <c r="F1269" s="9">
        <v>1.51</v>
      </c>
    </row>
    <row r="1270" spans="3:6" hidden="1" x14ac:dyDescent="0.3">
      <c r="C1270" s="10" t="s">
        <v>1246</v>
      </c>
      <c r="D1270" s="11" t="s">
        <v>2052</v>
      </c>
      <c r="E1270" s="11" t="s">
        <v>1992</v>
      </c>
      <c r="F1270" s="12">
        <v>6.06</v>
      </c>
    </row>
    <row r="1271" spans="3:6" hidden="1" x14ac:dyDescent="0.3">
      <c r="C1271" s="7" t="s">
        <v>1247</v>
      </c>
      <c r="D1271" s="8" t="s">
        <v>2040</v>
      </c>
      <c r="E1271" s="8" t="s">
        <v>2030</v>
      </c>
      <c r="F1271" s="9">
        <v>6.24</v>
      </c>
    </row>
    <row r="1272" spans="3:6" hidden="1" x14ac:dyDescent="0.3">
      <c r="C1272" s="10" t="s">
        <v>1248</v>
      </c>
      <c r="D1272" s="11" t="s">
        <v>2034</v>
      </c>
      <c r="E1272" s="11" t="s">
        <v>1997</v>
      </c>
      <c r="F1272" s="12">
        <v>17.100000000000001</v>
      </c>
    </row>
    <row r="1273" spans="3:6" hidden="1" x14ac:dyDescent="0.3">
      <c r="C1273" s="7" t="s">
        <v>1249</v>
      </c>
      <c r="D1273" s="8" t="s">
        <v>2038</v>
      </c>
      <c r="E1273" s="8" t="s">
        <v>1998</v>
      </c>
      <c r="F1273" s="9">
        <v>4.4400000000000004</v>
      </c>
    </row>
    <row r="1274" spans="3:6" hidden="1" x14ac:dyDescent="0.3">
      <c r="C1274" s="10" t="s">
        <v>1250</v>
      </c>
      <c r="D1274" s="11" t="s">
        <v>2061</v>
      </c>
      <c r="E1274" s="11" t="s">
        <v>2031</v>
      </c>
      <c r="F1274" s="12">
        <v>3.18</v>
      </c>
    </row>
    <row r="1275" spans="3:6" hidden="1" x14ac:dyDescent="0.3">
      <c r="C1275" s="7" t="s">
        <v>1251</v>
      </c>
      <c r="D1275" s="8" t="s">
        <v>2034</v>
      </c>
      <c r="E1275" s="8" t="s">
        <v>1998</v>
      </c>
      <c r="F1275" s="9">
        <v>0.52</v>
      </c>
    </row>
    <row r="1276" spans="3:6" hidden="1" x14ac:dyDescent="0.3">
      <c r="C1276" s="10" t="s">
        <v>1252</v>
      </c>
      <c r="D1276" s="11" t="s">
        <v>2034</v>
      </c>
      <c r="E1276" s="11" t="s">
        <v>1986</v>
      </c>
      <c r="F1276" s="12">
        <v>5.47</v>
      </c>
    </row>
    <row r="1277" spans="3:6" hidden="1" x14ac:dyDescent="0.3">
      <c r="C1277" s="7" t="s">
        <v>1253</v>
      </c>
      <c r="D1277" s="8" t="s">
        <v>2035</v>
      </c>
      <c r="E1277" s="8" t="s">
        <v>2031</v>
      </c>
      <c r="F1277" s="9">
        <v>1.44</v>
      </c>
    </row>
    <row r="1278" spans="3:6" hidden="1" x14ac:dyDescent="0.3">
      <c r="C1278" s="10" t="s">
        <v>1254</v>
      </c>
      <c r="D1278" s="11" t="s">
        <v>2052</v>
      </c>
      <c r="E1278" s="11" t="s">
        <v>2023</v>
      </c>
      <c r="F1278" s="12">
        <v>2.66</v>
      </c>
    </row>
    <row r="1279" spans="3:6" hidden="1" x14ac:dyDescent="0.3">
      <c r="C1279" s="7" t="s">
        <v>1255</v>
      </c>
      <c r="D1279" s="8" t="s">
        <v>2038</v>
      </c>
      <c r="E1279" s="8" t="s">
        <v>1987</v>
      </c>
      <c r="F1279" s="9">
        <v>4.8600000000000003</v>
      </c>
    </row>
    <row r="1280" spans="3:6" hidden="1" x14ac:dyDescent="0.3">
      <c r="C1280" s="10" t="s">
        <v>1256</v>
      </c>
      <c r="D1280" s="11" t="s">
        <v>2034</v>
      </c>
      <c r="E1280" s="11" t="s">
        <v>2023</v>
      </c>
      <c r="F1280" s="12">
        <v>6.29</v>
      </c>
    </row>
    <row r="1281" spans="3:6" hidden="1" x14ac:dyDescent="0.3">
      <c r="C1281" s="7" t="s">
        <v>1257</v>
      </c>
      <c r="D1281" s="8" t="s">
        <v>2034</v>
      </c>
      <c r="E1281" s="8" t="s">
        <v>2031</v>
      </c>
      <c r="F1281" s="9">
        <v>6.41</v>
      </c>
    </row>
    <row r="1282" spans="3:6" hidden="1" x14ac:dyDescent="0.3">
      <c r="C1282" s="10" t="s">
        <v>1258</v>
      </c>
      <c r="D1282" s="11" t="s">
        <v>2038</v>
      </c>
      <c r="E1282" s="11" t="s">
        <v>1998</v>
      </c>
      <c r="F1282" s="12">
        <v>5.01</v>
      </c>
    </row>
    <row r="1283" spans="3:6" hidden="1" x14ac:dyDescent="0.3">
      <c r="C1283" s="7" t="s">
        <v>1259</v>
      </c>
      <c r="D1283" s="8" t="s">
        <v>1975</v>
      </c>
      <c r="E1283" s="8" t="s">
        <v>1998</v>
      </c>
      <c r="F1283" s="9">
        <v>0.53</v>
      </c>
    </row>
    <row r="1284" spans="3:6" hidden="1" x14ac:dyDescent="0.3">
      <c r="C1284" s="10" t="s">
        <v>1260</v>
      </c>
      <c r="D1284" s="11" t="s">
        <v>2063</v>
      </c>
      <c r="E1284" s="11" t="s">
        <v>1992</v>
      </c>
      <c r="F1284" s="12">
        <v>6.19</v>
      </c>
    </row>
    <row r="1285" spans="3:6" hidden="1" x14ac:dyDescent="0.3">
      <c r="C1285" s="7" t="s">
        <v>1261</v>
      </c>
      <c r="D1285" s="8" t="s">
        <v>2034</v>
      </c>
      <c r="E1285" s="8" t="s">
        <v>2025</v>
      </c>
      <c r="F1285" s="9">
        <v>1.07</v>
      </c>
    </row>
    <row r="1286" spans="3:6" hidden="1" x14ac:dyDescent="0.3">
      <c r="C1286" s="10" t="s">
        <v>1262</v>
      </c>
      <c r="D1286" s="11" t="s">
        <v>2034</v>
      </c>
      <c r="E1286" s="11" t="s">
        <v>2030</v>
      </c>
      <c r="F1286" s="12">
        <v>11.21</v>
      </c>
    </row>
    <row r="1287" spans="3:6" hidden="1" x14ac:dyDescent="0.3">
      <c r="C1287" s="7" t="s">
        <v>1263</v>
      </c>
      <c r="D1287" s="8" t="s">
        <v>2070</v>
      </c>
      <c r="E1287" s="8" t="s">
        <v>1979</v>
      </c>
      <c r="F1287" s="9">
        <v>1.29</v>
      </c>
    </row>
    <row r="1288" spans="3:6" hidden="1" x14ac:dyDescent="0.3">
      <c r="C1288" s="10" t="s">
        <v>1994</v>
      </c>
      <c r="D1288" s="11" t="s">
        <v>2038</v>
      </c>
      <c r="E1288" s="11" t="s">
        <v>1993</v>
      </c>
      <c r="F1288" s="12">
        <v>4.59</v>
      </c>
    </row>
    <row r="1289" spans="3:6" hidden="1" x14ac:dyDescent="0.3">
      <c r="C1289" s="7" t="s">
        <v>1264</v>
      </c>
      <c r="D1289" s="8" t="s">
        <v>2037</v>
      </c>
      <c r="E1289" s="8" t="s">
        <v>2005</v>
      </c>
      <c r="F1289" s="9">
        <v>5.16</v>
      </c>
    </row>
    <row r="1290" spans="3:6" hidden="1" x14ac:dyDescent="0.3">
      <c r="C1290" s="10" t="s">
        <v>1265</v>
      </c>
      <c r="D1290" s="11" t="s">
        <v>2034</v>
      </c>
      <c r="E1290" s="11" t="s">
        <v>2003</v>
      </c>
      <c r="F1290" s="12">
        <v>1.74</v>
      </c>
    </row>
    <row r="1291" spans="3:6" hidden="1" x14ac:dyDescent="0.3">
      <c r="C1291" s="7" t="s">
        <v>1266</v>
      </c>
      <c r="D1291" s="8" t="s">
        <v>2050</v>
      </c>
      <c r="E1291" s="8" t="s">
        <v>1979</v>
      </c>
      <c r="F1291" s="9">
        <v>1.25</v>
      </c>
    </row>
    <row r="1292" spans="3:6" hidden="1" x14ac:dyDescent="0.3">
      <c r="C1292" s="10" t="s">
        <v>1267</v>
      </c>
      <c r="D1292" s="11" t="s">
        <v>2065</v>
      </c>
      <c r="E1292" s="11" t="s">
        <v>2027</v>
      </c>
      <c r="F1292" s="12">
        <v>7.08</v>
      </c>
    </row>
    <row r="1293" spans="3:6" hidden="1" x14ac:dyDescent="0.3">
      <c r="C1293" s="7" t="s">
        <v>1268</v>
      </c>
      <c r="D1293" s="8" t="s">
        <v>2039</v>
      </c>
      <c r="E1293" s="8" t="s">
        <v>1986</v>
      </c>
      <c r="F1293" s="9">
        <v>7.19</v>
      </c>
    </row>
    <row r="1294" spans="3:6" hidden="1" x14ac:dyDescent="0.3">
      <c r="C1294" s="10" t="s">
        <v>1269</v>
      </c>
      <c r="D1294" s="11" t="s">
        <v>2035</v>
      </c>
      <c r="E1294" s="11" t="s">
        <v>2031</v>
      </c>
      <c r="F1294" s="12">
        <v>3.14</v>
      </c>
    </row>
    <row r="1295" spans="3:6" hidden="1" x14ac:dyDescent="0.3">
      <c r="C1295" s="7" t="s">
        <v>1270</v>
      </c>
      <c r="D1295" s="8" t="s">
        <v>2034</v>
      </c>
      <c r="E1295" s="8" t="s">
        <v>2028</v>
      </c>
      <c r="F1295" s="9">
        <v>1.8</v>
      </c>
    </row>
    <row r="1296" spans="3:6" hidden="1" x14ac:dyDescent="0.3">
      <c r="C1296" s="10" t="s">
        <v>1271</v>
      </c>
      <c r="D1296" s="11" t="s">
        <v>2045</v>
      </c>
      <c r="E1296" s="11" t="s">
        <v>2005</v>
      </c>
      <c r="F1296" s="12">
        <v>6.21</v>
      </c>
    </row>
    <row r="1297" spans="3:6" hidden="1" x14ac:dyDescent="0.3">
      <c r="C1297" s="7" t="s">
        <v>1272</v>
      </c>
      <c r="D1297" s="8" t="s">
        <v>2057</v>
      </c>
      <c r="E1297" s="8" t="s">
        <v>1987</v>
      </c>
      <c r="F1297" s="9">
        <v>3.49</v>
      </c>
    </row>
    <row r="1298" spans="3:6" hidden="1" x14ac:dyDescent="0.3">
      <c r="C1298" s="10" t="s">
        <v>1273</v>
      </c>
      <c r="D1298" s="11" t="s">
        <v>2034</v>
      </c>
      <c r="E1298" s="11" t="s">
        <v>1993</v>
      </c>
      <c r="F1298" s="12">
        <v>2.9</v>
      </c>
    </row>
    <row r="1299" spans="3:6" hidden="1" x14ac:dyDescent="0.3">
      <c r="C1299" s="7" t="s">
        <v>1274</v>
      </c>
      <c r="D1299" s="8" t="s">
        <v>2034</v>
      </c>
      <c r="E1299" s="8" t="s">
        <v>2015</v>
      </c>
      <c r="F1299" s="9">
        <v>5.75</v>
      </c>
    </row>
    <row r="1300" spans="3:6" hidden="1" x14ac:dyDescent="0.3">
      <c r="C1300" s="10" t="s">
        <v>1275</v>
      </c>
      <c r="D1300" s="11" t="s">
        <v>2035</v>
      </c>
      <c r="E1300" s="11" t="s">
        <v>2031</v>
      </c>
      <c r="F1300" s="12">
        <v>1.47</v>
      </c>
    </row>
    <row r="1301" spans="3:6" hidden="1" x14ac:dyDescent="0.3">
      <c r="C1301" s="7" t="s">
        <v>1276</v>
      </c>
      <c r="D1301" s="8" t="s">
        <v>2034</v>
      </c>
      <c r="E1301" s="8" t="s">
        <v>2005</v>
      </c>
      <c r="F1301" s="9">
        <v>2.0699999999999998</v>
      </c>
    </row>
    <row r="1302" spans="3:6" hidden="1" x14ac:dyDescent="0.3">
      <c r="C1302" s="10" t="s">
        <v>1277</v>
      </c>
      <c r="D1302" s="11" t="s">
        <v>2034</v>
      </c>
      <c r="E1302" s="11" t="s">
        <v>1979</v>
      </c>
      <c r="F1302" s="12">
        <v>0.89</v>
      </c>
    </row>
    <row r="1303" spans="3:6" hidden="1" x14ac:dyDescent="0.3">
      <c r="C1303" s="7" t="s">
        <v>1278</v>
      </c>
      <c r="D1303" s="8" t="s">
        <v>2061</v>
      </c>
      <c r="E1303" s="8" t="s">
        <v>1979</v>
      </c>
      <c r="F1303" s="9">
        <v>2.16</v>
      </c>
    </row>
    <row r="1304" spans="3:6" hidden="1" x14ac:dyDescent="0.3">
      <c r="C1304" s="10" t="s">
        <v>1279</v>
      </c>
      <c r="D1304" s="11" t="s">
        <v>2037</v>
      </c>
      <c r="E1304" s="11" t="s">
        <v>2002</v>
      </c>
      <c r="F1304" s="12">
        <v>1.93</v>
      </c>
    </row>
    <row r="1305" spans="3:6" hidden="1" x14ac:dyDescent="0.3">
      <c r="C1305" s="7" t="s">
        <v>1280</v>
      </c>
      <c r="D1305" s="8" t="s">
        <v>2085</v>
      </c>
      <c r="E1305" s="8" t="s">
        <v>2028</v>
      </c>
      <c r="F1305" s="9">
        <v>2.06</v>
      </c>
    </row>
    <row r="1306" spans="3:6" hidden="1" x14ac:dyDescent="0.3">
      <c r="C1306" s="10" t="s">
        <v>1281</v>
      </c>
      <c r="D1306" s="11" t="s">
        <v>2038</v>
      </c>
      <c r="E1306" s="11" t="s">
        <v>1999</v>
      </c>
      <c r="F1306" s="12">
        <v>2.61</v>
      </c>
    </row>
    <row r="1307" spans="3:6" hidden="1" x14ac:dyDescent="0.3">
      <c r="C1307" s="7" t="s">
        <v>1282</v>
      </c>
      <c r="D1307" s="8" t="s">
        <v>2047</v>
      </c>
      <c r="E1307" s="8" t="s">
        <v>2015</v>
      </c>
      <c r="F1307" s="9">
        <v>3.15</v>
      </c>
    </row>
    <row r="1308" spans="3:6" hidden="1" x14ac:dyDescent="0.3">
      <c r="C1308" s="10" t="s">
        <v>1283</v>
      </c>
      <c r="D1308" s="11" t="s">
        <v>2064</v>
      </c>
      <c r="E1308" s="11" t="s">
        <v>1979</v>
      </c>
      <c r="F1308" s="12">
        <v>3.31</v>
      </c>
    </row>
    <row r="1309" spans="3:6" hidden="1" x14ac:dyDescent="0.3">
      <c r="C1309" s="7" t="s">
        <v>1284</v>
      </c>
      <c r="D1309" s="8" t="s">
        <v>2037</v>
      </c>
      <c r="E1309" s="8" t="s">
        <v>1979</v>
      </c>
      <c r="F1309" s="9">
        <v>1.26</v>
      </c>
    </row>
    <row r="1310" spans="3:6" hidden="1" x14ac:dyDescent="0.3">
      <c r="C1310" s="10" t="s">
        <v>1285</v>
      </c>
      <c r="D1310" s="11" t="s">
        <v>2047</v>
      </c>
      <c r="E1310" s="11" t="s">
        <v>2017</v>
      </c>
      <c r="F1310" s="12">
        <v>8.7799999999999994</v>
      </c>
    </row>
    <row r="1311" spans="3:6" hidden="1" x14ac:dyDescent="0.3">
      <c r="C1311" s="7" t="s">
        <v>1286</v>
      </c>
      <c r="D1311" s="8" t="s">
        <v>2034</v>
      </c>
      <c r="E1311" s="8" t="s">
        <v>1978</v>
      </c>
      <c r="F1311" s="9">
        <v>3.4</v>
      </c>
    </row>
    <row r="1312" spans="3:6" hidden="1" x14ac:dyDescent="0.3">
      <c r="C1312" s="10" t="s">
        <v>1287</v>
      </c>
      <c r="D1312" s="11" t="s">
        <v>2034</v>
      </c>
      <c r="E1312" s="11" t="s">
        <v>1998</v>
      </c>
      <c r="F1312" s="12">
        <v>1.52</v>
      </c>
    </row>
    <row r="1313" spans="3:7" hidden="1" x14ac:dyDescent="0.3">
      <c r="C1313" s="7" t="s">
        <v>1288</v>
      </c>
      <c r="D1313" s="8" t="s">
        <v>2039</v>
      </c>
      <c r="E1313" s="8" t="s">
        <v>1993</v>
      </c>
      <c r="F1313" s="9">
        <v>3.9</v>
      </c>
    </row>
    <row r="1314" spans="3:7" hidden="1" x14ac:dyDescent="0.3">
      <c r="C1314" s="10" t="s">
        <v>1289</v>
      </c>
      <c r="D1314" s="11" t="s">
        <v>2045</v>
      </c>
      <c r="E1314" s="11" t="s">
        <v>1988</v>
      </c>
      <c r="F1314" s="12">
        <v>3.79</v>
      </c>
    </row>
    <row r="1315" spans="3:7" hidden="1" x14ac:dyDescent="0.3">
      <c r="C1315" s="7" t="s">
        <v>1290</v>
      </c>
      <c r="D1315" s="8" t="s">
        <v>2038</v>
      </c>
      <c r="E1315" s="8" t="s">
        <v>1987</v>
      </c>
      <c r="F1315" s="9">
        <v>5.42</v>
      </c>
    </row>
    <row r="1316" spans="3:7" x14ac:dyDescent="0.3">
      <c r="C1316" s="10" t="s">
        <v>1155</v>
      </c>
      <c r="D1316" s="11" t="s">
        <v>2046</v>
      </c>
      <c r="E1316" s="11" t="s">
        <v>2015</v>
      </c>
      <c r="F1316" s="12">
        <v>3.64</v>
      </c>
      <c r="G1316" s="26">
        <f>F1316*$G$2</f>
        <v>0.72800000000000009</v>
      </c>
    </row>
    <row r="1317" spans="3:7" hidden="1" x14ac:dyDescent="0.3">
      <c r="C1317" s="7" t="s">
        <v>1292</v>
      </c>
      <c r="D1317" s="8" t="s">
        <v>2034</v>
      </c>
      <c r="E1317" s="8" t="s">
        <v>1998</v>
      </c>
      <c r="F1317" s="9">
        <v>0.98</v>
      </c>
    </row>
    <row r="1318" spans="3:7" hidden="1" x14ac:dyDescent="0.3">
      <c r="C1318" s="10" t="s">
        <v>1293</v>
      </c>
      <c r="D1318" s="11" t="s">
        <v>2052</v>
      </c>
      <c r="E1318" s="11" t="s">
        <v>2029</v>
      </c>
      <c r="F1318" s="12">
        <v>6.07</v>
      </c>
    </row>
    <row r="1319" spans="3:7" hidden="1" x14ac:dyDescent="0.3">
      <c r="C1319" s="7" t="s">
        <v>1294</v>
      </c>
      <c r="D1319" s="8" t="s">
        <v>2035</v>
      </c>
      <c r="E1319" s="8" t="s">
        <v>2015</v>
      </c>
      <c r="F1319" s="9">
        <v>8.77</v>
      </c>
    </row>
    <row r="1320" spans="3:7" hidden="1" x14ac:dyDescent="0.3">
      <c r="C1320" s="10" t="s">
        <v>1295</v>
      </c>
      <c r="D1320" s="11" t="s">
        <v>2039</v>
      </c>
      <c r="E1320" s="11" t="s">
        <v>2002</v>
      </c>
      <c r="F1320" s="12">
        <v>3.07</v>
      </c>
    </row>
    <row r="1321" spans="3:7" hidden="1" x14ac:dyDescent="0.3">
      <c r="C1321" s="7" t="s">
        <v>1296</v>
      </c>
      <c r="D1321" s="8" t="s">
        <v>2034</v>
      </c>
      <c r="E1321" s="8" t="s">
        <v>2027</v>
      </c>
      <c r="F1321" s="9">
        <v>2.31</v>
      </c>
    </row>
    <row r="1322" spans="3:7" hidden="1" x14ac:dyDescent="0.3">
      <c r="C1322" s="10" t="s">
        <v>1297</v>
      </c>
      <c r="D1322" s="11" t="s">
        <v>2038</v>
      </c>
      <c r="E1322" s="11" t="s">
        <v>1988</v>
      </c>
      <c r="F1322" s="12">
        <v>9.36</v>
      </c>
    </row>
    <row r="1323" spans="3:7" hidden="1" x14ac:dyDescent="0.3">
      <c r="C1323" s="7" t="s">
        <v>1298</v>
      </c>
      <c r="D1323" s="8" t="s">
        <v>2054</v>
      </c>
      <c r="E1323" s="8" t="s">
        <v>1979</v>
      </c>
      <c r="F1323" s="9">
        <v>1.1399999999999999</v>
      </c>
    </row>
    <row r="1324" spans="3:7" hidden="1" x14ac:dyDescent="0.3">
      <c r="C1324" s="10" t="s">
        <v>1299</v>
      </c>
      <c r="D1324" s="11" t="s">
        <v>2038</v>
      </c>
      <c r="E1324" s="11" t="s">
        <v>2023</v>
      </c>
      <c r="F1324" s="12">
        <v>11.4</v>
      </c>
    </row>
    <row r="1325" spans="3:7" hidden="1" x14ac:dyDescent="0.3">
      <c r="C1325" s="7" t="s">
        <v>1300</v>
      </c>
      <c r="D1325" s="8" t="s">
        <v>2035</v>
      </c>
      <c r="E1325" s="8" t="s">
        <v>2015</v>
      </c>
      <c r="F1325" s="9">
        <v>1.99</v>
      </c>
    </row>
    <row r="1326" spans="3:7" hidden="1" x14ac:dyDescent="0.3">
      <c r="C1326" s="10" t="s">
        <v>1301</v>
      </c>
      <c r="D1326" s="11" t="s">
        <v>2034</v>
      </c>
      <c r="E1326" s="11" t="s">
        <v>2025</v>
      </c>
      <c r="F1326" s="12">
        <v>2.0099999999999998</v>
      </c>
    </row>
    <row r="1327" spans="3:7" hidden="1" x14ac:dyDescent="0.3">
      <c r="C1327" s="7" t="s">
        <v>1302</v>
      </c>
      <c r="D1327" s="8" t="s">
        <v>2034</v>
      </c>
      <c r="E1327" s="8" t="s">
        <v>2015</v>
      </c>
      <c r="F1327" s="9">
        <v>8.4</v>
      </c>
    </row>
    <row r="1328" spans="3:7" hidden="1" x14ac:dyDescent="0.3">
      <c r="C1328" s="10" t="s">
        <v>1303</v>
      </c>
      <c r="D1328" s="11" t="s">
        <v>2034</v>
      </c>
      <c r="E1328" s="11" t="s">
        <v>2005</v>
      </c>
      <c r="F1328" s="12">
        <v>2.85</v>
      </c>
    </row>
    <row r="1329" spans="3:6" hidden="1" x14ac:dyDescent="0.3">
      <c r="C1329" s="7" t="s">
        <v>1304</v>
      </c>
      <c r="D1329" s="8" t="s">
        <v>2034</v>
      </c>
      <c r="E1329" s="8" t="s">
        <v>2002</v>
      </c>
      <c r="F1329" s="9">
        <v>3.71</v>
      </c>
    </row>
    <row r="1330" spans="3:6" hidden="1" x14ac:dyDescent="0.3">
      <c r="C1330" s="10" t="s">
        <v>1305</v>
      </c>
      <c r="D1330" s="11" t="s">
        <v>2034</v>
      </c>
      <c r="E1330" s="11" t="s">
        <v>2028</v>
      </c>
      <c r="F1330" s="12">
        <v>2.48</v>
      </c>
    </row>
    <row r="1331" spans="3:6" hidden="1" x14ac:dyDescent="0.3">
      <c r="C1331" s="7" t="s">
        <v>1306</v>
      </c>
      <c r="D1331" s="8" t="s">
        <v>2035</v>
      </c>
      <c r="E1331" s="8" t="s">
        <v>1998</v>
      </c>
      <c r="F1331" s="9">
        <v>0.65</v>
      </c>
    </row>
    <row r="1332" spans="3:6" hidden="1" x14ac:dyDescent="0.3">
      <c r="C1332" s="10" t="s">
        <v>1307</v>
      </c>
      <c r="D1332" s="11" t="s">
        <v>1975</v>
      </c>
      <c r="E1332" s="11" t="s">
        <v>1998</v>
      </c>
      <c r="F1332" s="12">
        <v>0.72</v>
      </c>
    </row>
    <row r="1333" spans="3:6" hidden="1" x14ac:dyDescent="0.3">
      <c r="C1333" s="7" t="s">
        <v>2033</v>
      </c>
      <c r="D1333" s="8" t="s">
        <v>2034</v>
      </c>
      <c r="E1333" s="8" t="s">
        <v>2031</v>
      </c>
      <c r="F1333" s="9">
        <v>7.4</v>
      </c>
    </row>
    <row r="1334" spans="3:6" hidden="1" x14ac:dyDescent="0.3">
      <c r="C1334" s="10" t="s">
        <v>1308</v>
      </c>
      <c r="D1334" s="11" t="s">
        <v>2067</v>
      </c>
      <c r="E1334" s="11" t="s">
        <v>2022</v>
      </c>
      <c r="F1334" s="12">
        <v>6.06</v>
      </c>
    </row>
    <row r="1335" spans="3:6" hidden="1" x14ac:dyDescent="0.3">
      <c r="C1335" s="7" t="s">
        <v>1309</v>
      </c>
      <c r="D1335" s="8" t="s">
        <v>2034</v>
      </c>
      <c r="E1335" s="8" t="s">
        <v>1993</v>
      </c>
      <c r="F1335" s="9">
        <v>5.35</v>
      </c>
    </row>
    <row r="1336" spans="3:6" hidden="1" x14ac:dyDescent="0.3">
      <c r="C1336" s="10" t="s">
        <v>1310</v>
      </c>
      <c r="D1336" s="11" t="s">
        <v>2056</v>
      </c>
      <c r="E1336" s="11" t="s">
        <v>1979</v>
      </c>
      <c r="F1336" s="12">
        <v>3.4</v>
      </c>
    </row>
    <row r="1337" spans="3:6" hidden="1" x14ac:dyDescent="0.3">
      <c r="C1337" s="7" t="s">
        <v>1311</v>
      </c>
      <c r="D1337" s="8" t="s">
        <v>2040</v>
      </c>
      <c r="E1337" s="8" t="s">
        <v>1998</v>
      </c>
      <c r="F1337" s="9">
        <v>1.1299999999999999</v>
      </c>
    </row>
    <row r="1338" spans="3:6" hidden="1" x14ac:dyDescent="0.3">
      <c r="C1338" s="10" t="s">
        <v>1312</v>
      </c>
      <c r="D1338" s="11" t="s">
        <v>2038</v>
      </c>
      <c r="E1338" s="11" t="s">
        <v>1988</v>
      </c>
      <c r="F1338" s="12">
        <v>3.8</v>
      </c>
    </row>
    <row r="1339" spans="3:6" hidden="1" x14ac:dyDescent="0.3">
      <c r="C1339" s="7" t="s">
        <v>1313</v>
      </c>
      <c r="D1339" s="8" t="s">
        <v>2034</v>
      </c>
      <c r="E1339" s="8" t="s">
        <v>1986</v>
      </c>
      <c r="F1339" s="9">
        <v>2.35</v>
      </c>
    </row>
    <row r="1340" spans="3:6" hidden="1" x14ac:dyDescent="0.3">
      <c r="C1340" s="10" t="s">
        <v>1314</v>
      </c>
      <c r="D1340" s="11" t="s">
        <v>2061</v>
      </c>
      <c r="E1340" s="11" t="s">
        <v>2028</v>
      </c>
      <c r="F1340" s="12">
        <v>1.86</v>
      </c>
    </row>
    <row r="1341" spans="3:6" hidden="1" x14ac:dyDescent="0.3">
      <c r="C1341" s="7" t="s">
        <v>1315</v>
      </c>
      <c r="D1341" s="8" t="s">
        <v>2045</v>
      </c>
      <c r="E1341" s="8" t="s">
        <v>2030</v>
      </c>
      <c r="F1341" s="9">
        <v>3.72</v>
      </c>
    </row>
    <row r="1342" spans="3:6" hidden="1" x14ac:dyDescent="0.3">
      <c r="C1342" s="10" t="s">
        <v>1316</v>
      </c>
      <c r="D1342" s="11" t="s">
        <v>2067</v>
      </c>
      <c r="E1342" s="11" t="s">
        <v>2028</v>
      </c>
      <c r="F1342" s="12">
        <v>2.48</v>
      </c>
    </row>
    <row r="1343" spans="3:6" hidden="1" x14ac:dyDescent="0.3">
      <c r="C1343" s="7" t="s">
        <v>1317</v>
      </c>
      <c r="D1343" s="8" t="s">
        <v>2034</v>
      </c>
      <c r="E1343" s="8" t="s">
        <v>2030</v>
      </c>
      <c r="F1343" s="9">
        <v>3.9</v>
      </c>
    </row>
    <row r="1344" spans="3:6" hidden="1" x14ac:dyDescent="0.3">
      <c r="C1344" s="10" t="s">
        <v>1318</v>
      </c>
      <c r="D1344" s="11" t="s">
        <v>2041</v>
      </c>
      <c r="E1344" s="11" t="s">
        <v>2005</v>
      </c>
      <c r="F1344" s="12">
        <v>4.6500000000000004</v>
      </c>
    </row>
    <row r="1345" spans="3:6" hidden="1" x14ac:dyDescent="0.3">
      <c r="C1345" s="7" t="s">
        <v>1319</v>
      </c>
      <c r="D1345" s="8" t="s">
        <v>2038</v>
      </c>
      <c r="E1345" s="8" t="s">
        <v>1998</v>
      </c>
      <c r="F1345" s="9">
        <v>5.04</v>
      </c>
    </row>
    <row r="1346" spans="3:6" hidden="1" x14ac:dyDescent="0.3">
      <c r="C1346" s="10" t="s">
        <v>1320</v>
      </c>
      <c r="D1346" s="11" t="s">
        <v>2034</v>
      </c>
      <c r="E1346" s="11" t="s">
        <v>1998</v>
      </c>
      <c r="F1346" s="12">
        <v>1.25</v>
      </c>
    </row>
    <row r="1347" spans="3:6" hidden="1" x14ac:dyDescent="0.3">
      <c r="C1347" s="7" t="s">
        <v>1321</v>
      </c>
      <c r="D1347" s="8" t="s">
        <v>2038</v>
      </c>
      <c r="E1347" s="8" t="s">
        <v>2026</v>
      </c>
      <c r="F1347" s="9">
        <v>2.23</v>
      </c>
    </row>
    <row r="1348" spans="3:6" hidden="1" x14ac:dyDescent="0.3">
      <c r="C1348" s="10" t="s">
        <v>1322</v>
      </c>
      <c r="D1348" s="11" t="s">
        <v>2043</v>
      </c>
      <c r="E1348" s="11" t="s">
        <v>2015</v>
      </c>
      <c r="F1348" s="12">
        <v>4.68</v>
      </c>
    </row>
    <row r="1349" spans="3:6" hidden="1" x14ac:dyDescent="0.3">
      <c r="C1349" s="7" t="s">
        <v>1323</v>
      </c>
      <c r="D1349" s="8" t="s">
        <v>2043</v>
      </c>
      <c r="E1349" s="8" t="s">
        <v>1993</v>
      </c>
      <c r="F1349" s="9">
        <v>4.6500000000000004</v>
      </c>
    </row>
    <row r="1350" spans="3:6" hidden="1" x14ac:dyDescent="0.3">
      <c r="C1350" s="10" t="s">
        <v>1324</v>
      </c>
      <c r="D1350" s="11" t="s">
        <v>2034</v>
      </c>
      <c r="E1350" s="11" t="s">
        <v>2001</v>
      </c>
      <c r="F1350" s="12">
        <v>5.41</v>
      </c>
    </row>
    <row r="1351" spans="3:6" hidden="1" x14ac:dyDescent="0.3">
      <c r="C1351" s="7" t="s">
        <v>1325</v>
      </c>
      <c r="D1351" s="8" t="s">
        <v>2034</v>
      </c>
      <c r="E1351" s="8" t="s">
        <v>1997</v>
      </c>
      <c r="F1351" s="9">
        <v>16.98</v>
      </c>
    </row>
    <row r="1352" spans="3:6" hidden="1" x14ac:dyDescent="0.3">
      <c r="C1352" s="10" t="s">
        <v>1326</v>
      </c>
      <c r="D1352" s="11" t="s">
        <v>2035</v>
      </c>
      <c r="E1352" s="11" t="s">
        <v>1993</v>
      </c>
      <c r="F1352" s="12">
        <v>6.72</v>
      </c>
    </row>
    <row r="1353" spans="3:6" hidden="1" x14ac:dyDescent="0.3">
      <c r="C1353" s="7" t="s">
        <v>1327</v>
      </c>
      <c r="D1353" s="8" t="s">
        <v>2034</v>
      </c>
      <c r="E1353" s="8" t="s">
        <v>1998</v>
      </c>
      <c r="F1353" s="9">
        <v>0.66</v>
      </c>
    </row>
    <row r="1354" spans="3:6" hidden="1" x14ac:dyDescent="0.3">
      <c r="C1354" s="10" t="s">
        <v>1328</v>
      </c>
      <c r="D1354" s="11" t="s">
        <v>2034</v>
      </c>
      <c r="E1354" s="11" t="s">
        <v>2025</v>
      </c>
      <c r="F1354" s="12">
        <v>1.95</v>
      </c>
    </row>
    <row r="1355" spans="3:6" hidden="1" x14ac:dyDescent="0.3">
      <c r="C1355" s="7" t="s">
        <v>1329</v>
      </c>
      <c r="D1355" s="8" t="s">
        <v>2043</v>
      </c>
      <c r="E1355" s="8" t="s">
        <v>1988</v>
      </c>
      <c r="F1355" s="9">
        <v>7.71</v>
      </c>
    </row>
    <row r="1356" spans="3:6" hidden="1" x14ac:dyDescent="0.3">
      <c r="C1356" s="10" t="s">
        <v>1330</v>
      </c>
      <c r="D1356" s="11" t="s">
        <v>2045</v>
      </c>
      <c r="E1356" s="11" t="s">
        <v>2030</v>
      </c>
      <c r="F1356" s="12">
        <v>3.89</v>
      </c>
    </row>
    <row r="1357" spans="3:6" hidden="1" x14ac:dyDescent="0.3">
      <c r="C1357" s="7" t="s">
        <v>1331</v>
      </c>
      <c r="D1357" s="8" t="s">
        <v>2034</v>
      </c>
      <c r="E1357" s="8" t="s">
        <v>1986</v>
      </c>
      <c r="F1357" s="9">
        <v>3.22</v>
      </c>
    </row>
    <row r="1358" spans="3:6" hidden="1" x14ac:dyDescent="0.3">
      <c r="C1358" s="10" t="s">
        <v>1332</v>
      </c>
      <c r="D1358" s="11" t="s">
        <v>2034</v>
      </c>
      <c r="E1358" s="11" t="s">
        <v>2028</v>
      </c>
      <c r="F1358" s="12">
        <v>0.94</v>
      </c>
    </row>
    <row r="1359" spans="3:6" hidden="1" x14ac:dyDescent="0.3">
      <c r="C1359" s="7" t="s">
        <v>1333</v>
      </c>
      <c r="D1359" s="8" t="s">
        <v>2034</v>
      </c>
      <c r="E1359" s="8" t="s">
        <v>1979</v>
      </c>
      <c r="F1359" s="9">
        <v>1.78</v>
      </c>
    </row>
    <row r="1360" spans="3:6" hidden="1" x14ac:dyDescent="0.3">
      <c r="C1360" s="10" t="s">
        <v>1334</v>
      </c>
      <c r="D1360" s="11" t="s">
        <v>2043</v>
      </c>
      <c r="E1360" s="11" t="s">
        <v>1998</v>
      </c>
      <c r="F1360" s="12">
        <v>0.49</v>
      </c>
    </row>
    <row r="1361" spans="3:6" hidden="1" x14ac:dyDescent="0.3">
      <c r="C1361" s="7" t="s">
        <v>1335</v>
      </c>
      <c r="D1361" s="8" t="s">
        <v>2086</v>
      </c>
      <c r="E1361" s="8" t="s">
        <v>2028</v>
      </c>
      <c r="F1361" s="9">
        <v>2.25</v>
      </c>
    </row>
    <row r="1362" spans="3:6" hidden="1" x14ac:dyDescent="0.3">
      <c r="C1362" s="10" t="s">
        <v>1336</v>
      </c>
      <c r="D1362" s="11" t="s">
        <v>2034</v>
      </c>
      <c r="E1362" s="11" t="s">
        <v>2002</v>
      </c>
      <c r="F1362" s="12">
        <v>2.97</v>
      </c>
    </row>
    <row r="1363" spans="3:6" hidden="1" x14ac:dyDescent="0.3">
      <c r="C1363" s="7" t="s">
        <v>1337</v>
      </c>
      <c r="D1363" s="8" t="s">
        <v>2038</v>
      </c>
      <c r="E1363" s="8" t="s">
        <v>1987</v>
      </c>
      <c r="F1363" s="9">
        <v>7.88</v>
      </c>
    </row>
    <row r="1364" spans="3:6" hidden="1" x14ac:dyDescent="0.3">
      <c r="C1364" s="10" t="s">
        <v>1338</v>
      </c>
      <c r="D1364" s="11" t="s">
        <v>2034</v>
      </c>
      <c r="E1364" s="11" t="s">
        <v>2002</v>
      </c>
      <c r="F1364" s="12">
        <v>1.96</v>
      </c>
    </row>
    <row r="1365" spans="3:6" hidden="1" x14ac:dyDescent="0.3">
      <c r="C1365" s="7" t="s">
        <v>1339</v>
      </c>
      <c r="D1365" s="8" t="s">
        <v>2034</v>
      </c>
      <c r="E1365" s="8" t="s">
        <v>2015</v>
      </c>
      <c r="F1365" s="9">
        <v>4.09</v>
      </c>
    </row>
    <row r="1366" spans="3:6" hidden="1" x14ac:dyDescent="0.3">
      <c r="C1366" s="10" t="s">
        <v>1340</v>
      </c>
      <c r="D1366" s="11" t="s">
        <v>2038</v>
      </c>
      <c r="E1366" s="11" t="s">
        <v>2030</v>
      </c>
      <c r="F1366" s="12">
        <v>7.38</v>
      </c>
    </row>
    <row r="1367" spans="3:6" hidden="1" x14ac:dyDescent="0.3">
      <c r="C1367" s="7" t="s">
        <v>1341</v>
      </c>
      <c r="D1367" s="8" t="s">
        <v>2038</v>
      </c>
      <c r="E1367" s="8" t="s">
        <v>2015</v>
      </c>
      <c r="F1367" s="9">
        <v>6.53</v>
      </c>
    </row>
    <row r="1368" spans="3:6" hidden="1" x14ac:dyDescent="0.3">
      <c r="C1368" s="10" t="s">
        <v>1342</v>
      </c>
      <c r="D1368" s="11" t="s">
        <v>2042</v>
      </c>
      <c r="E1368" s="11" t="s">
        <v>1979</v>
      </c>
      <c r="F1368" s="12">
        <v>1.58</v>
      </c>
    </row>
    <row r="1369" spans="3:6" hidden="1" x14ac:dyDescent="0.3">
      <c r="C1369" s="7" t="s">
        <v>1343</v>
      </c>
      <c r="D1369" s="8" t="s">
        <v>2034</v>
      </c>
      <c r="E1369" s="8" t="s">
        <v>2017</v>
      </c>
      <c r="F1369" s="9">
        <v>5.19</v>
      </c>
    </row>
    <row r="1370" spans="3:6" hidden="1" x14ac:dyDescent="0.3">
      <c r="C1370" s="10" t="s">
        <v>1344</v>
      </c>
      <c r="D1370" s="11" t="s">
        <v>2034</v>
      </c>
      <c r="E1370" s="11" t="s">
        <v>2026</v>
      </c>
      <c r="F1370" s="12">
        <v>2.1800000000000002</v>
      </c>
    </row>
    <row r="1371" spans="3:6" hidden="1" x14ac:dyDescent="0.3">
      <c r="C1371" s="7" t="s">
        <v>1345</v>
      </c>
      <c r="D1371" s="8" t="s">
        <v>2034</v>
      </c>
      <c r="E1371" s="8" t="s">
        <v>2015</v>
      </c>
      <c r="F1371" s="9">
        <v>3.54</v>
      </c>
    </row>
    <row r="1372" spans="3:6" hidden="1" x14ac:dyDescent="0.3">
      <c r="C1372" s="10" t="s">
        <v>1346</v>
      </c>
      <c r="D1372" s="11" t="s">
        <v>2064</v>
      </c>
      <c r="E1372" s="11" t="s">
        <v>1979</v>
      </c>
      <c r="F1372" s="12">
        <v>1.36</v>
      </c>
    </row>
    <row r="1373" spans="3:6" hidden="1" x14ac:dyDescent="0.3">
      <c r="C1373" s="7" t="s">
        <v>1347</v>
      </c>
      <c r="D1373" s="8" t="s">
        <v>2038</v>
      </c>
      <c r="E1373" s="8" t="s">
        <v>2029</v>
      </c>
      <c r="F1373" s="9">
        <v>14.72</v>
      </c>
    </row>
    <row r="1374" spans="3:6" hidden="1" x14ac:dyDescent="0.3">
      <c r="C1374" s="10" t="s">
        <v>1348</v>
      </c>
      <c r="D1374" s="11" t="s">
        <v>2042</v>
      </c>
      <c r="E1374" s="11" t="s">
        <v>2031</v>
      </c>
      <c r="F1374" s="12">
        <v>1.34</v>
      </c>
    </row>
    <row r="1375" spans="3:6" hidden="1" x14ac:dyDescent="0.3">
      <c r="C1375" s="7" t="s">
        <v>1990</v>
      </c>
      <c r="D1375" s="8" t="s">
        <v>2037</v>
      </c>
      <c r="E1375" s="8" t="s">
        <v>1988</v>
      </c>
      <c r="F1375" s="9">
        <v>5.63</v>
      </c>
    </row>
    <row r="1376" spans="3:6" hidden="1" x14ac:dyDescent="0.3">
      <c r="C1376" s="10" t="s">
        <v>1349</v>
      </c>
      <c r="D1376" s="11" t="s">
        <v>2034</v>
      </c>
      <c r="E1376" s="11" t="s">
        <v>1998</v>
      </c>
      <c r="F1376" s="12">
        <v>1.63</v>
      </c>
    </row>
    <row r="1377" spans="3:6" hidden="1" x14ac:dyDescent="0.3">
      <c r="C1377" s="7" t="s">
        <v>1350</v>
      </c>
      <c r="D1377" s="8" t="s">
        <v>2034</v>
      </c>
      <c r="E1377" s="8" t="s">
        <v>2023</v>
      </c>
      <c r="F1377" s="9">
        <v>11.16</v>
      </c>
    </row>
    <row r="1378" spans="3:6" hidden="1" x14ac:dyDescent="0.3">
      <c r="C1378" s="10" t="s">
        <v>1351</v>
      </c>
      <c r="D1378" s="11" t="s">
        <v>2038</v>
      </c>
      <c r="E1378" s="11" t="s">
        <v>1979</v>
      </c>
      <c r="F1378" s="12">
        <v>1.1100000000000001</v>
      </c>
    </row>
    <row r="1379" spans="3:6" hidden="1" x14ac:dyDescent="0.3">
      <c r="C1379" s="7" t="s">
        <v>1352</v>
      </c>
      <c r="D1379" s="8" t="s">
        <v>2034</v>
      </c>
      <c r="E1379" s="8" t="s">
        <v>1998</v>
      </c>
      <c r="F1379" s="9">
        <v>0.79</v>
      </c>
    </row>
    <row r="1380" spans="3:6" hidden="1" x14ac:dyDescent="0.3">
      <c r="C1380" s="10" t="s">
        <v>1353</v>
      </c>
      <c r="D1380" s="11" t="s">
        <v>2062</v>
      </c>
      <c r="E1380" s="11" t="s">
        <v>2030</v>
      </c>
      <c r="F1380" s="12">
        <v>1.73</v>
      </c>
    </row>
    <row r="1381" spans="3:6" hidden="1" x14ac:dyDescent="0.3">
      <c r="C1381" s="7" t="s">
        <v>1354</v>
      </c>
      <c r="D1381" s="8" t="s">
        <v>2034</v>
      </c>
      <c r="E1381" s="8" t="s">
        <v>2004</v>
      </c>
      <c r="F1381" s="9">
        <v>3.68</v>
      </c>
    </row>
    <row r="1382" spans="3:6" hidden="1" x14ac:dyDescent="0.3">
      <c r="C1382" s="10" t="s">
        <v>1355</v>
      </c>
      <c r="D1382" s="11" t="s">
        <v>2038</v>
      </c>
      <c r="E1382" s="11" t="s">
        <v>1988</v>
      </c>
      <c r="F1382" s="12">
        <v>5.49</v>
      </c>
    </row>
    <row r="1383" spans="3:6" hidden="1" x14ac:dyDescent="0.3">
      <c r="C1383" s="7" t="s">
        <v>1356</v>
      </c>
      <c r="D1383" s="8" t="s">
        <v>2052</v>
      </c>
      <c r="E1383" s="8" t="s">
        <v>1998</v>
      </c>
      <c r="F1383" s="9">
        <v>0.56999999999999995</v>
      </c>
    </row>
    <row r="1384" spans="3:6" hidden="1" x14ac:dyDescent="0.3">
      <c r="C1384" s="10" t="s">
        <v>1357</v>
      </c>
      <c r="D1384" s="11" t="s">
        <v>2035</v>
      </c>
      <c r="E1384" s="11" t="s">
        <v>1998</v>
      </c>
      <c r="F1384" s="12">
        <v>1.43</v>
      </c>
    </row>
    <row r="1385" spans="3:6" hidden="1" x14ac:dyDescent="0.3">
      <c r="C1385" s="7" t="s">
        <v>1358</v>
      </c>
      <c r="D1385" s="8" t="s">
        <v>2034</v>
      </c>
      <c r="E1385" s="8" t="s">
        <v>2001</v>
      </c>
      <c r="F1385" s="9">
        <v>1.85</v>
      </c>
    </row>
    <row r="1386" spans="3:6" hidden="1" x14ac:dyDescent="0.3">
      <c r="C1386" s="10" t="s">
        <v>1359</v>
      </c>
      <c r="D1386" s="11" t="s">
        <v>2038</v>
      </c>
      <c r="E1386" s="11" t="s">
        <v>2002</v>
      </c>
      <c r="F1386" s="12">
        <v>12.42</v>
      </c>
    </row>
    <row r="1387" spans="3:6" hidden="1" x14ac:dyDescent="0.3">
      <c r="C1387" s="7" t="s">
        <v>1360</v>
      </c>
      <c r="D1387" s="8" t="s">
        <v>2073</v>
      </c>
      <c r="E1387" s="8" t="s">
        <v>2022</v>
      </c>
      <c r="F1387" s="9">
        <v>1.38</v>
      </c>
    </row>
    <row r="1388" spans="3:6" hidden="1" x14ac:dyDescent="0.3">
      <c r="C1388" s="10" t="s">
        <v>1361</v>
      </c>
      <c r="D1388" s="11" t="s">
        <v>2034</v>
      </c>
      <c r="E1388" s="11" t="s">
        <v>2004</v>
      </c>
      <c r="F1388" s="12">
        <v>4.8499999999999996</v>
      </c>
    </row>
    <row r="1389" spans="3:6" hidden="1" x14ac:dyDescent="0.3">
      <c r="C1389" s="7" t="s">
        <v>1362</v>
      </c>
      <c r="D1389" s="8" t="s">
        <v>2035</v>
      </c>
      <c r="E1389" s="8" t="s">
        <v>2030</v>
      </c>
      <c r="F1389" s="9">
        <v>4.5999999999999996</v>
      </c>
    </row>
    <row r="1390" spans="3:6" hidden="1" x14ac:dyDescent="0.3">
      <c r="C1390" s="10" t="s">
        <v>1363</v>
      </c>
      <c r="D1390" s="11" t="s">
        <v>2039</v>
      </c>
      <c r="E1390" s="11" t="s">
        <v>2015</v>
      </c>
      <c r="F1390" s="12">
        <v>4.12</v>
      </c>
    </row>
    <row r="1391" spans="3:6" hidden="1" x14ac:dyDescent="0.3">
      <c r="C1391" s="7" t="s">
        <v>1364</v>
      </c>
      <c r="D1391" s="8" t="s">
        <v>2080</v>
      </c>
      <c r="E1391" s="8" t="s">
        <v>2023</v>
      </c>
      <c r="F1391" s="9">
        <v>4.88</v>
      </c>
    </row>
    <row r="1392" spans="3:6" hidden="1" x14ac:dyDescent="0.3">
      <c r="C1392" s="10" t="s">
        <v>1365</v>
      </c>
      <c r="D1392" s="11" t="s">
        <v>2034</v>
      </c>
      <c r="E1392" s="11" t="s">
        <v>1986</v>
      </c>
      <c r="F1392" s="12">
        <v>2.12</v>
      </c>
    </row>
    <row r="1393" spans="3:6" hidden="1" x14ac:dyDescent="0.3">
      <c r="C1393" s="7" t="s">
        <v>1366</v>
      </c>
      <c r="D1393" s="8" t="s">
        <v>2035</v>
      </c>
      <c r="E1393" s="8" t="s">
        <v>2003</v>
      </c>
      <c r="F1393" s="9">
        <v>0.63</v>
      </c>
    </row>
    <row r="1394" spans="3:6" hidden="1" x14ac:dyDescent="0.3">
      <c r="C1394" s="10" t="s">
        <v>1367</v>
      </c>
      <c r="D1394" s="11" t="s">
        <v>2038</v>
      </c>
      <c r="E1394" s="11" t="s">
        <v>1979</v>
      </c>
      <c r="F1394" s="12">
        <v>1.25</v>
      </c>
    </row>
    <row r="1395" spans="3:6" hidden="1" x14ac:dyDescent="0.3">
      <c r="C1395" s="7" t="s">
        <v>1368</v>
      </c>
      <c r="D1395" s="8" t="s">
        <v>2034</v>
      </c>
      <c r="E1395" s="8" t="s">
        <v>1998</v>
      </c>
      <c r="F1395" s="9">
        <v>1.58</v>
      </c>
    </row>
    <row r="1396" spans="3:6" hidden="1" x14ac:dyDescent="0.3">
      <c r="C1396" s="10" t="s">
        <v>1369</v>
      </c>
      <c r="D1396" s="11" t="s">
        <v>2060</v>
      </c>
      <c r="E1396" s="11" t="s">
        <v>2001</v>
      </c>
      <c r="F1396" s="12">
        <v>5.29</v>
      </c>
    </row>
    <row r="1397" spans="3:6" hidden="1" x14ac:dyDescent="0.3">
      <c r="C1397" s="7" t="s">
        <v>1370</v>
      </c>
      <c r="D1397" s="8" t="s">
        <v>2034</v>
      </c>
      <c r="E1397" s="8" t="s">
        <v>1997</v>
      </c>
      <c r="F1397" s="9">
        <v>5.3</v>
      </c>
    </row>
    <row r="1398" spans="3:6" hidden="1" x14ac:dyDescent="0.3">
      <c r="C1398" s="10" t="s">
        <v>1371</v>
      </c>
      <c r="D1398" s="11" t="s">
        <v>2034</v>
      </c>
      <c r="E1398" s="11" t="s">
        <v>2001</v>
      </c>
      <c r="F1398" s="12">
        <v>2.02</v>
      </c>
    </row>
    <row r="1399" spans="3:6" hidden="1" x14ac:dyDescent="0.3">
      <c r="C1399" s="7" t="s">
        <v>1372</v>
      </c>
      <c r="D1399" s="8" t="s">
        <v>2047</v>
      </c>
      <c r="E1399" s="8" t="s">
        <v>2022</v>
      </c>
      <c r="F1399" s="9">
        <v>1.0900000000000001</v>
      </c>
    </row>
    <row r="1400" spans="3:6" hidden="1" x14ac:dyDescent="0.3">
      <c r="C1400" s="10" t="s">
        <v>1373</v>
      </c>
      <c r="D1400" s="11" t="s">
        <v>2065</v>
      </c>
      <c r="E1400" s="11" t="s">
        <v>2005</v>
      </c>
      <c r="F1400" s="12">
        <v>2.64</v>
      </c>
    </row>
    <row r="1401" spans="3:6" hidden="1" x14ac:dyDescent="0.3">
      <c r="C1401" s="7" t="s">
        <v>1374</v>
      </c>
      <c r="D1401" s="8" t="s">
        <v>2034</v>
      </c>
      <c r="E1401" s="8" t="s">
        <v>1998</v>
      </c>
      <c r="F1401" s="9">
        <v>0.73</v>
      </c>
    </row>
    <row r="1402" spans="3:6" hidden="1" x14ac:dyDescent="0.3">
      <c r="C1402" s="10" t="s">
        <v>1375</v>
      </c>
      <c r="D1402" s="11" t="s">
        <v>2034</v>
      </c>
      <c r="E1402" s="11" t="s">
        <v>1979</v>
      </c>
      <c r="F1402" s="12">
        <v>0.93</v>
      </c>
    </row>
    <row r="1403" spans="3:6" hidden="1" x14ac:dyDescent="0.3">
      <c r="C1403" s="7" t="s">
        <v>1376</v>
      </c>
      <c r="D1403" s="8" t="s">
        <v>1975</v>
      </c>
      <c r="E1403" s="8" t="s">
        <v>2022</v>
      </c>
      <c r="F1403" s="9">
        <v>1.81</v>
      </c>
    </row>
    <row r="1404" spans="3:6" hidden="1" x14ac:dyDescent="0.3">
      <c r="C1404" s="10" t="s">
        <v>1377</v>
      </c>
      <c r="D1404" s="11" t="s">
        <v>2042</v>
      </c>
      <c r="E1404" s="11" t="s">
        <v>1979</v>
      </c>
      <c r="F1404" s="12">
        <v>1.71</v>
      </c>
    </row>
    <row r="1405" spans="3:6" hidden="1" x14ac:dyDescent="0.3">
      <c r="C1405" s="7" t="s">
        <v>1378</v>
      </c>
      <c r="D1405" s="8" t="s">
        <v>2043</v>
      </c>
      <c r="E1405" s="8" t="s">
        <v>2030</v>
      </c>
      <c r="F1405" s="9">
        <v>5.56</v>
      </c>
    </row>
    <row r="1406" spans="3:6" hidden="1" x14ac:dyDescent="0.3">
      <c r="C1406" s="10" t="s">
        <v>1379</v>
      </c>
      <c r="D1406" s="11" t="s">
        <v>2034</v>
      </c>
      <c r="E1406" s="11" t="s">
        <v>1993</v>
      </c>
      <c r="F1406" s="12">
        <v>4.82</v>
      </c>
    </row>
    <row r="1407" spans="3:6" hidden="1" x14ac:dyDescent="0.3">
      <c r="C1407" s="7" t="s">
        <v>1380</v>
      </c>
      <c r="D1407" s="8" t="s">
        <v>2035</v>
      </c>
      <c r="E1407" s="8" t="s">
        <v>1998</v>
      </c>
      <c r="F1407" s="9">
        <v>2.06</v>
      </c>
    </row>
    <row r="1408" spans="3:6" hidden="1" x14ac:dyDescent="0.3">
      <c r="C1408" s="10" t="s">
        <v>1381</v>
      </c>
      <c r="D1408" s="11" t="s">
        <v>2035</v>
      </c>
      <c r="E1408" s="11" t="s">
        <v>2015</v>
      </c>
      <c r="F1408" s="12">
        <v>1.31</v>
      </c>
    </row>
    <row r="1409" spans="3:6" hidden="1" x14ac:dyDescent="0.3">
      <c r="C1409" s="7" t="s">
        <v>1382</v>
      </c>
      <c r="D1409" s="8" t="s">
        <v>2052</v>
      </c>
      <c r="E1409" s="8" t="s">
        <v>2030</v>
      </c>
      <c r="F1409" s="9">
        <v>4.1500000000000004</v>
      </c>
    </row>
    <row r="1410" spans="3:6" hidden="1" x14ac:dyDescent="0.3">
      <c r="C1410" s="10" t="s">
        <v>1383</v>
      </c>
      <c r="D1410" s="11" t="s">
        <v>2034</v>
      </c>
      <c r="E1410" s="11" t="s">
        <v>1997</v>
      </c>
      <c r="F1410" s="12">
        <v>9.76</v>
      </c>
    </row>
    <row r="1411" spans="3:6" hidden="1" x14ac:dyDescent="0.3">
      <c r="C1411" s="7" t="s">
        <v>1384</v>
      </c>
      <c r="D1411" s="8" t="s">
        <v>2052</v>
      </c>
      <c r="E1411" s="8" t="s">
        <v>2030</v>
      </c>
      <c r="F1411" s="9">
        <v>8.64</v>
      </c>
    </row>
    <row r="1412" spans="3:6" hidden="1" x14ac:dyDescent="0.3">
      <c r="C1412" s="10" t="s">
        <v>1385</v>
      </c>
      <c r="D1412" s="11" t="s">
        <v>2034</v>
      </c>
      <c r="E1412" s="11" t="s">
        <v>2003</v>
      </c>
      <c r="F1412" s="12">
        <v>3.78</v>
      </c>
    </row>
    <row r="1413" spans="3:6" hidden="1" x14ac:dyDescent="0.3">
      <c r="C1413" s="7" t="s">
        <v>1386</v>
      </c>
      <c r="D1413" s="8" t="s">
        <v>2076</v>
      </c>
      <c r="E1413" s="8" t="s">
        <v>1988</v>
      </c>
      <c r="F1413" s="9">
        <v>5.44</v>
      </c>
    </row>
    <row r="1414" spans="3:6" hidden="1" x14ac:dyDescent="0.3">
      <c r="C1414" s="10" t="s">
        <v>1387</v>
      </c>
      <c r="D1414" s="11" t="s">
        <v>2034</v>
      </c>
      <c r="E1414" s="11" t="s">
        <v>2027</v>
      </c>
      <c r="F1414" s="12">
        <v>3.99</v>
      </c>
    </row>
    <row r="1415" spans="3:6" hidden="1" x14ac:dyDescent="0.3">
      <c r="C1415" s="7" t="s">
        <v>1388</v>
      </c>
      <c r="D1415" s="8" t="s">
        <v>2038</v>
      </c>
      <c r="E1415" s="8" t="s">
        <v>1979</v>
      </c>
      <c r="F1415" s="9">
        <v>1.24</v>
      </c>
    </row>
    <row r="1416" spans="3:6" hidden="1" x14ac:dyDescent="0.3">
      <c r="C1416" s="10" t="s">
        <v>1389</v>
      </c>
      <c r="D1416" s="11" t="s">
        <v>2034</v>
      </c>
      <c r="E1416" s="11" t="s">
        <v>2027</v>
      </c>
      <c r="F1416" s="12">
        <v>1.92</v>
      </c>
    </row>
    <row r="1417" spans="3:6" hidden="1" x14ac:dyDescent="0.3">
      <c r="C1417" s="7" t="s">
        <v>1390</v>
      </c>
      <c r="D1417" s="8" t="s">
        <v>2042</v>
      </c>
      <c r="E1417" s="8" t="s">
        <v>2005</v>
      </c>
      <c r="F1417" s="9">
        <v>3.87</v>
      </c>
    </row>
    <row r="1418" spans="3:6" hidden="1" x14ac:dyDescent="0.3">
      <c r="C1418" s="10" t="s">
        <v>1391</v>
      </c>
      <c r="D1418" s="11" t="s">
        <v>2057</v>
      </c>
      <c r="E1418" s="11" t="s">
        <v>2015</v>
      </c>
      <c r="F1418" s="12">
        <v>3.49</v>
      </c>
    </row>
    <row r="1419" spans="3:6" hidden="1" x14ac:dyDescent="0.3">
      <c r="C1419" s="7" t="s">
        <v>1392</v>
      </c>
      <c r="D1419" s="8" t="s">
        <v>2034</v>
      </c>
      <c r="E1419" s="8" t="s">
        <v>2000</v>
      </c>
      <c r="F1419" s="9">
        <v>5</v>
      </c>
    </row>
    <row r="1420" spans="3:6" hidden="1" x14ac:dyDescent="0.3">
      <c r="C1420" s="10" t="s">
        <v>1393</v>
      </c>
      <c r="D1420" s="11" t="s">
        <v>2060</v>
      </c>
      <c r="E1420" s="11" t="s">
        <v>1979</v>
      </c>
      <c r="F1420" s="12">
        <v>1.76</v>
      </c>
    </row>
    <row r="1421" spans="3:6" hidden="1" x14ac:dyDescent="0.3">
      <c r="C1421" s="7" t="s">
        <v>1394</v>
      </c>
      <c r="D1421" s="8" t="s">
        <v>2064</v>
      </c>
      <c r="E1421" s="8" t="s">
        <v>2015</v>
      </c>
      <c r="F1421" s="9">
        <v>3.25</v>
      </c>
    </row>
    <row r="1422" spans="3:6" hidden="1" x14ac:dyDescent="0.3">
      <c r="C1422" s="10" t="s">
        <v>1395</v>
      </c>
      <c r="D1422" s="11" t="s">
        <v>2044</v>
      </c>
      <c r="E1422" s="11" t="s">
        <v>1988</v>
      </c>
      <c r="F1422" s="12">
        <v>4.7699999999999996</v>
      </c>
    </row>
    <row r="1423" spans="3:6" hidden="1" x14ac:dyDescent="0.3">
      <c r="C1423" s="7" t="s">
        <v>1396</v>
      </c>
      <c r="D1423" s="8" t="s">
        <v>2067</v>
      </c>
      <c r="E1423" s="8" t="s">
        <v>1988</v>
      </c>
      <c r="F1423" s="9">
        <v>3.97</v>
      </c>
    </row>
    <row r="1424" spans="3:6" hidden="1" x14ac:dyDescent="0.3">
      <c r="C1424" s="10" t="s">
        <v>1397</v>
      </c>
      <c r="D1424" s="11" t="s">
        <v>2034</v>
      </c>
      <c r="E1424" s="11" t="s">
        <v>1993</v>
      </c>
      <c r="F1424" s="12">
        <v>4.88</v>
      </c>
    </row>
    <row r="1425" spans="3:6" hidden="1" x14ac:dyDescent="0.3">
      <c r="C1425" s="7" t="s">
        <v>1398</v>
      </c>
      <c r="D1425" s="8" t="s">
        <v>2034</v>
      </c>
      <c r="E1425" s="8" t="s">
        <v>2017</v>
      </c>
      <c r="F1425" s="9">
        <v>3</v>
      </c>
    </row>
    <row r="1426" spans="3:6" hidden="1" x14ac:dyDescent="0.3">
      <c r="C1426" s="10" t="s">
        <v>1399</v>
      </c>
      <c r="D1426" s="11" t="s">
        <v>2034</v>
      </c>
      <c r="E1426" s="11" t="s">
        <v>2031</v>
      </c>
      <c r="F1426" s="12">
        <v>2.99</v>
      </c>
    </row>
    <row r="1427" spans="3:6" hidden="1" x14ac:dyDescent="0.3">
      <c r="C1427" s="7" t="s">
        <v>1400</v>
      </c>
      <c r="D1427" s="8" t="s">
        <v>2034</v>
      </c>
      <c r="E1427" s="8" t="s">
        <v>2028</v>
      </c>
      <c r="F1427" s="9">
        <v>3.81</v>
      </c>
    </row>
    <row r="1428" spans="3:6" hidden="1" x14ac:dyDescent="0.3">
      <c r="C1428" s="10" t="s">
        <v>1401</v>
      </c>
      <c r="D1428" s="11" t="s">
        <v>2038</v>
      </c>
      <c r="E1428" s="11" t="s">
        <v>1979</v>
      </c>
      <c r="F1428" s="12">
        <v>1.26</v>
      </c>
    </row>
    <row r="1429" spans="3:6" hidden="1" x14ac:dyDescent="0.3">
      <c r="C1429" s="7" t="s">
        <v>1402</v>
      </c>
      <c r="D1429" s="8" t="s">
        <v>2047</v>
      </c>
      <c r="E1429" s="8" t="s">
        <v>2000</v>
      </c>
      <c r="F1429" s="9">
        <v>8.1199999999999992</v>
      </c>
    </row>
    <row r="1430" spans="3:6" hidden="1" x14ac:dyDescent="0.3">
      <c r="C1430" s="10" t="s">
        <v>1403</v>
      </c>
      <c r="D1430" s="11" t="s">
        <v>2034</v>
      </c>
      <c r="E1430" s="11" t="s">
        <v>2027</v>
      </c>
      <c r="F1430" s="12">
        <v>3.14</v>
      </c>
    </row>
    <row r="1431" spans="3:6" hidden="1" x14ac:dyDescent="0.3">
      <c r="C1431" s="7" t="s">
        <v>1404</v>
      </c>
      <c r="D1431" s="8" t="s">
        <v>2034</v>
      </c>
      <c r="E1431" s="8" t="s">
        <v>1988</v>
      </c>
      <c r="F1431" s="9">
        <v>4.5999999999999996</v>
      </c>
    </row>
    <row r="1432" spans="3:6" hidden="1" x14ac:dyDescent="0.3">
      <c r="C1432" s="10" t="s">
        <v>1405</v>
      </c>
      <c r="D1432" s="11" t="s">
        <v>2038</v>
      </c>
      <c r="E1432" s="11" t="s">
        <v>1987</v>
      </c>
      <c r="F1432" s="12">
        <v>5.32</v>
      </c>
    </row>
    <row r="1433" spans="3:6" hidden="1" x14ac:dyDescent="0.3">
      <c r="C1433" s="7" t="s">
        <v>1406</v>
      </c>
      <c r="D1433" s="8" t="s">
        <v>2034</v>
      </c>
      <c r="E1433" s="8" t="s">
        <v>2002</v>
      </c>
      <c r="F1433" s="9">
        <v>4.7</v>
      </c>
    </row>
    <row r="1434" spans="3:6" hidden="1" x14ac:dyDescent="0.3">
      <c r="C1434" s="10" t="s">
        <v>1407</v>
      </c>
      <c r="D1434" s="11" t="s">
        <v>2081</v>
      </c>
      <c r="E1434" s="11" t="s">
        <v>1979</v>
      </c>
      <c r="F1434" s="12">
        <v>0.89</v>
      </c>
    </row>
    <row r="1435" spans="3:6" hidden="1" x14ac:dyDescent="0.3">
      <c r="C1435" s="7" t="s">
        <v>1408</v>
      </c>
      <c r="D1435" s="8" t="s">
        <v>2070</v>
      </c>
      <c r="E1435" s="8" t="s">
        <v>1979</v>
      </c>
      <c r="F1435" s="9">
        <v>1.57</v>
      </c>
    </row>
    <row r="1436" spans="3:6" hidden="1" x14ac:dyDescent="0.3">
      <c r="C1436" s="10" t="s">
        <v>1409</v>
      </c>
      <c r="D1436" s="11" t="s">
        <v>2034</v>
      </c>
      <c r="E1436" s="11" t="s">
        <v>1979</v>
      </c>
      <c r="F1436" s="12">
        <v>1.19</v>
      </c>
    </row>
    <row r="1437" spans="3:6" hidden="1" x14ac:dyDescent="0.3">
      <c r="C1437" s="7" t="s">
        <v>1410</v>
      </c>
      <c r="D1437" s="8" t="s">
        <v>2034</v>
      </c>
      <c r="E1437" s="8" t="s">
        <v>1986</v>
      </c>
      <c r="F1437" s="9">
        <v>5.74</v>
      </c>
    </row>
    <row r="1438" spans="3:6" hidden="1" x14ac:dyDescent="0.3">
      <c r="C1438" s="10" t="s">
        <v>1411</v>
      </c>
      <c r="D1438" s="11" t="s">
        <v>2034</v>
      </c>
      <c r="E1438" s="11" t="s">
        <v>1998</v>
      </c>
      <c r="F1438" s="12">
        <v>1.1299999999999999</v>
      </c>
    </row>
    <row r="1439" spans="3:6" hidden="1" x14ac:dyDescent="0.3">
      <c r="C1439" s="7" t="s">
        <v>1412</v>
      </c>
      <c r="D1439" s="8" t="s">
        <v>2065</v>
      </c>
      <c r="E1439" s="8" t="s">
        <v>1987</v>
      </c>
      <c r="F1439" s="9">
        <v>3.82</v>
      </c>
    </row>
    <row r="1440" spans="3:6" hidden="1" x14ac:dyDescent="0.3">
      <c r="C1440" s="10" t="s">
        <v>1413</v>
      </c>
      <c r="D1440" s="11" t="s">
        <v>2034</v>
      </c>
      <c r="E1440" s="11" t="s">
        <v>2031</v>
      </c>
      <c r="F1440" s="12">
        <v>2.72</v>
      </c>
    </row>
    <row r="1441" spans="3:6" hidden="1" x14ac:dyDescent="0.3">
      <c r="C1441" s="7" t="s">
        <v>1414</v>
      </c>
      <c r="D1441" s="8" t="s">
        <v>1975</v>
      </c>
      <c r="E1441" s="8" t="s">
        <v>2003</v>
      </c>
      <c r="F1441" s="9">
        <v>2.86</v>
      </c>
    </row>
    <row r="1442" spans="3:6" hidden="1" x14ac:dyDescent="0.3">
      <c r="C1442" s="10" t="s">
        <v>1415</v>
      </c>
      <c r="D1442" s="11" t="s">
        <v>1975</v>
      </c>
      <c r="E1442" s="11" t="s">
        <v>1999</v>
      </c>
      <c r="F1442" s="12">
        <v>2.09</v>
      </c>
    </row>
    <row r="1443" spans="3:6" hidden="1" x14ac:dyDescent="0.3">
      <c r="C1443" s="7" t="s">
        <v>1416</v>
      </c>
      <c r="D1443" s="8" t="s">
        <v>2034</v>
      </c>
      <c r="E1443" s="8" t="s">
        <v>2015</v>
      </c>
      <c r="F1443" s="9">
        <v>7.19</v>
      </c>
    </row>
    <row r="1444" spans="3:6" hidden="1" x14ac:dyDescent="0.3">
      <c r="C1444" s="10" t="s">
        <v>1417</v>
      </c>
      <c r="D1444" s="11" t="s">
        <v>2061</v>
      </c>
      <c r="E1444" s="11" t="s">
        <v>1987</v>
      </c>
      <c r="F1444" s="12">
        <v>3.29</v>
      </c>
    </row>
    <row r="1445" spans="3:6" hidden="1" x14ac:dyDescent="0.3">
      <c r="C1445" s="7" t="s">
        <v>1418</v>
      </c>
      <c r="D1445" s="8" t="s">
        <v>2038</v>
      </c>
      <c r="E1445" s="8" t="s">
        <v>1998</v>
      </c>
      <c r="F1445" s="9">
        <v>1.05</v>
      </c>
    </row>
    <row r="1446" spans="3:6" hidden="1" x14ac:dyDescent="0.3">
      <c r="C1446" s="10" t="s">
        <v>1419</v>
      </c>
      <c r="D1446" s="11" t="s">
        <v>2034</v>
      </c>
      <c r="E1446" s="11" t="s">
        <v>2025</v>
      </c>
      <c r="F1446" s="12">
        <v>1.64</v>
      </c>
    </row>
    <row r="1447" spans="3:6" hidden="1" x14ac:dyDescent="0.3">
      <c r="C1447" s="7" t="s">
        <v>1420</v>
      </c>
      <c r="D1447" s="8" t="s">
        <v>2034</v>
      </c>
      <c r="E1447" s="8" t="s">
        <v>1979</v>
      </c>
      <c r="F1447" s="9">
        <v>0.96</v>
      </c>
    </row>
    <row r="1448" spans="3:6" hidden="1" x14ac:dyDescent="0.3">
      <c r="C1448" s="10" t="s">
        <v>1421</v>
      </c>
      <c r="D1448" s="11" t="s">
        <v>2038</v>
      </c>
      <c r="E1448" s="11" t="s">
        <v>2015</v>
      </c>
      <c r="F1448" s="12">
        <v>5</v>
      </c>
    </row>
    <row r="1449" spans="3:6" hidden="1" x14ac:dyDescent="0.3">
      <c r="C1449" s="7" t="s">
        <v>1422</v>
      </c>
      <c r="D1449" s="8" t="s">
        <v>2087</v>
      </c>
      <c r="E1449" s="8" t="s">
        <v>1979</v>
      </c>
      <c r="F1449" s="9">
        <v>0.99</v>
      </c>
    </row>
    <row r="1450" spans="3:6" hidden="1" x14ac:dyDescent="0.3">
      <c r="C1450" s="10" t="s">
        <v>1423</v>
      </c>
      <c r="D1450" s="11" t="s">
        <v>2038</v>
      </c>
      <c r="E1450" s="11" t="s">
        <v>1988</v>
      </c>
      <c r="F1450" s="12">
        <v>3.63</v>
      </c>
    </row>
    <row r="1451" spans="3:6" hidden="1" x14ac:dyDescent="0.3">
      <c r="C1451" s="7" t="s">
        <v>1424</v>
      </c>
      <c r="D1451" s="8" t="s">
        <v>2043</v>
      </c>
      <c r="E1451" s="8" t="s">
        <v>1998</v>
      </c>
      <c r="F1451" s="9">
        <v>3.22</v>
      </c>
    </row>
    <row r="1452" spans="3:6" hidden="1" x14ac:dyDescent="0.3">
      <c r="C1452" s="10" t="s">
        <v>1425</v>
      </c>
      <c r="D1452" s="11" t="s">
        <v>2038</v>
      </c>
      <c r="E1452" s="11" t="s">
        <v>1979</v>
      </c>
      <c r="F1452" s="12">
        <v>0.95</v>
      </c>
    </row>
    <row r="1453" spans="3:6" hidden="1" x14ac:dyDescent="0.3">
      <c r="C1453" s="7" t="s">
        <v>1426</v>
      </c>
      <c r="D1453" s="8" t="s">
        <v>2062</v>
      </c>
      <c r="E1453" s="8" t="s">
        <v>2001</v>
      </c>
      <c r="F1453" s="9">
        <v>5.6</v>
      </c>
    </row>
    <row r="1454" spans="3:6" hidden="1" x14ac:dyDescent="0.3">
      <c r="C1454" s="10" t="s">
        <v>1427</v>
      </c>
      <c r="D1454" s="11" t="s">
        <v>2038</v>
      </c>
      <c r="E1454" s="11" t="s">
        <v>2027</v>
      </c>
      <c r="F1454" s="12">
        <v>5.22</v>
      </c>
    </row>
    <row r="1455" spans="3:6" hidden="1" x14ac:dyDescent="0.3">
      <c r="C1455" s="7" t="s">
        <v>1428</v>
      </c>
      <c r="D1455" s="8" t="s">
        <v>2065</v>
      </c>
      <c r="E1455" s="8" t="s">
        <v>2027</v>
      </c>
      <c r="F1455" s="9">
        <v>6.75</v>
      </c>
    </row>
    <row r="1456" spans="3:6" hidden="1" x14ac:dyDescent="0.3">
      <c r="C1456" s="10" t="s">
        <v>1429</v>
      </c>
      <c r="D1456" s="11" t="s">
        <v>2051</v>
      </c>
      <c r="E1456" s="11" t="s">
        <v>2005</v>
      </c>
      <c r="F1456" s="12">
        <v>4.21</v>
      </c>
    </row>
    <row r="1457" spans="3:6" hidden="1" x14ac:dyDescent="0.3">
      <c r="C1457" s="7" t="s">
        <v>1430</v>
      </c>
      <c r="D1457" s="8" t="s">
        <v>2052</v>
      </c>
      <c r="E1457" s="8" t="s">
        <v>1998</v>
      </c>
      <c r="F1457" s="9">
        <v>0.96</v>
      </c>
    </row>
    <row r="1458" spans="3:6" hidden="1" x14ac:dyDescent="0.3">
      <c r="C1458" s="10" t="s">
        <v>1431</v>
      </c>
      <c r="D1458" s="11" t="s">
        <v>2034</v>
      </c>
      <c r="E1458" s="11" t="s">
        <v>1979</v>
      </c>
      <c r="F1458" s="12">
        <v>1.21</v>
      </c>
    </row>
    <row r="1459" spans="3:6" hidden="1" x14ac:dyDescent="0.3">
      <c r="C1459" s="7" t="s">
        <v>1432</v>
      </c>
      <c r="D1459" s="8" t="s">
        <v>2034</v>
      </c>
      <c r="E1459" s="8" t="s">
        <v>2005</v>
      </c>
      <c r="F1459" s="9">
        <v>3.05</v>
      </c>
    </row>
    <row r="1460" spans="3:6" hidden="1" x14ac:dyDescent="0.3">
      <c r="C1460" s="10" t="s">
        <v>1433</v>
      </c>
      <c r="D1460" s="11" t="s">
        <v>2035</v>
      </c>
      <c r="E1460" s="11" t="s">
        <v>2002</v>
      </c>
      <c r="F1460" s="12">
        <v>2.42</v>
      </c>
    </row>
    <row r="1461" spans="3:6" hidden="1" x14ac:dyDescent="0.3">
      <c r="C1461" s="7" t="s">
        <v>1434</v>
      </c>
      <c r="D1461" s="8" t="s">
        <v>2037</v>
      </c>
      <c r="E1461" s="8" t="s">
        <v>1988</v>
      </c>
      <c r="F1461" s="9">
        <v>7.48</v>
      </c>
    </row>
    <row r="1462" spans="3:6" hidden="1" x14ac:dyDescent="0.3">
      <c r="C1462" s="10" t="s">
        <v>1435</v>
      </c>
      <c r="D1462" s="11" t="s">
        <v>2065</v>
      </c>
      <c r="E1462" s="11" t="s">
        <v>2027</v>
      </c>
      <c r="F1462" s="12">
        <v>3.68</v>
      </c>
    </row>
    <row r="1463" spans="3:6" hidden="1" x14ac:dyDescent="0.3">
      <c r="C1463" s="7" t="s">
        <v>1436</v>
      </c>
      <c r="D1463" s="8" t="s">
        <v>2070</v>
      </c>
      <c r="E1463" s="8" t="s">
        <v>1979</v>
      </c>
      <c r="F1463" s="9">
        <v>0.81</v>
      </c>
    </row>
    <row r="1464" spans="3:6" hidden="1" x14ac:dyDescent="0.3">
      <c r="C1464" s="10" t="s">
        <v>1437</v>
      </c>
      <c r="D1464" s="11" t="s">
        <v>2053</v>
      </c>
      <c r="E1464" s="11" t="s">
        <v>2000</v>
      </c>
      <c r="F1464" s="12">
        <v>9.84</v>
      </c>
    </row>
    <row r="1465" spans="3:6" hidden="1" x14ac:dyDescent="0.3">
      <c r="C1465" s="7" t="s">
        <v>1438</v>
      </c>
      <c r="D1465" s="8" t="s">
        <v>2034</v>
      </c>
      <c r="E1465" s="8" t="s">
        <v>2027</v>
      </c>
      <c r="F1465" s="9">
        <v>11.34</v>
      </c>
    </row>
    <row r="1466" spans="3:6" hidden="1" x14ac:dyDescent="0.3">
      <c r="C1466" s="10" t="s">
        <v>1439</v>
      </c>
      <c r="D1466" s="11" t="s">
        <v>2034</v>
      </c>
      <c r="E1466" s="11" t="s">
        <v>2026</v>
      </c>
      <c r="F1466" s="12">
        <v>1.46</v>
      </c>
    </row>
    <row r="1467" spans="3:6" hidden="1" x14ac:dyDescent="0.3">
      <c r="C1467" s="7" t="s">
        <v>1440</v>
      </c>
      <c r="D1467" s="8" t="s">
        <v>2034</v>
      </c>
      <c r="E1467" s="8" t="s">
        <v>2023</v>
      </c>
      <c r="F1467" s="9">
        <v>5.96</v>
      </c>
    </row>
    <row r="1468" spans="3:6" hidden="1" x14ac:dyDescent="0.3">
      <c r="C1468" s="10" t="s">
        <v>1441</v>
      </c>
      <c r="D1468" s="11" t="s">
        <v>2034</v>
      </c>
      <c r="E1468" s="11" t="s">
        <v>2004</v>
      </c>
      <c r="F1468" s="12">
        <v>5.07</v>
      </c>
    </row>
    <row r="1469" spans="3:6" hidden="1" x14ac:dyDescent="0.3">
      <c r="C1469" s="7" t="s">
        <v>1442</v>
      </c>
      <c r="D1469" s="8" t="s">
        <v>2080</v>
      </c>
      <c r="E1469" s="8" t="s">
        <v>2015</v>
      </c>
      <c r="F1469" s="9">
        <v>1.94</v>
      </c>
    </row>
    <row r="1470" spans="3:6" hidden="1" x14ac:dyDescent="0.3">
      <c r="C1470" s="10" t="s">
        <v>1443</v>
      </c>
      <c r="D1470" s="11" t="s">
        <v>2034</v>
      </c>
      <c r="E1470" s="11" t="s">
        <v>2023</v>
      </c>
      <c r="F1470" s="12">
        <v>2.78</v>
      </c>
    </row>
    <row r="1471" spans="3:6" hidden="1" x14ac:dyDescent="0.3">
      <c r="C1471" s="7" t="s">
        <v>1444</v>
      </c>
      <c r="D1471" s="8" t="s">
        <v>2034</v>
      </c>
      <c r="E1471" s="8" t="s">
        <v>2023</v>
      </c>
      <c r="F1471" s="9">
        <v>5.62</v>
      </c>
    </row>
    <row r="1472" spans="3:6" hidden="1" x14ac:dyDescent="0.3">
      <c r="C1472" s="10" t="s">
        <v>1445</v>
      </c>
      <c r="D1472" s="11" t="s">
        <v>2034</v>
      </c>
      <c r="E1472" s="11" t="s">
        <v>2028</v>
      </c>
      <c r="F1472" s="12">
        <v>2.83</v>
      </c>
    </row>
    <row r="1473" spans="3:6" hidden="1" x14ac:dyDescent="0.3">
      <c r="C1473" s="7" t="s">
        <v>1446</v>
      </c>
      <c r="D1473" s="8" t="s">
        <v>2042</v>
      </c>
      <c r="E1473" s="8" t="s">
        <v>1979</v>
      </c>
      <c r="F1473" s="9">
        <v>2.09</v>
      </c>
    </row>
    <row r="1474" spans="3:6" hidden="1" x14ac:dyDescent="0.3">
      <c r="C1474" s="10" t="s">
        <v>1447</v>
      </c>
      <c r="D1474" s="11" t="s">
        <v>2057</v>
      </c>
      <c r="E1474" s="11" t="s">
        <v>2002</v>
      </c>
      <c r="F1474" s="12">
        <v>1.85</v>
      </c>
    </row>
    <row r="1475" spans="3:6" hidden="1" x14ac:dyDescent="0.3">
      <c r="C1475" s="7" t="s">
        <v>1448</v>
      </c>
      <c r="D1475" s="8" t="s">
        <v>2034</v>
      </c>
      <c r="E1475" s="8" t="s">
        <v>2031</v>
      </c>
      <c r="F1475" s="9">
        <v>3.04</v>
      </c>
    </row>
    <row r="1476" spans="3:6" hidden="1" x14ac:dyDescent="0.3">
      <c r="C1476" s="10" t="s">
        <v>1449</v>
      </c>
      <c r="D1476" s="11" t="s">
        <v>2045</v>
      </c>
      <c r="E1476" s="11" t="s">
        <v>2031</v>
      </c>
      <c r="F1476" s="12">
        <v>0.73</v>
      </c>
    </row>
    <row r="1477" spans="3:6" hidden="1" x14ac:dyDescent="0.3">
      <c r="C1477" s="7" t="s">
        <v>1450</v>
      </c>
      <c r="D1477" s="8" t="s">
        <v>2074</v>
      </c>
      <c r="E1477" s="8" t="s">
        <v>2028</v>
      </c>
      <c r="F1477" s="9">
        <v>1.68</v>
      </c>
    </row>
    <row r="1478" spans="3:6" hidden="1" x14ac:dyDescent="0.3">
      <c r="C1478" s="10" t="s">
        <v>1451</v>
      </c>
      <c r="D1478" s="11" t="s">
        <v>2039</v>
      </c>
      <c r="E1478" s="11" t="s">
        <v>1988</v>
      </c>
      <c r="F1478" s="12">
        <v>7.17</v>
      </c>
    </row>
    <row r="1479" spans="3:6" hidden="1" x14ac:dyDescent="0.3">
      <c r="C1479" s="7" t="s">
        <v>1452</v>
      </c>
      <c r="D1479" s="8" t="s">
        <v>2038</v>
      </c>
      <c r="E1479" s="8" t="s">
        <v>1997</v>
      </c>
      <c r="F1479" s="9">
        <v>2.1800000000000002</v>
      </c>
    </row>
    <row r="1480" spans="3:6" hidden="1" x14ac:dyDescent="0.3">
      <c r="C1480" s="10" t="s">
        <v>1453</v>
      </c>
      <c r="D1480" s="11" t="s">
        <v>2034</v>
      </c>
      <c r="E1480" s="11" t="s">
        <v>1979</v>
      </c>
      <c r="F1480" s="12">
        <v>1.04</v>
      </c>
    </row>
    <row r="1481" spans="3:6" hidden="1" x14ac:dyDescent="0.3">
      <c r="C1481" s="7" t="s">
        <v>1454</v>
      </c>
      <c r="D1481" s="8" t="s">
        <v>2050</v>
      </c>
      <c r="E1481" s="8" t="s">
        <v>2015</v>
      </c>
      <c r="F1481" s="9">
        <v>7.76</v>
      </c>
    </row>
    <row r="1482" spans="3:6" hidden="1" x14ac:dyDescent="0.3">
      <c r="C1482" s="10" t="s">
        <v>1455</v>
      </c>
      <c r="D1482" s="11" t="s">
        <v>2047</v>
      </c>
      <c r="E1482" s="11" t="s">
        <v>2027</v>
      </c>
      <c r="F1482" s="12">
        <v>1.4</v>
      </c>
    </row>
    <row r="1483" spans="3:6" hidden="1" x14ac:dyDescent="0.3">
      <c r="C1483" s="7" t="s">
        <v>1456</v>
      </c>
      <c r="D1483" s="8" t="s">
        <v>2038</v>
      </c>
      <c r="E1483" s="8" t="s">
        <v>1988</v>
      </c>
      <c r="F1483" s="9">
        <v>2.85</v>
      </c>
    </row>
    <row r="1484" spans="3:6" hidden="1" x14ac:dyDescent="0.3">
      <c r="C1484" s="10" t="s">
        <v>1457</v>
      </c>
      <c r="D1484" s="11" t="s">
        <v>2034</v>
      </c>
      <c r="E1484" s="11" t="s">
        <v>1986</v>
      </c>
      <c r="F1484" s="12">
        <v>3.34</v>
      </c>
    </row>
    <row r="1485" spans="3:6" hidden="1" x14ac:dyDescent="0.3">
      <c r="C1485" s="7" t="s">
        <v>1458</v>
      </c>
      <c r="D1485" s="8" t="s">
        <v>2034</v>
      </c>
      <c r="E1485" s="8" t="s">
        <v>2031</v>
      </c>
      <c r="F1485" s="9">
        <v>3.01</v>
      </c>
    </row>
    <row r="1486" spans="3:6" hidden="1" x14ac:dyDescent="0.3">
      <c r="C1486" s="10" t="s">
        <v>1459</v>
      </c>
      <c r="D1486" s="11" t="s">
        <v>2034</v>
      </c>
      <c r="E1486" s="11" t="s">
        <v>1998</v>
      </c>
      <c r="F1486" s="12">
        <v>1.27</v>
      </c>
    </row>
    <row r="1487" spans="3:6" hidden="1" x14ac:dyDescent="0.3">
      <c r="C1487" s="7" t="s">
        <v>1460</v>
      </c>
      <c r="D1487" s="8" t="s">
        <v>2039</v>
      </c>
      <c r="E1487" s="8" t="s">
        <v>2004</v>
      </c>
      <c r="F1487" s="9">
        <v>1.81</v>
      </c>
    </row>
    <row r="1488" spans="3:6" hidden="1" x14ac:dyDescent="0.3">
      <c r="C1488" s="10" t="s">
        <v>1461</v>
      </c>
      <c r="D1488" s="11" t="s">
        <v>2043</v>
      </c>
      <c r="E1488" s="11" t="s">
        <v>1993</v>
      </c>
      <c r="F1488" s="12">
        <v>5.09</v>
      </c>
    </row>
    <row r="1489" spans="3:6" hidden="1" x14ac:dyDescent="0.3">
      <c r="C1489" s="7" t="s">
        <v>1462</v>
      </c>
      <c r="D1489" s="8" t="s">
        <v>2035</v>
      </c>
      <c r="E1489" s="8" t="s">
        <v>2029</v>
      </c>
      <c r="F1489" s="9">
        <v>7.91</v>
      </c>
    </row>
    <row r="1490" spans="3:6" hidden="1" x14ac:dyDescent="0.3">
      <c r="C1490" s="10" t="s">
        <v>1463</v>
      </c>
      <c r="D1490" s="11" t="s">
        <v>2038</v>
      </c>
      <c r="E1490" s="11" t="s">
        <v>1998</v>
      </c>
      <c r="F1490" s="12">
        <v>2.9</v>
      </c>
    </row>
    <row r="1491" spans="3:6" hidden="1" x14ac:dyDescent="0.3">
      <c r="C1491" s="7" t="s">
        <v>1464</v>
      </c>
      <c r="D1491" s="8" t="s">
        <v>1975</v>
      </c>
      <c r="E1491" s="8" t="s">
        <v>2031</v>
      </c>
      <c r="F1491" s="9">
        <v>3.7</v>
      </c>
    </row>
    <row r="1492" spans="3:6" hidden="1" x14ac:dyDescent="0.3">
      <c r="C1492" s="10" t="s">
        <v>1465</v>
      </c>
      <c r="D1492" s="11" t="s">
        <v>2035</v>
      </c>
      <c r="E1492" s="11" t="s">
        <v>2005</v>
      </c>
      <c r="F1492" s="12">
        <v>1.88</v>
      </c>
    </row>
    <row r="1493" spans="3:6" hidden="1" x14ac:dyDescent="0.3">
      <c r="C1493" s="7" t="s">
        <v>1466</v>
      </c>
      <c r="D1493" s="8" t="s">
        <v>2034</v>
      </c>
      <c r="E1493" s="8" t="s">
        <v>1993</v>
      </c>
      <c r="F1493" s="9">
        <v>6.04</v>
      </c>
    </row>
    <row r="1494" spans="3:6" hidden="1" x14ac:dyDescent="0.3">
      <c r="C1494" s="10" t="s">
        <v>1467</v>
      </c>
      <c r="D1494" s="11" t="s">
        <v>2049</v>
      </c>
      <c r="E1494" s="11" t="s">
        <v>2022</v>
      </c>
      <c r="F1494" s="12">
        <v>8.52</v>
      </c>
    </row>
    <row r="1495" spans="3:6" hidden="1" x14ac:dyDescent="0.3">
      <c r="C1495" s="7" t="s">
        <v>1468</v>
      </c>
      <c r="D1495" s="8" t="s">
        <v>2041</v>
      </c>
      <c r="E1495" s="8" t="s">
        <v>1998</v>
      </c>
      <c r="F1495" s="9">
        <v>2.69</v>
      </c>
    </row>
    <row r="1496" spans="3:6" hidden="1" x14ac:dyDescent="0.3">
      <c r="C1496" s="10" t="s">
        <v>1469</v>
      </c>
      <c r="D1496" s="11" t="s">
        <v>2037</v>
      </c>
      <c r="E1496" s="11" t="s">
        <v>1979</v>
      </c>
      <c r="F1496" s="12">
        <v>0.82</v>
      </c>
    </row>
    <row r="1497" spans="3:6" hidden="1" x14ac:dyDescent="0.3">
      <c r="C1497" s="7" t="s">
        <v>1470</v>
      </c>
      <c r="D1497" s="8" t="s">
        <v>2034</v>
      </c>
      <c r="E1497" s="8" t="s">
        <v>2025</v>
      </c>
      <c r="F1497" s="9">
        <v>1.1200000000000001</v>
      </c>
    </row>
    <row r="1498" spans="3:6" hidden="1" x14ac:dyDescent="0.3">
      <c r="C1498" s="10" t="s">
        <v>1471</v>
      </c>
      <c r="D1498" s="11" t="s">
        <v>2034</v>
      </c>
      <c r="E1498" s="11" t="s">
        <v>2025</v>
      </c>
      <c r="F1498" s="12">
        <v>2.38</v>
      </c>
    </row>
    <row r="1499" spans="3:6" hidden="1" x14ac:dyDescent="0.3">
      <c r="C1499" s="7" t="s">
        <v>1472</v>
      </c>
      <c r="D1499" s="8" t="s">
        <v>2034</v>
      </c>
      <c r="E1499" s="8" t="s">
        <v>2015</v>
      </c>
      <c r="F1499" s="9">
        <v>6.71</v>
      </c>
    </row>
    <row r="1500" spans="3:6" hidden="1" x14ac:dyDescent="0.3">
      <c r="C1500" s="10" t="s">
        <v>1473</v>
      </c>
      <c r="D1500" s="11" t="s">
        <v>2043</v>
      </c>
      <c r="E1500" s="11" t="s">
        <v>2029</v>
      </c>
      <c r="F1500" s="12">
        <v>6.59</v>
      </c>
    </row>
    <row r="1501" spans="3:6" hidden="1" x14ac:dyDescent="0.3">
      <c r="C1501" s="7" t="s">
        <v>1474</v>
      </c>
      <c r="D1501" s="8" t="s">
        <v>2034</v>
      </c>
      <c r="E1501" s="8" t="s">
        <v>2023</v>
      </c>
      <c r="F1501" s="9">
        <v>4.26</v>
      </c>
    </row>
    <row r="1502" spans="3:6" hidden="1" x14ac:dyDescent="0.3">
      <c r="C1502" s="10" t="s">
        <v>1475</v>
      </c>
      <c r="D1502" s="11" t="s">
        <v>2043</v>
      </c>
      <c r="E1502" s="11" t="s">
        <v>1993</v>
      </c>
      <c r="F1502" s="12">
        <v>4.6900000000000004</v>
      </c>
    </row>
    <row r="1503" spans="3:6" hidden="1" x14ac:dyDescent="0.3">
      <c r="C1503" s="7" t="s">
        <v>1476</v>
      </c>
      <c r="D1503" s="8" t="s">
        <v>2034</v>
      </c>
      <c r="E1503" s="8" t="s">
        <v>2022</v>
      </c>
      <c r="F1503" s="9">
        <v>1.76</v>
      </c>
    </row>
    <row r="1504" spans="3:6" hidden="1" x14ac:dyDescent="0.3">
      <c r="C1504" s="10" t="s">
        <v>1477</v>
      </c>
      <c r="D1504" s="11" t="s">
        <v>2039</v>
      </c>
      <c r="E1504" s="11" t="s">
        <v>2005</v>
      </c>
      <c r="F1504" s="12">
        <v>3.77</v>
      </c>
    </row>
    <row r="1505" spans="3:6" hidden="1" x14ac:dyDescent="0.3">
      <c r="C1505" s="7" t="s">
        <v>1478</v>
      </c>
      <c r="D1505" s="8" t="s">
        <v>2038</v>
      </c>
      <c r="E1505" s="8" t="s">
        <v>2029</v>
      </c>
      <c r="F1505" s="9">
        <v>14.21</v>
      </c>
    </row>
    <row r="1506" spans="3:6" hidden="1" x14ac:dyDescent="0.3">
      <c r="C1506" s="10" t="s">
        <v>1479</v>
      </c>
      <c r="D1506" s="11" t="s">
        <v>2034</v>
      </c>
      <c r="E1506" s="11" t="s">
        <v>2027</v>
      </c>
      <c r="F1506" s="12">
        <v>10.210000000000001</v>
      </c>
    </row>
    <row r="1507" spans="3:6" hidden="1" x14ac:dyDescent="0.3">
      <c r="C1507" s="7" t="s">
        <v>1480</v>
      </c>
      <c r="D1507" s="8" t="s">
        <v>2057</v>
      </c>
      <c r="E1507" s="8" t="s">
        <v>2030</v>
      </c>
      <c r="F1507" s="9">
        <v>7.78</v>
      </c>
    </row>
    <row r="1508" spans="3:6" hidden="1" x14ac:dyDescent="0.3">
      <c r="C1508" s="10" t="s">
        <v>1481</v>
      </c>
      <c r="D1508" s="11" t="s">
        <v>2034</v>
      </c>
      <c r="E1508" s="11" t="s">
        <v>2026</v>
      </c>
      <c r="F1508" s="12">
        <v>1.61</v>
      </c>
    </row>
    <row r="1509" spans="3:6" hidden="1" x14ac:dyDescent="0.3">
      <c r="C1509" s="7" t="s">
        <v>1482</v>
      </c>
      <c r="D1509" s="8" t="s">
        <v>2034</v>
      </c>
      <c r="E1509" s="8" t="s">
        <v>2002</v>
      </c>
      <c r="F1509" s="9">
        <v>1.77</v>
      </c>
    </row>
    <row r="1510" spans="3:6" hidden="1" x14ac:dyDescent="0.3">
      <c r="C1510" s="10" t="s">
        <v>1483</v>
      </c>
      <c r="D1510" s="11" t="s">
        <v>2038</v>
      </c>
      <c r="E1510" s="11" t="s">
        <v>1998</v>
      </c>
      <c r="F1510" s="12">
        <v>4.7300000000000004</v>
      </c>
    </row>
    <row r="1511" spans="3:6" hidden="1" x14ac:dyDescent="0.3">
      <c r="C1511" s="7" t="s">
        <v>1484</v>
      </c>
      <c r="D1511" s="8" t="s">
        <v>1975</v>
      </c>
      <c r="E1511" s="8" t="s">
        <v>1998</v>
      </c>
      <c r="F1511" s="9">
        <v>6.5</v>
      </c>
    </row>
    <row r="1512" spans="3:6" hidden="1" x14ac:dyDescent="0.3">
      <c r="C1512" s="10" t="s">
        <v>1485</v>
      </c>
      <c r="D1512" s="11" t="s">
        <v>2063</v>
      </c>
      <c r="E1512" s="11" t="s">
        <v>2017</v>
      </c>
      <c r="F1512" s="12">
        <v>2.23</v>
      </c>
    </row>
    <row r="1513" spans="3:6" hidden="1" x14ac:dyDescent="0.3">
      <c r="C1513" s="7" t="s">
        <v>1486</v>
      </c>
      <c r="D1513" s="8" t="s">
        <v>2037</v>
      </c>
      <c r="E1513" s="8" t="s">
        <v>2005</v>
      </c>
      <c r="F1513" s="9">
        <v>4.41</v>
      </c>
    </row>
    <row r="1514" spans="3:6" hidden="1" x14ac:dyDescent="0.3">
      <c r="C1514" s="10" t="s">
        <v>1487</v>
      </c>
      <c r="D1514" s="11" t="s">
        <v>2042</v>
      </c>
      <c r="E1514" s="11" t="s">
        <v>2022</v>
      </c>
      <c r="F1514" s="12">
        <v>9.0299999999999994</v>
      </c>
    </row>
    <row r="1515" spans="3:6" hidden="1" x14ac:dyDescent="0.3">
      <c r="C1515" s="7" t="s">
        <v>1488</v>
      </c>
      <c r="D1515" s="8" t="s">
        <v>2073</v>
      </c>
      <c r="E1515" s="8" t="s">
        <v>2027</v>
      </c>
      <c r="F1515" s="9">
        <v>1.03</v>
      </c>
    </row>
    <row r="1516" spans="3:6" hidden="1" x14ac:dyDescent="0.3">
      <c r="C1516" s="10" t="s">
        <v>1489</v>
      </c>
      <c r="D1516" s="11" t="s">
        <v>2070</v>
      </c>
      <c r="E1516" s="11" t="s">
        <v>2022</v>
      </c>
      <c r="F1516" s="12">
        <v>7.27</v>
      </c>
    </row>
    <row r="1517" spans="3:6" hidden="1" x14ac:dyDescent="0.3">
      <c r="C1517" s="7" t="s">
        <v>1490</v>
      </c>
      <c r="D1517" s="8" t="s">
        <v>2038</v>
      </c>
      <c r="E1517" s="8" t="s">
        <v>1988</v>
      </c>
      <c r="F1517" s="9">
        <v>4.09</v>
      </c>
    </row>
    <row r="1518" spans="3:6" hidden="1" x14ac:dyDescent="0.3">
      <c r="C1518" s="10" t="s">
        <v>1491</v>
      </c>
      <c r="D1518" s="11" t="s">
        <v>2034</v>
      </c>
      <c r="E1518" s="11" t="s">
        <v>2005</v>
      </c>
      <c r="F1518" s="12">
        <v>1.62</v>
      </c>
    </row>
    <row r="1519" spans="3:6" hidden="1" x14ac:dyDescent="0.3">
      <c r="C1519" s="7" t="s">
        <v>1492</v>
      </c>
      <c r="D1519" s="8" t="s">
        <v>2051</v>
      </c>
      <c r="E1519" s="8" t="s">
        <v>1979</v>
      </c>
      <c r="F1519" s="9">
        <v>1.91</v>
      </c>
    </row>
    <row r="1520" spans="3:6" hidden="1" x14ac:dyDescent="0.3">
      <c r="C1520" s="10" t="s">
        <v>1493</v>
      </c>
      <c r="D1520" s="11" t="s">
        <v>2038</v>
      </c>
      <c r="E1520" s="11" t="s">
        <v>2002</v>
      </c>
      <c r="F1520" s="12">
        <v>11.15</v>
      </c>
    </row>
    <row r="1521" spans="3:6" hidden="1" x14ac:dyDescent="0.3">
      <c r="C1521" s="7" t="s">
        <v>1494</v>
      </c>
      <c r="D1521" s="8" t="s">
        <v>2034</v>
      </c>
      <c r="E1521" s="8" t="s">
        <v>2031</v>
      </c>
      <c r="F1521" s="9">
        <v>3.46</v>
      </c>
    </row>
    <row r="1522" spans="3:6" hidden="1" x14ac:dyDescent="0.3">
      <c r="C1522" s="10" t="s">
        <v>1495</v>
      </c>
      <c r="D1522" s="11" t="s">
        <v>2035</v>
      </c>
      <c r="E1522" s="11" t="s">
        <v>2003</v>
      </c>
      <c r="F1522" s="12">
        <v>1.39</v>
      </c>
    </row>
    <row r="1523" spans="3:6" hidden="1" x14ac:dyDescent="0.3">
      <c r="C1523" s="7" t="s">
        <v>1496</v>
      </c>
      <c r="D1523" s="8" t="s">
        <v>2034</v>
      </c>
      <c r="E1523" s="8" t="s">
        <v>1998</v>
      </c>
      <c r="F1523" s="9">
        <v>0.93</v>
      </c>
    </row>
    <row r="1524" spans="3:6" hidden="1" x14ac:dyDescent="0.3">
      <c r="C1524" s="10" t="s">
        <v>1497</v>
      </c>
      <c r="D1524" s="11" t="s">
        <v>2034</v>
      </c>
      <c r="E1524" s="11" t="s">
        <v>1998</v>
      </c>
      <c r="F1524" s="12">
        <v>0.68</v>
      </c>
    </row>
    <row r="1525" spans="3:6" hidden="1" x14ac:dyDescent="0.3">
      <c r="C1525" s="7" t="s">
        <v>1498</v>
      </c>
      <c r="D1525" s="8" t="s">
        <v>2034</v>
      </c>
      <c r="E1525" s="8" t="s">
        <v>1993</v>
      </c>
      <c r="F1525" s="9">
        <v>4.01</v>
      </c>
    </row>
    <row r="1526" spans="3:6" hidden="1" x14ac:dyDescent="0.3">
      <c r="C1526" s="10" t="s">
        <v>1499</v>
      </c>
      <c r="D1526" s="11" t="s">
        <v>2034</v>
      </c>
      <c r="E1526" s="11" t="s">
        <v>2027</v>
      </c>
      <c r="F1526" s="12">
        <v>20.61</v>
      </c>
    </row>
    <row r="1527" spans="3:6" hidden="1" x14ac:dyDescent="0.3">
      <c r="C1527" s="7" t="s">
        <v>1500</v>
      </c>
      <c r="D1527" s="8" t="s">
        <v>2038</v>
      </c>
      <c r="E1527" s="8" t="s">
        <v>1998</v>
      </c>
      <c r="F1527" s="9">
        <v>0.34</v>
      </c>
    </row>
    <row r="1528" spans="3:6" hidden="1" x14ac:dyDescent="0.3">
      <c r="C1528" s="10" t="s">
        <v>1501</v>
      </c>
      <c r="D1528" s="11" t="s">
        <v>2061</v>
      </c>
      <c r="E1528" s="11" t="s">
        <v>1987</v>
      </c>
      <c r="F1528" s="12">
        <v>2.1800000000000002</v>
      </c>
    </row>
    <row r="1529" spans="3:6" hidden="1" x14ac:dyDescent="0.3">
      <c r="C1529" s="7" t="s">
        <v>1502</v>
      </c>
      <c r="D1529" s="8" t="s">
        <v>2063</v>
      </c>
      <c r="E1529" s="8" t="s">
        <v>1998</v>
      </c>
      <c r="F1529" s="9">
        <v>3.02</v>
      </c>
    </row>
    <row r="1530" spans="3:6" hidden="1" x14ac:dyDescent="0.3">
      <c r="C1530" s="10" t="s">
        <v>1503</v>
      </c>
      <c r="D1530" s="11" t="s">
        <v>2074</v>
      </c>
      <c r="E1530" s="11" t="s">
        <v>1992</v>
      </c>
      <c r="F1530" s="12">
        <v>4.91</v>
      </c>
    </row>
    <row r="1531" spans="3:6" hidden="1" x14ac:dyDescent="0.3">
      <c r="C1531" s="7" t="s">
        <v>1504</v>
      </c>
      <c r="D1531" s="8" t="s">
        <v>2034</v>
      </c>
      <c r="E1531" s="8" t="s">
        <v>2023</v>
      </c>
      <c r="F1531" s="9">
        <v>9.16</v>
      </c>
    </row>
    <row r="1532" spans="3:6" hidden="1" x14ac:dyDescent="0.3">
      <c r="C1532" s="10" t="s">
        <v>1505</v>
      </c>
      <c r="D1532" s="11" t="s">
        <v>2043</v>
      </c>
      <c r="E1532" s="11" t="s">
        <v>1987</v>
      </c>
      <c r="F1532" s="12">
        <v>4.5</v>
      </c>
    </row>
    <row r="1533" spans="3:6" hidden="1" x14ac:dyDescent="0.3">
      <c r="C1533" s="7" t="s">
        <v>1506</v>
      </c>
      <c r="D1533" s="8" t="s">
        <v>2053</v>
      </c>
      <c r="E1533" s="8" t="s">
        <v>2015</v>
      </c>
      <c r="F1533" s="9">
        <v>6.56</v>
      </c>
    </row>
    <row r="1534" spans="3:6" hidden="1" x14ac:dyDescent="0.3">
      <c r="C1534" s="10" t="s">
        <v>1507</v>
      </c>
      <c r="D1534" s="11" t="s">
        <v>2061</v>
      </c>
      <c r="E1534" s="11" t="s">
        <v>1979</v>
      </c>
      <c r="F1534" s="12">
        <v>0.86</v>
      </c>
    </row>
    <row r="1535" spans="3:6" hidden="1" x14ac:dyDescent="0.3">
      <c r="C1535" s="7" t="s">
        <v>1508</v>
      </c>
      <c r="D1535" s="8" t="s">
        <v>2065</v>
      </c>
      <c r="E1535" s="8" t="s">
        <v>2028</v>
      </c>
      <c r="F1535" s="9">
        <v>1.74</v>
      </c>
    </row>
    <row r="1536" spans="3:6" hidden="1" x14ac:dyDescent="0.3">
      <c r="C1536" s="10" t="s">
        <v>1509</v>
      </c>
      <c r="D1536" s="11" t="s">
        <v>2034</v>
      </c>
      <c r="E1536" s="11" t="s">
        <v>2017</v>
      </c>
      <c r="F1536" s="12">
        <v>4.32</v>
      </c>
    </row>
    <row r="1537" spans="3:6" hidden="1" x14ac:dyDescent="0.3">
      <c r="C1537" s="7" t="s">
        <v>1510</v>
      </c>
      <c r="D1537" s="8" t="s">
        <v>2034</v>
      </c>
      <c r="E1537" s="8" t="s">
        <v>1993</v>
      </c>
      <c r="F1537" s="9">
        <v>6.09</v>
      </c>
    </row>
    <row r="1538" spans="3:6" hidden="1" x14ac:dyDescent="0.3">
      <c r="C1538" s="10" t="s">
        <v>1511</v>
      </c>
      <c r="D1538" s="11" t="s">
        <v>2034</v>
      </c>
      <c r="E1538" s="11" t="s">
        <v>1979</v>
      </c>
      <c r="F1538" s="12">
        <v>0.74</v>
      </c>
    </row>
    <row r="1539" spans="3:6" hidden="1" x14ac:dyDescent="0.3">
      <c r="C1539" s="7" t="s">
        <v>1512</v>
      </c>
      <c r="D1539" s="8" t="s">
        <v>2034</v>
      </c>
      <c r="E1539" s="8" t="s">
        <v>1979</v>
      </c>
      <c r="F1539" s="9">
        <v>0.9</v>
      </c>
    </row>
    <row r="1540" spans="3:6" hidden="1" x14ac:dyDescent="0.3">
      <c r="C1540" s="10" t="s">
        <v>1513</v>
      </c>
      <c r="D1540" s="11" t="s">
        <v>2069</v>
      </c>
      <c r="E1540" s="11" t="s">
        <v>2030</v>
      </c>
      <c r="F1540" s="12">
        <v>0.76</v>
      </c>
    </row>
    <row r="1541" spans="3:6" hidden="1" x14ac:dyDescent="0.3">
      <c r="C1541" s="7" t="s">
        <v>1514</v>
      </c>
      <c r="D1541" s="8" t="s">
        <v>2034</v>
      </c>
      <c r="E1541" s="8" t="s">
        <v>2031</v>
      </c>
      <c r="F1541" s="9">
        <v>6.98</v>
      </c>
    </row>
    <row r="1542" spans="3:6" hidden="1" x14ac:dyDescent="0.3">
      <c r="C1542" s="10" t="s">
        <v>1515</v>
      </c>
      <c r="D1542" s="11" t="s">
        <v>2040</v>
      </c>
      <c r="E1542" s="11" t="s">
        <v>1979</v>
      </c>
      <c r="F1542" s="12">
        <v>1.05</v>
      </c>
    </row>
    <row r="1543" spans="3:6" hidden="1" x14ac:dyDescent="0.3">
      <c r="C1543" s="7" t="s">
        <v>1516</v>
      </c>
      <c r="D1543" s="8" t="s">
        <v>2047</v>
      </c>
      <c r="E1543" s="8" t="s">
        <v>2023</v>
      </c>
      <c r="F1543" s="9">
        <v>9.59</v>
      </c>
    </row>
    <row r="1544" spans="3:6" hidden="1" x14ac:dyDescent="0.3">
      <c r="C1544" s="10" t="s">
        <v>1517</v>
      </c>
      <c r="D1544" s="11" t="s">
        <v>2065</v>
      </c>
      <c r="E1544" s="11" t="s">
        <v>2027</v>
      </c>
      <c r="F1544" s="12">
        <v>7.23</v>
      </c>
    </row>
    <row r="1545" spans="3:6" hidden="1" x14ac:dyDescent="0.3">
      <c r="C1545" s="7" t="s">
        <v>1518</v>
      </c>
      <c r="D1545" s="8" t="s">
        <v>2034</v>
      </c>
      <c r="E1545" s="8" t="s">
        <v>2022</v>
      </c>
      <c r="F1545" s="9">
        <v>1.23</v>
      </c>
    </row>
    <row r="1546" spans="3:6" hidden="1" x14ac:dyDescent="0.3">
      <c r="C1546" s="10" t="s">
        <v>1519</v>
      </c>
      <c r="D1546" s="11" t="s">
        <v>2034</v>
      </c>
      <c r="E1546" s="11" t="s">
        <v>1986</v>
      </c>
      <c r="F1546" s="12">
        <v>2.86</v>
      </c>
    </row>
    <row r="1547" spans="3:6" hidden="1" x14ac:dyDescent="0.3">
      <c r="C1547" s="7" t="s">
        <v>1520</v>
      </c>
      <c r="D1547" s="8" t="s">
        <v>2041</v>
      </c>
      <c r="E1547" s="8" t="s">
        <v>1988</v>
      </c>
      <c r="F1547" s="9">
        <v>9.19</v>
      </c>
    </row>
    <row r="1548" spans="3:6" hidden="1" x14ac:dyDescent="0.3">
      <c r="C1548" s="10" t="s">
        <v>1521</v>
      </c>
      <c r="D1548" s="11" t="s">
        <v>2034</v>
      </c>
      <c r="E1548" s="11" t="s">
        <v>1979</v>
      </c>
      <c r="F1548" s="12">
        <v>1.03</v>
      </c>
    </row>
    <row r="1549" spans="3:6" hidden="1" x14ac:dyDescent="0.3">
      <c r="C1549" s="7" t="s">
        <v>1522</v>
      </c>
      <c r="D1549" s="8" t="s">
        <v>2039</v>
      </c>
      <c r="E1549" s="8" t="s">
        <v>2030</v>
      </c>
      <c r="F1549" s="9">
        <v>7.61</v>
      </c>
    </row>
    <row r="1550" spans="3:6" hidden="1" x14ac:dyDescent="0.3">
      <c r="C1550" s="10" t="s">
        <v>1523</v>
      </c>
      <c r="D1550" s="11" t="s">
        <v>2065</v>
      </c>
      <c r="E1550" s="11" t="s">
        <v>1979</v>
      </c>
      <c r="F1550" s="12">
        <v>1.46</v>
      </c>
    </row>
    <row r="1551" spans="3:6" hidden="1" x14ac:dyDescent="0.3">
      <c r="C1551" s="7" t="s">
        <v>1524</v>
      </c>
      <c r="D1551" s="8" t="s">
        <v>2045</v>
      </c>
      <c r="E1551" s="8" t="s">
        <v>1997</v>
      </c>
      <c r="F1551" s="9">
        <v>3.95</v>
      </c>
    </row>
    <row r="1552" spans="3:6" hidden="1" x14ac:dyDescent="0.3">
      <c r="C1552" s="10" t="s">
        <v>1525</v>
      </c>
      <c r="D1552" s="11" t="s">
        <v>2037</v>
      </c>
      <c r="E1552" s="11" t="s">
        <v>1986</v>
      </c>
      <c r="F1552" s="12">
        <v>2.5099999999999998</v>
      </c>
    </row>
    <row r="1553" spans="3:6" hidden="1" x14ac:dyDescent="0.3">
      <c r="C1553" s="7" t="s">
        <v>1526</v>
      </c>
      <c r="D1553" s="8" t="s">
        <v>2034</v>
      </c>
      <c r="E1553" s="8" t="s">
        <v>2023</v>
      </c>
      <c r="F1553" s="9">
        <v>3.59</v>
      </c>
    </row>
    <row r="1554" spans="3:6" hidden="1" x14ac:dyDescent="0.3">
      <c r="C1554" s="10" t="s">
        <v>1527</v>
      </c>
      <c r="D1554" s="11" t="s">
        <v>2051</v>
      </c>
      <c r="E1554" s="11" t="s">
        <v>2005</v>
      </c>
      <c r="F1554" s="12">
        <v>2.79</v>
      </c>
    </row>
    <row r="1555" spans="3:6" hidden="1" x14ac:dyDescent="0.3">
      <c r="C1555" s="7" t="s">
        <v>1528</v>
      </c>
      <c r="D1555" s="8" t="s">
        <v>2034</v>
      </c>
      <c r="E1555" s="8" t="s">
        <v>1997</v>
      </c>
      <c r="F1555" s="9">
        <v>6.29</v>
      </c>
    </row>
    <row r="1556" spans="3:6" hidden="1" x14ac:dyDescent="0.3">
      <c r="C1556" s="10" t="s">
        <v>1529</v>
      </c>
      <c r="D1556" s="11" t="s">
        <v>2052</v>
      </c>
      <c r="E1556" s="11" t="s">
        <v>2028</v>
      </c>
      <c r="F1556" s="12">
        <v>2.95</v>
      </c>
    </row>
    <row r="1557" spans="3:6" hidden="1" x14ac:dyDescent="0.3">
      <c r="C1557" s="7" t="s">
        <v>1530</v>
      </c>
      <c r="D1557" s="8" t="s">
        <v>2047</v>
      </c>
      <c r="E1557" s="8" t="s">
        <v>2015</v>
      </c>
      <c r="F1557" s="9">
        <v>1.1299999999999999</v>
      </c>
    </row>
    <row r="1558" spans="3:6" hidden="1" x14ac:dyDescent="0.3">
      <c r="C1558" s="10" t="s">
        <v>1531</v>
      </c>
      <c r="D1558" s="11" t="s">
        <v>2080</v>
      </c>
      <c r="E1558" s="11" t="s">
        <v>2023</v>
      </c>
      <c r="F1558" s="12">
        <v>2.89</v>
      </c>
    </row>
    <row r="1559" spans="3:6" hidden="1" x14ac:dyDescent="0.3">
      <c r="C1559" s="7" t="s">
        <v>1532</v>
      </c>
      <c r="D1559" s="8" t="s">
        <v>2047</v>
      </c>
      <c r="E1559" s="8" t="s">
        <v>2005</v>
      </c>
      <c r="F1559" s="9">
        <v>3.46</v>
      </c>
    </row>
    <row r="1560" spans="3:6" hidden="1" x14ac:dyDescent="0.3">
      <c r="C1560" s="10" t="s">
        <v>1533</v>
      </c>
      <c r="D1560" s="11" t="s">
        <v>2039</v>
      </c>
      <c r="E1560" s="11" t="s">
        <v>2005</v>
      </c>
      <c r="F1560" s="12">
        <v>1.81</v>
      </c>
    </row>
    <row r="1561" spans="3:6" hidden="1" x14ac:dyDescent="0.3">
      <c r="C1561" s="7" t="s">
        <v>1534</v>
      </c>
      <c r="D1561" s="8" t="s">
        <v>2038</v>
      </c>
      <c r="E1561" s="8" t="s">
        <v>2017</v>
      </c>
      <c r="F1561" s="9">
        <v>3.09</v>
      </c>
    </row>
    <row r="1562" spans="3:6" hidden="1" x14ac:dyDescent="0.3">
      <c r="C1562" s="10" t="s">
        <v>1535</v>
      </c>
      <c r="D1562" s="11" t="s">
        <v>2038</v>
      </c>
      <c r="E1562" s="11" t="s">
        <v>2023</v>
      </c>
      <c r="F1562" s="12">
        <v>8.5</v>
      </c>
    </row>
    <row r="1563" spans="3:6" hidden="1" x14ac:dyDescent="0.3">
      <c r="C1563" s="7" t="s">
        <v>1536</v>
      </c>
      <c r="D1563" s="8" t="s">
        <v>2034</v>
      </c>
      <c r="E1563" s="8" t="s">
        <v>2017</v>
      </c>
      <c r="F1563" s="9">
        <v>2.5099999999999998</v>
      </c>
    </row>
    <row r="1564" spans="3:6" hidden="1" x14ac:dyDescent="0.3">
      <c r="C1564" s="10" t="s">
        <v>1537</v>
      </c>
      <c r="D1564" s="11" t="s">
        <v>2034</v>
      </c>
      <c r="E1564" s="11" t="s">
        <v>2017</v>
      </c>
      <c r="F1564" s="12">
        <v>3.37</v>
      </c>
    </row>
    <row r="1565" spans="3:6" hidden="1" x14ac:dyDescent="0.3">
      <c r="C1565" s="7" t="s">
        <v>1538</v>
      </c>
      <c r="D1565" s="8" t="s">
        <v>2035</v>
      </c>
      <c r="E1565" s="8" t="s">
        <v>2015</v>
      </c>
      <c r="F1565" s="9">
        <v>5.0199999999999996</v>
      </c>
    </row>
    <row r="1566" spans="3:6" hidden="1" x14ac:dyDescent="0.3">
      <c r="C1566" s="10" t="s">
        <v>1539</v>
      </c>
      <c r="D1566" s="11" t="s">
        <v>2081</v>
      </c>
      <c r="E1566" s="11" t="s">
        <v>1979</v>
      </c>
      <c r="F1566" s="12">
        <v>0.9</v>
      </c>
    </row>
    <row r="1567" spans="3:6" hidden="1" x14ac:dyDescent="0.3">
      <c r="C1567" s="7" t="s">
        <v>1540</v>
      </c>
      <c r="D1567" s="8" t="s">
        <v>2034</v>
      </c>
      <c r="E1567" s="8" t="s">
        <v>2022</v>
      </c>
      <c r="F1567" s="9">
        <v>1.05</v>
      </c>
    </row>
    <row r="1568" spans="3:6" hidden="1" x14ac:dyDescent="0.3">
      <c r="C1568" s="10" t="s">
        <v>1541</v>
      </c>
      <c r="D1568" s="11" t="s">
        <v>2034</v>
      </c>
      <c r="E1568" s="11" t="s">
        <v>2025</v>
      </c>
      <c r="F1568" s="12">
        <v>1.1200000000000001</v>
      </c>
    </row>
    <row r="1569" spans="3:6" hidden="1" x14ac:dyDescent="0.3">
      <c r="C1569" s="7" t="s">
        <v>1542</v>
      </c>
      <c r="D1569" s="8" t="s">
        <v>2065</v>
      </c>
      <c r="E1569" s="8" t="s">
        <v>2030</v>
      </c>
      <c r="F1569" s="9">
        <v>4.1100000000000003</v>
      </c>
    </row>
    <row r="1570" spans="3:6" hidden="1" x14ac:dyDescent="0.3">
      <c r="C1570" s="10" t="s">
        <v>1543</v>
      </c>
      <c r="D1570" s="11" t="s">
        <v>2034</v>
      </c>
      <c r="E1570" s="11" t="s">
        <v>1998</v>
      </c>
      <c r="F1570" s="12">
        <v>0.95</v>
      </c>
    </row>
    <row r="1571" spans="3:6" hidden="1" x14ac:dyDescent="0.3">
      <c r="C1571" s="7" t="s">
        <v>1544</v>
      </c>
      <c r="D1571" s="8" t="s">
        <v>2041</v>
      </c>
      <c r="E1571" s="8" t="s">
        <v>2004</v>
      </c>
      <c r="F1571" s="9">
        <v>2.1</v>
      </c>
    </row>
    <row r="1572" spans="3:6" hidden="1" x14ac:dyDescent="0.3">
      <c r="C1572" s="10" t="s">
        <v>1545</v>
      </c>
      <c r="D1572" s="11" t="s">
        <v>2034</v>
      </c>
      <c r="E1572" s="11" t="s">
        <v>2005</v>
      </c>
      <c r="F1572" s="12">
        <v>1.1200000000000001</v>
      </c>
    </row>
    <row r="1573" spans="3:6" hidden="1" x14ac:dyDescent="0.3">
      <c r="C1573" s="7" t="s">
        <v>1546</v>
      </c>
      <c r="D1573" s="8" t="s">
        <v>2035</v>
      </c>
      <c r="E1573" s="8" t="s">
        <v>1986</v>
      </c>
      <c r="F1573" s="9">
        <v>2.16</v>
      </c>
    </row>
    <row r="1574" spans="3:6" hidden="1" x14ac:dyDescent="0.3">
      <c r="C1574" s="10" t="s">
        <v>1547</v>
      </c>
      <c r="D1574" s="11" t="s">
        <v>2038</v>
      </c>
      <c r="E1574" s="11" t="s">
        <v>1979</v>
      </c>
      <c r="F1574" s="12">
        <v>1.04</v>
      </c>
    </row>
    <row r="1575" spans="3:6" hidden="1" x14ac:dyDescent="0.3">
      <c r="C1575" s="7" t="s">
        <v>1548</v>
      </c>
      <c r="D1575" s="8" t="s">
        <v>2038</v>
      </c>
      <c r="E1575" s="8" t="s">
        <v>1979</v>
      </c>
      <c r="F1575" s="9">
        <v>0.83</v>
      </c>
    </row>
    <row r="1576" spans="3:6" hidden="1" x14ac:dyDescent="0.3">
      <c r="C1576" s="10" t="s">
        <v>1549</v>
      </c>
      <c r="D1576" s="11" t="s">
        <v>2034</v>
      </c>
      <c r="E1576" s="11" t="s">
        <v>1997</v>
      </c>
      <c r="F1576" s="12">
        <v>8.9</v>
      </c>
    </row>
    <row r="1577" spans="3:6" hidden="1" x14ac:dyDescent="0.3">
      <c r="C1577" s="7" t="s">
        <v>1550</v>
      </c>
      <c r="D1577" s="8" t="s">
        <v>2053</v>
      </c>
      <c r="E1577" s="8" t="s">
        <v>2015</v>
      </c>
      <c r="F1577" s="9">
        <v>6.2</v>
      </c>
    </row>
    <row r="1578" spans="3:6" hidden="1" x14ac:dyDescent="0.3">
      <c r="C1578" s="10" t="s">
        <v>1551</v>
      </c>
      <c r="D1578" s="11" t="s">
        <v>2047</v>
      </c>
      <c r="E1578" s="11" t="s">
        <v>2015</v>
      </c>
      <c r="F1578" s="12">
        <v>8.35</v>
      </c>
    </row>
    <row r="1579" spans="3:6" hidden="1" x14ac:dyDescent="0.3">
      <c r="C1579" s="7" t="s">
        <v>1552</v>
      </c>
      <c r="D1579" s="8" t="s">
        <v>2034</v>
      </c>
      <c r="E1579" s="8" t="s">
        <v>1999</v>
      </c>
      <c r="F1579" s="9">
        <v>1.18</v>
      </c>
    </row>
    <row r="1580" spans="3:6" hidden="1" x14ac:dyDescent="0.3">
      <c r="C1580" s="10" t="s">
        <v>1553</v>
      </c>
      <c r="D1580" s="11" t="s">
        <v>2065</v>
      </c>
      <c r="E1580" s="11" t="s">
        <v>2028</v>
      </c>
      <c r="F1580" s="12">
        <v>2.06</v>
      </c>
    </row>
    <row r="1581" spans="3:6" hidden="1" x14ac:dyDescent="0.3">
      <c r="C1581" s="7" t="s">
        <v>1554</v>
      </c>
      <c r="D1581" s="8" t="s">
        <v>2035</v>
      </c>
      <c r="E1581" s="8" t="s">
        <v>2023</v>
      </c>
      <c r="F1581" s="9">
        <v>7.46</v>
      </c>
    </row>
    <row r="1582" spans="3:6" hidden="1" x14ac:dyDescent="0.3">
      <c r="C1582" s="10" t="s">
        <v>1555</v>
      </c>
      <c r="D1582" s="11" t="s">
        <v>2065</v>
      </c>
      <c r="E1582" s="11" t="s">
        <v>1979</v>
      </c>
      <c r="F1582" s="12">
        <v>0.98</v>
      </c>
    </row>
    <row r="1583" spans="3:6" hidden="1" x14ac:dyDescent="0.3">
      <c r="C1583" s="7" t="s">
        <v>1556</v>
      </c>
      <c r="D1583" s="8" t="s">
        <v>2075</v>
      </c>
      <c r="E1583" s="8" t="s">
        <v>2015</v>
      </c>
      <c r="F1583" s="9">
        <v>2.37</v>
      </c>
    </row>
    <row r="1584" spans="3:6" hidden="1" x14ac:dyDescent="0.3">
      <c r="C1584" s="10" t="s">
        <v>1557</v>
      </c>
      <c r="D1584" s="11" t="s">
        <v>2038</v>
      </c>
      <c r="E1584" s="11" t="s">
        <v>1999</v>
      </c>
      <c r="F1584" s="12">
        <v>1.36</v>
      </c>
    </row>
    <row r="1585" spans="3:6" hidden="1" x14ac:dyDescent="0.3">
      <c r="C1585" s="7" t="s">
        <v>1558</v>
      </c>
      <c r="D1585" s="8" t="s">
        <v>2034</v>
      </c>
      <c r="E1585" s="8" t="s">
        <v>2015</v>
      </c>
      <c r="F1585" s="9">
        <v>6.91</v>
      </c>
    </row>
    <row r="1586" spans="3:6" hidden="1" x14ac:dyDescent="0.3">
      <c r="C1586" s="10" t="s">
        <v>1559</v>
      </c>
      <c r="D1586" s="11" t="s">
        <v>2035</v>
      </c>
      <c r="E1586" s="11" t="s">
        <v>1993</v>
      </c>
      <c r="F1586" s="12">
        <v>8.94</v>
      </c>
    </row>
    <row r="1587" spans="3:6" hidden="1" x14ac:dyDescent="0.3">
      <c r="C1587" s="7" t="s">
        <v>1560</v>
      </c>
      <c r="D1587" s="8" t="s">
        <v>2041</v>
      </c>
      <c r="E1587" s="8" t="s">
        <v>2030</v>
      </c>
      <c r="F1587" s="9">
        <v>2.71</v>
      </c>
    </row>
    <row r="1588" spans="3:6" hidden="1" x14ac:dyDescent="0.3">
      <c r="C1588" s="10" t="s">
        <v>1561</v>
      </c>
      <c r="D1588" s="11" t="s">
        <v>2074</v>
      </c>
      <c r="E1588" s="11" t="s">
        <v>2003</v>
      </c>
      <c r="F1588" s="12">
        <v>1.44</v>
      </c>
    </row>
    <row r="1589" spans="3:6" hidden="1" x14ac:dyDescent="0.3">
      <c r="C1589" s="7" t="s">
        <v>1562</v>
      </c>
      <c r="D1589" s="8" t="s">
        <v>2042</v>
      </c>
      <c r="E1589" s="8" t="s">
        <v>2001</v>
      </c>
      <c r="F1589" s="9">
        <v>5.17</v>
      </c>
    </row>
    <row r="1590" spans="3:6" hidden="1" x14ac:dyDescent="0.3">
      <c r="C1590" s="10" t="s">
        <v>1563</v>
      </c>
      <c r="D1590" s="11" t="s">
        <v>2035</v>
      </c>
      <c r="E1590" s="11" t="s">
        <v>1986</v>
      </c>
      <c r="F1590" s="12">
        <v>6.09</v>
      </c>
    </row>
    <row r="1591" spans="3:6" hidden="1" x14ac:dyDescent="0.3">
      <c r="C1591" s="7" t="s">
        <v>1564</v>
      </c>
      <c r="D1591" s="8" t="s">
        <v>2035</v>
      </c>
      <c r="E1591" s="8" t="s">
        <v>1993</v>
      </c>
      <c r="F1591" s="9">
        <v>4.53</v>
      </c>
    </row>
    <row r="1592" spans="3:6" hidden="1" x14ac:dyDescent="0.3">
      <c r="C1592" s="10" t="s">
        <v>1565</v>
      </c>
      <c r="D1592" s="11" t="s">
        <v>2034</v>
      </c>
      <c r="E1592" s="11" t="s">
        <v>1979</v>
      </c>
      <c r="F1592" s="12">
        <v>1.1200000000000001</v>
      </c>
    </row>
    <row r="1593" spans="3:6" hidden="1" x14ac:dyDescent="0.3">
      <c r="C1593" s="7" t="s">
        <v>1566</v>
      </c>
      <c r="D1593" s="8" t="s">
        <v>2034</v>
      </c>
      <c r="E1593" s="8" t="s">
        <v>1993</v>
      </c>
      <c r="F1593" s="9">
        <v>5.14</v>
      </c>
    </row>
    <row r="1594" spans="3:6" hidden="1" x14ac:dyDescent="0.3">
      <c r="C1594" s="10" t="s">
        <v>1567</v>
      </c>
      <c r="D1594" s="11" t="s">
        <v>1975</v>
      </c>
      <c r="E1594" s="11" t="s">
        <v>1988</v>
      </c>
      <c r="F1594" s="12">
        <v>3.91</v>
      </c>
    </row>
    <row r="1595" spans="3:6" hidden="1" x14ac:dyDescent="0.3">
      <c r="C1595" s="7" t="s">
        <v>1568</v>
      </c>
      <c r="D1595" s="8" t="s">
        <v>2038</v>
      </c>
      <c r="E1595" s="8" t="s">
        <v>1997</v>
      </c>
      <c r="F1595" s="9">
        <v>6.84</v>
      </c>
    </row>
    <row r="1596" spans="3:6" hidden="1" x14ac:dyDescent="0.3">
      <c r="C1596" s="10" t="s">
        <v>1569</v>
      </c>
      <c r="D1596" s="11" t="s">
        <v>2036</v>
      </c>
      <c r="E1596" s="11" t="s">
        <v>2001</v>
      </c>
      <c r="F1596" s="12">
        <v>2.35</v>
      </c>
    </row>
    <row r="1597" spans="3:6" hidden="1" x14ac:dyDescent="0.3">
      <c r="C1597" s="7" t="s">
        <v>1570</v>
      </c>
      <c r="D1597" s="8" t="s">
        <v>2040</v>
      </c>
      <c r="E1597" s="8" t="s">
        <v>2015</v>
      </c>
      <c r="F1597" s="9">
        <v>4.9800000000000004</v>
      </c>
    </row>
    <row r="1598" spans="3:6" hidden="1" x14ac:dyDescent="0.3">
      <c r="C1598" s="10" t="s">
        <v>1571</v>
      </c>
      <c r="D1598" s="11" t="s">
        <v>2051</v>
      </c>
      <c r="E1598" s="11" t="s">
        <v>2030</v>
      </c>
      <c r="F1598" s="12">
        <v>1.74</v>
      </c>
    </row>
    <row r="1599" spans="3:6" hidden="1" x14ac:dyDescent="0.3">
      <c r="C1599" s="7" t="s">
        <v>1572</v>
      </c>
      <c r="D1599" s="8" t="s">
        <v>2038</v>
      </c>
      <c r="E1599" s="8" t="s">
        <v>2001</v>
      </c>
      <c r="F1599" s="9">
        <v>8.7200000000000006</v>
      </c>
    </row>
    <row r="1600" spans="3:6" hidden="1" x14ac:dyDescent="0.3">
      <c r="C1600" s="10" t="s">
        <v>1573</v>
      </c>
      <c r="D1600" s="11" t="s">
        <v>2038</v>
      </c>
      <c r="E1600" s="11" t="s">
        <v>1979</v>
      </c>
      <c r="F1600" s="12">
        <v>0.8</v>
      </c>
    </row>
    <row r="1601" spans="3:7" hidden="1" x14ac:dyDescent="0.3">
      <c r="C1601" s="7" t="s">
        <v>1574</v>
      </c>
      <c r="D1601" s="8" t="s">
        <v>2034</v>
      </c>
      <c r="E1601" s="8" t="s">
        <v>1993</v>
      </c>
      <c r="F1601" s="9">
        <v>5.19</v>
      </c>
    </row>
    <row r="1602" spans="3:7" hidden="1" x14ac:dyDescent="0.3">
      <c r="C1602" s="10" t="s">
        <v>1575</v>
      </c>
      <c r="D1602" s="11" t="s">
        <v>2034</v>
      </c>
      <c r="E1602" s="11" t="s">
        <v>2023</v>
      </c>
      <c r="F1602" s="12">
        <v>7.75</v>
      </c>
    </row>
    <row r="1603" spans="3:7" hidden="1" x14ac:dyDescent="0.3">
      <c r="C1603" s="7" t="s">
        <v>1576</v>
      </c>
      <c r="D1603" s="8" t="s">
        <v>2034</v>
      </c>
      <c r="E1603" s="8" t="s">
        <v>2031</v>
      </c>
      <c r="F1603" s="9">
        <v>6.96</v>
      </c>
    </row>
    <row r="1604" spans="3:7" hidden="1" x14ac:dyDescent="0.3">
      <c r="C1604" s="10" t="s">
        <v>1577</v>
      </c>
      <c r="D1604" s="11" t="s">
        <v>2065</v>
      </c>
      <c r="E1604" s="11" t="s">
        <v>1979</v>
      </c>
      <c r="F1604" s="12">
        <v>1.07</v>
      </c>
    </row>
    <row r="1605" spans="3:7" hidden="1" x14ac:dyDescent="0.3">
      <c r="C1605" s="7" t="s">
        <v>1578</v>
      </c>
      <c r="D1605" s="8" t="s">
        <v>2061</v>
      </c>
      <c r="E1605" s="8" t="s">
        <v>1979</v>
      </c>
      <c r="F1605" s="9">
        <v>1.84</v>
      </c>
    </row>
    <row r="1606" spans="3:7" hidden="1" x14ac:dyDescent="0.3">
      <c r="C1606" s="10" t="s">
        <v>1579</v>
      </c>
      <c r="D1606" s="11" t="s">
        <v>2035</v>
      </c>
      <c r="E1606" s="11" t="s">
        <v>2003</v>
      </c>
      <c r="F1606" s="12">
        <v>2.93</v>
      </c>
    </row>
    <row r="1607" spans="3:7" x14ac:dyDescent="0.3">
      <c r="C1607" s="10" t="s">
        <v>804</v>
      </c>
      <c r="D1607" s="11" t="s">
        <v>2046</v>
      </c>
      <c r="E1607" s="11" t="s">
        <v>2028</v>
      </c>
      <c r="F1607" s="12">
        <v>5.92</v>
      </c>
      <c r="G1607" s="26">
        <f>F1607*$G$2</f>
        <v>1.1839999999999999</v>
      </c>
    </row>
    <row r="1608" spans="3:7" hidden="1" x14ac:dyDescent="0.3">
      <c r="C1608" s="10" t="s">
        <v>1581</v>
      </c>
      <c r="D1608" s="11" t="s">
        <v>2038</v>
      </c>
      <c r="E1608" s="11" t="s">
        <v>2017</v>
      </c>
      <c r="F1608" s="12">
        <v>10.17</v>
      </c>
    </row>
    <row r="1609" spans="3:7" hidden="1" x14ac:dyDescent="0.3">
      <c r="C1609" s="7" t="s">
        <v>1582</v>
      </c>
      <c r="D1609" s="8" t="s">
        <v>2039</v>
      </c>
      <c r="E1609" s="8" t="s">
        <v>2015</v>
      </c>
      <c r="F1609" s="9">
        <v>3.42</v>
      </c>
    </row>
    <row r="1610" spans="3:7" hidden="1" x14ac:dyDescent="0.3">
      <c r="C1610" s="10" t="s">
        <v>1583</v>
      </c>
      <c r="D1610" s="11" t="s">
        <v>2034</v>
      </c>
      <c r="E1610" s="11" t="s">
        <v>2027</v>
      </c>
      <c r="F1610" s="12">
        <v>3.2</v>
      </c>
    </row>
    <row r="1611" spans="3:7" hidden="1" x14ac:dyDescent="0.3">
      <c r="C1611" s="7" t="s">
        <v>1584</v>
      </c>
      <c r="D1611" s="8" t="s">
        <v>2044</v>
      </c>
      <c r="E1611" s="8" t="s">
        <v>2028</v>
      </c>
      <c r="F1611" s="9">
        <v>3.41</v>
      </c>
    </row>
    <row r="1612" spans="3:7" hidden="1" x14ac:dyDescent="0.3">
      <c r="C1612" s="10" t="s">
        <v>1585</v>
      </c>
      <c r="D1612" s="11" t="s">
        <v>2034</v>
      </c>
      <c r="E1612" s="11" t="s">
        <v>2005</v>
      </c>
      <c r="F1612" s="12">
        <v>2.61</v>
      </c>
    </row>
    <row r="1613" spans="3:7" hidden="1" x14ac:dyDescent="0.3">
      <c r="C1613" s="7" t="s">
        <v>1586</v>
      </c>
      <c r="D1613" s="8" t="s">
        <v>2038</v>
      </c>
      <c r="E1613" s="8" t="s">
        <v>1979</v>
      </c>
      <c r="F1613" s="9">
        <v>0.92</v>
      </c>
    </row>
    <row r="1614" spans="3:7" hidden="1" x14ac:dyDescent="0.3">
      <c r="C1614" s="10" t="s">
        <v>1587</v>
      </c>
      <c r="D1614" s="11" t="s">
        <v>2036</v>
      </c>
      <c r="E1614" s="11" t="s">
        <v>1986</v>
      </c>
      <c r="F1614" s="12">
        <v>8.1</v>
      </c>
    </row>
    <row r="1615" spans="3:7" hidden="1" x14ac:dyDescent="0.3">
      <c r="C1615" s="7" t="s">
        <v>1588</v>
      </c>
      <c r="D1615" s="8" t="s">
        <v>2034</v>
      </c>
      <c r="E1615" s="8" t="s">
        <v>1998</v>
      </c>
      <c r="F1615" s="9">
        <v>0.72</v>
      </c>
    </row>
    <row r="1616" spans="3:7" hidden="1" x14ac:dyDescent="0.3">
      <c r="C1616" s="10" t="s">
        <v>1589</v>
      </c>
      <c r="D1616" s="11" t="s">
        <v>2038</v>
      </c>
      <c r="E1616" s="11" t="s">
        <v>1979</v>
      </c>
      <c r="F1616" s="12">
        <v>0.75</v>
      </c>
    </row>
    <row r="1617" spans="3:6" hidden="1" x14ac:dyDescent="0.3">
      <c r="C1617" s="7" t="s">
        <v>1590</v>
      </c>
      <c r="D1617" s="8" t="s">
        <v>2034</v>
      </c>
      <c r="E1617" s="8" t="s">
        <v>1999</v>
      </c>
      <c r="F1617" s="9">
        <v>1.92</v>
      </c>
    </row>
    <row r="1618" spans="3:6" hidden="1" x14ac:dyDescent="0.3">
      <c r="C1618" s="10" t="s">
        <v>1591</v>
      </c>
      <c r="D1618" s="11" t="s">
        <v>2038</v>
      </c>
      <c r="E1618" s="11" t="s">
        <v>1979</v>
      </c>
      <c r="F1618" s="12">
        <v>0.77</v>
      </c>
    </row>
    <row r="1619" spans="3:6" hidden="1" x14ac:dyDescent="0.3">
      <c r="C1619" s="7" t="s">
        <v>1592</v>
      </c>
      <c r="D1619" s="8" t="s">
        <v>2038</v>
      </c>
      <c r="E1619" s="8" t="s">
        <v>1979</v>
      </c>
      <c r="F1619" s="9">
        <v>0.94</v>
      </c>
    </row>
    <row r="1620" spans="3:6" hidden="1" x14ac:dyDescent="0.3">
      <c r="C1620" s="10" t="s">
        <v>1593</v>
      </c>
      <c r="D1620" s="11" t="s">
        <v>2034</v>
      </c>
      <c r="E1620" s="11" t="s">
        <v>2023</v>
      </c>
      <c r="F1620" s="12">
        <v>2.35</v>
      </c>
    </row>
    <row r="1621" spans="3:6" hidden="1" x14ac:dyDescent="0.3">
      <c r="C1621" s="7" t="s">
        <v>1594</v>
      </c>
      <c r="D1621" s="8" t="s">
        <v>2034</v>
      </c>
      <c r="E1621" s="8" t="s">
        <v>2022</v>
      </c>
      <c r="F1621" s="9">
        <v>0.51</v>
      </c>
    </row>
    <row r="1622" spans="3:6" hidden="1" x14ac:dyDescent="0.3">
      <c r="C1622" s="10" t="s">
        <v>1595</v>
      </c>
      <c r="D1622" s="11" t="s">
        <v>2034</v>
      </c>
      <c r="E1622" s="11" t="s">
        <v>2000</v>
      </c>
      <c r="F1622" s="12">
        <v>5.72</v>
      </c>
    </row>
    <row r="1623" spans="3:6" hidden="1" x14ac:dyDescent="0.3">
      <c r="C1623" s="7" t="s">
        <v>1596</v>
      </c>
      <c r="D1623" s="8" t="s">
        <v>2034</v>
      </c>
      <c r="E1623" s="8" t="s">
        <v>1979</v>
      </c>
      <c r="F1623" s="9">
        <v>1.0900000000000001</v>
      </c>
    </row>
    <row r="1624" spans="3:6" hidden="1" x14ac:dyDescent="0.3">
      <c r="C1624" s="10" t="s">
        <v>1597</v>
      </c>
      <c r="D1624" s="11" t="s">
        <v>2038</v>
      </c>
      <c r="E1624" s="11" t="s">
        <v>1998</v>
      </c>
      <c r="F1624" s="12">
        <v>4.0199999999999996</v>
      </c>
    </row>
    <row r="1625" spans="3:6" hidden="1" x14ac:dyDescent="0.3">
      <c r="C1625" s="7" t="s">
        <v>1598</v>
      </c>
      <c r="D1625" s="8" t="s">
        <v>2080</v>
      </c>
      <c r="E1625" s="8" t="s">
        <v>1979</v>
      </c>
      <c r="F1625" s="9">
        <v>1.1499999999999999</v>
      </c>
    </row>
    <row r="1626" spans="3:6" hidden="1" x14ac:dyDescent="0.3">
      <c r="C1626" s="10" t="s">
        <v>1599</v>
      </c>
      <c r="D1626" s="11" t="s">
        <v>2034</v>
      </c>
      <c r="E1626" s="11" t="s">
        <v>2002</v>
      </c>
      <c r="F1626" s="12">
        <v>2.63</v>
      </c>
    </row>
    <row r="1627" spans="3:6" hidden="1" x14ac:dyDescent="0.3">
      <c r="C1627" s="7" t="s">
        <v>1600</v>
      </c>
      <c r="D1627" s="8" t="s">
        <v>2044</v>
      </c>
      <c r="E1627" s="8" t="s">
        <v>2015</v>
      </c>
      <c r="F1627" s="9">
        <v>1.35</v>
      </c>
    </row>
    <row r="1628" spans="3:6" hidden="1" x14ac:dyDescent="0.3">
      <c r="C1628" s="10" t="s">
        <v>1601</v>
      </c>
      <c r="D1628" s="11" t="s">
        <v>2034</v>
      </c>
      <c r="E1628" s="11" t="s">
        <v>2031</v>
      </c>
      <c r="F1628" s="12">
        <v>5.89</v>
      </c>
    </row>
    <row r="1629" spans="3:6" hidden="1" x14ac:dyDescent="0.3">
      <c r="C1629" s="7" t="s">
        <v>1602</v>
      </c>
      <c r="D1629" s="8" t="s">
        <v>2038</v>
      </c>
      <c r="E1629" s="8" t="s">
        <v>2030</v>
      </c>
      <c r="F1629" s="9">
        <v>4.04</v>
      </c>
    </row>
    <row r="1630" spans="3:6" hidden="1" x14ac:dyDescent="0.3">
      <c r="C1630" s="10" t="s">
        <v>1603</v>
      </c>
      <c r="D1630" s="11" t="s">
        <v>2038</v>
      </c>
      <c r="E1630" s="11" t="s">
        <v>1979</v>
      </c>
      <c r="F1630" s="12">
        <v>0.8</v>
      </c>
    </row>
    <row r="1631" spans="3:6" hidden="1" x14ac:dyDescent="0.3">
      <c r="C1631" s="7" t="s">
        <v>1604</v>
      </c>
      <c r="D1631" s="8" t="s">
        <v>2034</v>
      </c>
      <c r="E1631" s="8" t="s">
        <v>1997</v>
      </c>
      <c r="F1631" s="9">
        <v>3.29</v>
      </c>
    </row>
    <row r="1632" spans="3:6" hidden="1" x14ac:dyDescent="0.3">
      <c r="C1632" s="10" t="s">
        <v>1605</v>
      </c>
      <c r="D1632" s="11" t="s">
        <v>2038</v>
      </c>
      <c r="E1632" s="11" t="s">
        <v>2004</v>
      </c>
      <c r="F1632" s="12">
        <v>4.99</v>
      </c>
    </row>
    <row r="1633" spans="3:6" hidden="1" x14ac:dyDescent="0.3">
      <c r="C1633" s="7" t="s">
        <v>1606</v>
      </c>
      <c r="D1633" s="8" t="s">
        <v>2042</v>
      </c>
      <c r="E1633" s="8" t="s">
        <v>1987</v>
      </c>
      <c r="F1633" s="9">
        <v>4.1500000000000004</v>
      </c>
    </row>
    <row r="1634" spans="3:6" hidden="1" x14ac:dyDescent="0.3">
      <c r="C1634" s="10" t="s">
        <v>1607</v>
      </c>
      <c r="D1634" s="11" t="s">
        <v>2034</v>
      </c>
      <c r="E1634" s="11" t="s">
        <v>2001</v>
      </c>
      <c r="F1634" s="12">
        <v>5.64</v>
      </c>
    </row>
    <row r="1635" spans="3:6" hidden="1" x14ac:dyDescent="0.3">
      <c r="C1635" s="7" t="s">
        <v>1608</v>
      </c>
      <c r="D1635" s="8" t="s">
        <v>2034</v>
      </c>
      <c r="E1635" s="8" t="s">
        <v>2005</v>
      </c>
      <c r="F1635" s="9">
        <v>2.34</v>
      </c>
    </row>
    <row r="1636" spans="3:6" hidden="1" x14ac:dyDescent="0.3">
      <c r="C1636" s="10" t="s">
        <v>1609</v>
      </c>
      <c r="D1636" s="11" t="s">
        <v>2088</v>
      </c>
      <c r="E1636" s="11" t="s">
        <v>2030</v>
      </c>
      <c r="F1636" s="12">
        <v>1.95</v>
      </c>
    </row>
    <row r="1637" spans="3:6" hidden="1" x14ac:dyDescent="0.3">
      <c r="C1637" s="7" t="s">
        <v>1610</v>
      </c>
      <c r="D1637" s="8" t="s">
        <v>2065</v>
      </c>
      <c r="E1637" s="8" t="s">
        <v>2025</v>
      </c>
      <c r="F1637" s="9">
        <v>1.81</v>
      </c>
    </row>
    <row r="1638" spans="3:6" hidden="1" x14ac:dyDescent="0.3">
      <c r="C1638" s="10" t="s">
        <v>1611</v>
      </c>
      <c r="D1638" s="11" t="s">
        <v>2076</v>
      </c>
      <c r="E1638" s="11" t="s">
        <v>2026</v>
      </c>
      <c r="F1638" s="12">
        <v>0.57999999999999996</v>
      </c>
    </row>
    <row r="1639" spans="3:6" hidden="1" x14ac:dyDescent="0.3">
      <c r="C1639" s="7" t="s">
        <v>1612</v>
      </c>
      <c r="D1639" s="8" t="s">
        <v>2038</v>
      </c>
      <c r="E1639" s="8" t="s">
        <v>1979</v>
      </c>
      <c r="F1639" s="9">
        <v>0.91</v>
      </c>
    </row>
    <row r="1640" spans="3:6" hidden="1" x14ac:dyDescent="0.3">
      <c r="C1640" s="10" t="s">
        <v>1613</v>
      </c>
      <c r="D1640" s="11" t="s">
        <v>2034</v>
      </c>
      <c r="E1640" s="11" t="s">
        <v>2023</v>
      </c>
      <c r="F1640" s="12">
        <v>4.74</v>
      </c>
    </row>
    <row r="1641" spans="3:6" hidden="1" x14ac:dyDescent="0.3">
      <c r="C1641" s="7" t="s">
        <v>1614</v>
      </c>
      <c r="D1641" s="8" t="s">
        <v>2034</v>
      </c>
      <c r="E1641" s="8" t="s">
        <v>2023</v>
      </c>
      <c r="F1641" s="9">
        <v>5.08</v>
      </c>
    </row>
    <row r="1642" spans="3:6" hidden="1" x14ac:dyDescent="0.3">
      <c r="C1642" s="10" t="s">
        <v>1615</v>
      </c>
      <c r="D1642" s="11" t="s">
        <v>2076</v>
      </c>
      <c r="E1642" s="11" t="s">
        <v>1979</v>
      </c>
      <c r="F1642" s="12">
        <v>2.12</v>
      </c>
    </row>
    <row r="1643" spans="3:6" hidden="1" x14ac:dyDescent="0.3">
      <c r="C1643" s="7" t="s">
        <v>1616</v>
      </c>
      <c r="D1643" s="8" t="s">
        <v>2066</v>
      </c>
      <c r="E1643" s="8" t="s">
        <v>1987</v>
      </c>
      <c r="F1643" s="9">
        <v>3.64</v>
      </c>
    </row>
    <row r="1644" spans="3:6" hidden="1" x14ac:dyDescent="0.3">
      <c r="C1644" s="10" t="s">
        <v>1617</v>
      </c>
      <c r="D1644" s="11" t="s">
        <v>2038</v>
      </c>
      <c r="E1644" s="11" t="s">
        <v>1979</v>
      </c>
      <c r="F1644" s="12">
        <v>0.64</v>
      </c>
    </row>
    <row r="1645" spans="3:6" hidden="1" x14ac:dyDescent="0.3">
      <c r="C1645" s="7" t="s">
        <v>1618</v>
      </c>
      <c r="D1645" s="8" t="s">
        <v>2052</v>
      </c>
      <c r="E1645" s="8" t="s">
        <v>1998</v>
      </c>
      <c r="F1645" s="9">
        <v>0.47</v>
      </c>
    </row>
    <row r="1646" spans="3:6" hidden="1" x14ac:dyDescent="0.3">
      <c r="C1646" s="10" t="s">
        <v>1619</v>
      </c>
      <c r="D1646" s="11" t="s">
        <v>2034</v>
      </c>
      <c r="E1646" s="11" t="s">
        <v>1987</v>
      </c>
      <c r="F1646" s="12">
        <v>5.17</v>
      </c>
    </row>
    <row r="1647" spans="3:6" hidden="1" x14ac:dyDescent="0.3">
      <c r="C1647" s="7" t="s">
        <v>1620</v>
      </c>
      <c r="D1647" s="8" t="s">
        <v>2065</v>
      </c>
      <c r="E1647" s="8" t="s">
        <v>1979</v>
      </c>
      <c r="F1647" s="9">
        <v>0.9</v>
      </c>
    </row>
    <row r="1648" spans="3:6" hidden="1" x14ac:dyDescent="0.3">
      <c r="C1648" s="10" t="s">
        <v>1621</v>
      </c>
      <c r="D1648" s="11" t="s">
        <v>2034</v>
      </c>
      <c r="E1648" s="11" t="s">
        <v>2026</v>
      </c>
      <c r="F1648" s="12">
        <v>2.52</v>
      </c>
    </row>
    <row r="1649" spans="3:7" hidden="1" x14ac:dyDescent="0.3">
      <c r="C1649" s="7" t="s">
        <v>1622</v>
      </c>
      <c r="D1649" s="8" t="s">
        <v>2038</v>
      </c>
      <c r="E1649" s="8" t="s">
        <v>1979</v>
      </c>
      <c r="F1649" s="9">
        <v>0.62</v>
      </c>
    </row>
    <row r="1650" spans="3:7" hidden="1" x14ac:dyDescent="0.3">
      <c r="C1650" s="10" t="s">
        <v>1623</v>
      </c>
      <c r="D1650" s="11" t="s">
        <v>2038</v>
      </c>
      <c r="E1650" s="11" t="s">
        <v>1979</v>
      </c>
      <c r="F1650" s="12">
        <v>0.61</v>
      </c>
    </row>
    <row r="1651" spans="3:7" hidden="1" x14ac:dyDescent="0.3">
      <c r="C1651" s="7" t="s">
        <v>1624</v>
      </c>
      <c r="D1651" s="8" t="s">
        <v>2065</v>
      </c>
      <c r="E1651" s="8" t="s">
        <v>2027</v>
      </c>
      <c r="F1651" s="9">
        <v>5.5</v>
      </c>
    </row>
    <row r="1652" spans="3:7" hidden="1" x14ac:dyDescent="0.3">
      <c r="C1652" s="10" t="s">
        <v>1625</v>
      </c>
      <c r="D1652" s="11" t="s">
        <v>2052</v>
      </c>
      <c r="E1652" s="11" t="s">
        <v>1998</v>
      </c>
      <c r="F1652" s="12">
        <v>0.54</v>
      </c>
    </row>
    <row r="1653" spans="3:7" hidden="1" x14ac:dyDescent="0.3">
      <c r="C1653" s="7" t="s">
        <v>1626</v>
      </c>
      <c r="D1653" s="8" t="s">
        <v>2084</v>
      </c>
      <c r="E1653" s="8" t="s">
        <v>2028</v>
      </c>
      <c r="F1653" s="9">
        <v>1.41</v>
      </c>
    </row>
    <row r="1654" spans="3:7" hidden="1" x14ac:dyDescent="0.3">
      <c r="C1654" s="10" t="s">
        <v>1627</v>
      </c>
      <c r="D1654" s="11" t="s">
        <v>1975</v>
      </c>
      <c r="E1654" s="11" t="s">
        <v>1993</v>
      </c>
      <c r="F1654" s="12">
        <v>3.27</v>
      </c>
    </row>
    <row r="1655" spans="3:7" hidden="1" x14ac:dyDescent="0.3">
      <c r="C1655" s="7" t="s">
        <v>1628</v>
      </c>
      <c r="D1655" s="8" t="s">
        <v>2038</v>
      </c>
      <c r="E1655" s="8" t="s">
        <v>2023</v>
      </c>
      <c r="F1655" s="9">
        <v>5.87</v>
      </c>
    </row>
    <row r="1656" spans="3:7" hidden="1" x14ac:dyDescent="0.3">
      <c r="C1656" s="10" t="s">
        <v>1629</v>
      </c>
      <c r="D1656" s="11" t="s">
        <v>2038</v>
      </c>
      <c r="E1656" s="11" t="s">
        <v>2005</v>
      </c>
      <c r="F1656" s="12">
        <v>3.72</v>
      </c>
    </row>
    <row r="1657" spans="3:7" x14ac:dyDescent="0.3">
      <c r="C1657" s="10" t="s">
        <v>1291</v>
      </c>
      <c r="D1657" s="11" t="s">
        <v>2046</v>
      </c>
      <c r="E1657" s="11" t="s">
        <v>2028</v>
      </c>
      <c r="F1657" s="12">
        <v>2.2200000000000002</v>
      </c>
      <c r="G1657" s="26">
        <f>F1657*$G$2</f>
        <v>0.44400000000000006</v>
      </c>
    </row>
    <row r="1658" spans="3:7" hidden="1" x14ac:dyDescent="0.3">
      <c r="C1658" s="10" t="s">
        <v>1631</v>
      </c>
      <c r="D1658" s="11" t="s">
        <v>2052</v>
      </c>
      <c r="E1658" s="11" t="s">
        <v>2030</v>
      </c>
      <c r="F1658" s="12">
        <v>0.31</v>
      </c>
    </row>
    <row r="1659" spans="3:7" hidden="1" x14ac:dyDescent="0.3">
      <c r="C1659" s="7" t="s">
        <v>1632</v>
      </c>
      <c r="D1659" s="8" t="s">
        <v>2034</v>
      </c>
      <c r="E1659" s="8" t="s">
        <v>2031</v>
      </c>
      <c r="F1659" s="9">
        <v>3.24</v>
      </c>
    </row>
    <row r="1660" spans="3:7" hidden="1" x14ac:dyDescent="0.3">
      <c r="C1660" s="10" t="s">
        <v>1633</v>
      </c>
      <c r="D1660" s="11" t="s">
        <v>2034</v>
      </c>
      <c r="E1660" s="11" t="s">
        <v>2030</v>
      </c>
      <c r="F1660" s="12">
        <v>5.08</v>
      </c>
    </row>
    <row r="1661" spans="3:7" hidden="1" x14ac:dyDescent="0.3">
      <c r="C1661" s="7" t="s">
        <v>1634</v>
      </c>
      <c r="D1661" s="8" t="s">
        <v>2087</v>
      </c>
      <c r="E1661" s="8" t="s">
        <v>1998</v>
      </c>
      <c r="F1661" s="9">
        <v>0.81</v>
      </c>
    </row>
    <row r="1662" spans="3:7" hidden="1" x14ac:dyDescent="0.3">
      <c r="C1662" s="10" t="s">
        <v>1635</v>
      </c>
      <c r="D1662" s="11" t="s">
        <v>2064</v>
      </c>
      <c r="E1662" s="11" t="s">
        <v>2022</v>
      </c>
      <c r="F1662" s="12">
        <v>7.67</v>
      </c>
    </row>
    <row r="1663" spans="3:7" hidden="1" x14ac:dyDescent="0.3">
      <c r="C1663" s="7" t="s">
        <v>1636</v>
      </c>
      <c r="D1663" s="8" t="s">
        <v>2034</v>
      </c>
      <c r="E1663" s="8" t="s">
        <v>2023</v>
      </c>
      <c r="F1663" s="9">
        <v>3.41</v>
      </c>
    </row>
    <row r="1664" spans="3:7" hidden="1" x14ac:dyDescent="0.3">
      <c r="C1664" s="10" t="s">
        <v>1637</v>
      </c>
      <c r="D1664" s="11" t="s">
        <v>2034</v>
      </c>
      <c r="E1664" s="11" t="s">
        <v>2025</v>
      </c>
      <c r="F1664" s="12">
        <v>0.89</v>
      </c>
    </row>
    <row r="1665" spans="3:6" hidden="1" x14ac:dyDescent="0.3">
      <c r="C1665" s="7" t="s">
        <v>1638</v>
      </c>
      <c r="D1665" s="8" t="s">
        <v>2042</v>
      </c>
      <c r="E1665" s="8" t="s">
        <v>1979</v>
      </c>
      <c r="F1665" s="9">
        <v>0.82</v>
      </c>
    </row>
    <row r="1666" spans="3:6" hidden="1" x14ac:dyDescent="0.3">
      <c r="C1666" s="10" t="s">
        <v>1639</v>
      </c>
      <c r="D1666" s="11" t="s">
        <v>2038</v>
      </c>
      <c r="E1666" s="11" t="s">
        <v>1979</v>
      </c>
      <c r="F1666" s="12">
        <v>0.68</v>
      </c>
    </row>
    <row r="1667" spans="3:6" hidden="1" x14ac:dyDescent="0.3">
      <c r="C1667" s="7" t="s">
        <v>1640</v>
      </c>
      <c r="D1667" s="8" t="s">
        <v>2038</v>
      </c>
      <c r="E1667" s="8" t="s">
        <v>1997</v>
      </c>
      <c r="F1667" s="9">
        <v>4.34</v>
      </c>
    </row>
    <row r="1668" spans="3:6" hidden="1" x14ac:dyDescent="0.3">
      <c r="C1668" s="10" t="s">
        <v>1641</v>
      </c>
      <c r="D1668" s="11" t="s">
        <v>2034</v>
      </c>
      <c r="E1668" s="11" t="s">
        <v>1979</v>
      </c>
      <c r="F1668" s="12">
        <v>1.04</v>
      </c>
    </row>
    <row r="1669" spans="3:6" hidden="1" x14ac:dyDescent="0.3">
      <c r="C1669" s="7" t="s">
        <v>1642</v>
      </c>
      <c r="D1669" s="8" t="s">
        <v>2038</v>
      </c>
      <c r="E1669" s="8" t="s">
        <v>1979</v>
      </c>
      <c r="F1669" s="9">
        <v>0.57999999999999996</v>
      </c>
    </row>
    <row r="1670" spans="3:6" hidden="1" x14ac:dyDescent="0.3">
      <c r="C1670" s="10" t="s">
        <v>1643</v>
      </c>
      <c r="D1670" s="11" t="s">
        <v>2038</v>
      </c>
      <c r="E1670" s="11" t="s">
        <v>2002</v>
      </c>
      <c r="F1670" s="12">
        <v>2.15</v>
      </c>
    </row>
    <row r="1671" spans="3:6" hidden="1" x14ac:dyDescent="0.3">
      <c r="C1671" s="7" t="s">
        <v>1644</v>
      </c>
      <c r="D1671" s="8" t="s">
        <v>2034</v>
      </c>
      <c r="E1671" s="8" t="s">
        <v>2002</v>
      </c>
      <c r="F1671" s="9">
        <v>2.63</v>
      </c>
    </row>
    <row r="1672" spans="3:6" hidden="1" x14ac:dyDescent="0.3">
      <c r="C1672" s="10" t="s">
        <v>1645</v>
      </c>
      <c r="D1672" s="11" t="s">
        <v>2035</v>
      </c>
      <c r="E1672" s="11" t="s">
        <v>2026</v>
      </c>
      <c r="F1672" s="12">
        <v>1.37</v>
      </c>
    </row>
    <row r="1673" spans="3:6" hidden="1" x14ac:dyDescent="0.3">
      <c r="C1673" s="7" t="s">
        <v>1646</v>
      </c>
      <c r="D1673" s="8" t="s">
        <v>2034</v>
      </c>
      <c r="E1673" s="8" t="s">
        <v>2004</v>
      </c>
      <c r="F1673" s="9">
        <v>3.58</v>
      </c>
    </row>
    <row r="1674" spans="3:6" hidden="1" x14ac:dyDescent="0.3">
      <c r="C1674" s="10" t="s">
        <v>1647</v>
      </c>
      <c r="D1674" s="11" t="s">
        <v>2037</v>
      </c>
      <c r="E1674" s="11" t="s">
        <v>2004</v>
      </c>
      <c r="F1674" s="12">
        <v>2.35</v>
      </c>
    </row>
    <row r="1675" spans="3:6" hidden="1" x14ac:dyDescent="0.3">
      <c r="C1675" s="7" t="s">
        <v>1648</v>
      </c>
      <c r="D1675" s="8" t="s">
        <v>2047</v>
      </c>
      <c r="E1675" s="8" t="s">
        <v>1998</v>
      </c>
      <c r="F1675" s="9">
        <v>0.86</v>
      </c>
    </row>
    <row r="1676" spans="3:6" hidden="1" x14ac:dyDescent="0.3">
      <c r="C1676" s="10" t="s">
        <v>1649</v>
      </c>
      <c r="D1676" s="11" t="s">
        <v>2052</v>
      </c>
      <c r="E1676" s="11" t="s">
        <v>1979</v>
      </c>
      <c r="F1676" s="12">
        <v>0.39</v>
      </c>
    </row>
    <row r="1677" spans="3:6" hidden="1" x14ac:dyDescent="0.3">
      <c r="C1677" s="7" t="s">
        <v>1650</v>
      </c>
      <c r="D1677" s="8" t="s">
        <v>2038</v>
      </c>
      <c r="E1677" s="8" t="s">
        <v>1979</v>
      </c>
      <c r="F1677" s="9">
        <v>0.63</v>
      </c>
    </row>
    <row r="1678" spans="3:6" hidden="1" x14ac:dyDescent="0.3">
      <c r="C1678" s="10" t="s">
        <v>1651</v>
      </c>
      <c r="D1678" s="11" t="s">
        <v>2034</v>
      </c>
      <c r="E1678" s="11" t="s">
        <v>1979</v>
      </c>
      <c r="F1678" s="12">
        <v>0.78</v>
      </c>
    </row>
    <row r="1679" spans="3:6" hidden="1" x14ac:dyDescent="0.3">
      <c r="C1679" s="7" t="s">
        <v>1652</v>
      </c>
      <c r="D1679" s="8" t="s">
        <v>2045</v>
      </c>
      <c r="E1679" s="8" t="s">
        <v>2015</v>
      </c>
      <c r="F1679" s="9">
        <v>2.91</v>
      </c>
    </row>
    <row r="1680" spans="3:6" hidden="1" x14ac:dyDescent="0.3">
      <c r="C1680" s="10" t="s">
        <v>1653</v>
      </c>
      <c r="D1680" s="11" t="s">
        <v>2038</v>
      </c>
      <c r="E1680" s="11" t="s">
        <v>1979</v>
      </c>
      <c r="F1680" s="12">
        <v>0.66</v>
      </c>
    </row>
    <row r="1681" spans="3:6" hidden="1" x14ac:dyDescent="0.3">
      <c r="C1681" s="7" t="s">
        <v>1654</v>
      </c>
      <c r="D1681" s="8" t="s">
        <v>2041</v>
      </c>
      <c r="E1681" s="8" t="s">
        <v>1993</v>
      </c>
      <c r="F1681" s="9">
        <v>8.35</v>
      </c>
    </row>
    <row r="1682" spans="3:6" hidden="1" x14ac:dyDescent="0.3">
      <c r="C1682" s="10" t="s">
        <v>1655</v>
      </c>
      <c r="D1682" s="11" t="s">
        <v>2038</v>
      </c>
      <c r="E1682" s="11" t="s">
        <v>2023</v>
      </c>
      <c r="F1682" s="12">
        <v>7.76</v>
      </c>
    </row>
    <row r="1683" spans="3:6" hidden="1" x14ac:dyDescent="0.3">
      <c r="C1683" s="7" t="s">
        <v>1656</v>
      </c>
      <c r="D1683" s="8" t="s">
        <v>2041</v>
      </c>
      <c r="E1683" s="8" t="s">
        <v>1987</v>
      </c>
      <c r="F1683" s="9">
        <v>5.51</v>
      </c>
    </row>
    <row r="1684" spans="3:6" hidden="1" x14ac:dyDescent="0.3">
      <c r="C1684" s="10" t="s">
        <v>1657</v>
      </c>
      <c r="D1684" s="11" t="s">
        <v>2038</v>
      </c>
      <c r="E1684" s="11" t="s">
        <v>1979</v>
      </c>
      <c r="F1684" s="12">
        <v>0.61</v>
      </c>
    </row>
    <row r="1685" spans="3:6" hidden="1" x14ac:dyDescent="0.3">
      <c r="C1685" s="7" t="s">
        <v>1658</v>
      </c>
      <c r="D1685" s="8" t="s">
        <v>2038</v>
      </c>
      <c r="E1685" s="8" t="s">
        <v>1998</v>
      </c>
      <c r="F1685" s="9">
        <v>1.35</v>
      </c>
    </row>
    <row r="1686" spans="3:6" hidden="1" x14ac:dyDescent="0.3">
      <c r="C1686" s="10" t="s">
        <v>1659</v>
      </c>
      <c r="D1686" s="11" t="s">
        <v>2034</v>
      </c>
      <c r="E1686" s="11" t="s">
        <v>2031</v>
      </c>
      <c r="F1686" s="12">
        <v>3.28</v>
      </c>
    </row>
    <row r="1687" spans="3:6" hidden="1" x14ac:dyDescent="0.3">
      <c r="C1687" s="7" t="s">
        <v>1660</v>
      </c>
      <c r="D1687" s="8" t="s">
        <v>2038</v>
      </c>
      <c r="E1687" s="8" t="s">
        <v>1979</v>
      </c>
      <c r="F1687" s="9">
        <v>0.59</v>
      </c>
    </row>
    <row r="1688" spans="3:6" hidden="1" x14ac:dyDescent="0.3">
      <c r="C1688" s="10" t="s">
        <v>1661</v>
      </c>
      <c r="D1688" s="11" t="s">
        <v>2045</v>
      </c>
      <c r="E1688" s="11" t="s">
        <v>2015</v>
      </c>
      <c r="F1688" s="12">
        <v>3.23</v>
      </c>
    </row>
    <row r="1689" spans="3:6" hidden="1" x14ac:dyDescent="0.3">
      <c r="C1689" s="7" t="s">
        <v>1662</v>
      </c>
      <c r="D1689" s="8" t="s">
        <v>2045</v>
      </c>
      <c r="E1689" s="8" t="s">
        <v>2031</v>
      </c>
      <c r="F1689" s="9">
        <v>1.64</v>
      </c>
    </row>
    <row r="1690" spans="3:6" hidden="1" x14ac:dyDescent="0.3">
      <c r="C1690" s="10" t="s">
        <v>1663</v>
      </c>
      <c r="D1690" s="11" t="s">
        <v>2034</v>
      </c>
      <c r="E1690" s="11" t="s">
        <v>2028</v>
      </c>
      <c r="F1690" s="12">
        <v>2.16</v>
      </c>
    </row>
    <row r="1691" spans="3:6" hidden="1" x14ac:dyDescent="0.3">
      <c r="C1691" s="7" t="s">
        <v>1664</v>
      </c>
      <c r="D1691" s="8" t="s">
        <v>2038</v>
      </c>
      <c r="E1691" s="8" t="s">
        <v>1979</v>
      </c>
      <c r="F1691" s="9">
        <v>0.6</v>
      </c>
    </row>
    <row r="1692" spans="3:6" hidden="1" x14ac:dyDescent="0.3">
      <c r="C1692" s="10" t="s">
        <v>1665</v>
      </c>
      <c r="D1692" s="11" t="s">
        <v>2034</v>
      </c>
      <c r="E1692" s="11" t="s">
        <v>1979</v>
      </c>
      <c r="F1692" s="12">
        <v>0.68</v>
      </c>
    </row>
    <row r="1693" spans="3:6" hidden="1" x14ac:dyDescent="0.3">
      <c r="C1693" s="7" t="s">
        <v>1666</v>
      </c>
      <c r="D1693" s="8" t="s">
        <v>2034</v>
      </c>
      <c r="E1693" s="8" t="s">
        <v>2002</v>
      </c>
      <c r="F1693" s="9">
        <v>1.42</v>
      </c>
    </row>
    <row r="1694" spans="3:6" hidden="1" x14ac:dyDescent="0.3">
      <c r="C1694" s="10" t="s">
        <v>1667</v>
      </c>
      <c r="D1694" s="11" t="s">
        <v>2044</v>
      </c>
      <c r="E1694" s="11" t="s">
        <v>2000</v>
      </c>
      <c r="F1694" s="12">
        <v>4.7300000000000004</v>
      </c>
    </row>
    <row r="1695" spans="3:6" hidden="1" x14ac:dyDescent="0.3">
      <c r="C1695" s="7" t="s">
        <v>1668</v>
      </c>
      <c r="D1695" s="8" t="s">
        <v>2043</v>
      </c>
      <c r="E1695" s="8" t="s">
        <v>2029</v>
      </c>
      <c r="F1695" s="9">
        <v>11.41</v>
      </c>
    </row>
    <row r="1696" spans="3:6" hidden="1" x14ac:dyDescent="0.3">
      <c r="C1696" s="10" t="s">
        <v>1669</v>
      </c>
      <c r="D1696" s="11" t="s">
        <v>2038</v>
      </c>
      <c r="E1696" s="11" t="s">
        <v>1986</v>
      </c>
      <c r="F1696" s="12">
        <v>6.42</v>
      </c>
    </row>
    <row r="1697" spans="3:6" hidden="1" x14ac:dyDescent="0.3">
      <c r="C1697" s="7" t="s">
        <v>1670</v>
      </c>
      <c r="D1697" s="8" t="s">
        <v>2038</v>
      </c>
      <c r="E1697" s="8" t="s">
        <v>2005</v>
      </c>
      <c r="F1697" s="9">
        <v>3.68</v>
      </c>
    </row>
    <row r="1698" spans="3:6" hidden="1" x14ac:dyDescent="0.3">
      <c r="C1698" s="10" t="s">
        <v>1671</v>
      </c>
      <c r="D1698" s="11" t="s">
        <v>2038</v>
      </c>
      <c r="E1698" s="11" t="s">
        <v>2015</v>
      </c>
      <c r="F1698" s="12">
        <v>4.09</v>
      </c>
    </row>
    <row r="1699" spans="3:6" hidden="1" x14ac:dyDescent="0.3">
      <c r="C1699" s="7" t="s">
        <v>1672</v>
      </c>
      <c r="D1699" s="8" t="s">
        <v>2038</v>
      </c>
      <c r="E1699" s="8" t="s">
        <v>1979</v>
      </c>
      <c r="F1699" s="9">
        <v>0.75</v>
      </c>
    </row>
    <row r="1700" spans="3:6" hidden="1" x14ac:dyDescent="0.3">
      <c r="C1700" s="10" t="s">
        <v>1673</v>
      </c>
      <c r="D1700" s="11" t="s">
        <v>2034</v>
      </c>
      <c r="E1700" s="11" t="s">
        <v>1986</v>
      </c>
      <c r="F1700" s="12">
        <v>2.91</v>
      </c>
    </row>
    <row r="1701" spans="3:6" hidden="1" x14ac:dyDescent="0.3">
      <c r="C1701" s="7" t="s">
        <v>1674</v>
      </c>
      <c r="D1701" s="8" t="s">
        <v>2038</v>
      </c>
      <c r="E1701" s="8" t="s">
        <v>1997</v>
      </c>
      <c r="F1701" s="9">
        <v>4.3</v>
      </c>
    </row>
    <row r="1702" spans="3:6" hidden="1" x14ac:dyDescent="0.3">
      <c r="C1702" s="10" t="s">
        <v>1675</v>
      </c>
      <c r="D1702" s="11" t="s">
        <v>2039</v>
      </c>
      <c r="E1702" s="11" t="s">
        <v>2027</v>
      </c>
      <c r="F1702" s="12">
        <v>1.55</v>
      </c>
    </row>
    <row r="1703" spans="3:6" hidden="1" x14ac:dyDescent="0.3">
      <c r="C1703" s="7" t="s">
        <v>1676</v>
      </c>
      <c r="D1703" s="8" t="s">
        <v>2045</v>
      </c>
      <c r="E1703" s="8" t="s">
        <v>1979</v>
      </c>
      <c r="F1703" s="9">
        <v>1.1399999999999999</v>
      </c>
    </row>
    <row r="1704" spans="3:6" hidden="1" x14ac:dyDescent="0.3">
      <c r="C1704" s="10" t="s">
        <v>1677</v>
      </c>
      <c r="D1704" s="11" t="s">
        <v>2054</v>
      </c>
      <c r="E1704" s="11" t="s">
        <v>2001</v>
      </c>
      <c r="F1704" s="12">
        <v>3.08</v>
      </c>
    </row>
    <row r="1705" spans="3:6" hidden="1" x14ac:dyDescent="0.3">
      <c r="C1705" s="7" t="s">
        <v>1678</v>
      </c>
      <c r="D1705" s="8" t="s">
        <v>2038</v>
      </c>
      <c r="E1705" s="8" t="s">
        <v>2029</v>
      </c>
      <c r="F1705" s="9">
        <v>8.27</v>
      </c>
    </row>
    <row r="1706" spans="3:6" hidden="1" x14ac:dyDescent="0.3">
      <c r="C1706" s="10" t="s">
        <v>1679</v>
      </c>
      <c r="D1706" s="11" t="s">
        <v>2038</v>
      </c>
      <c r="E1706" s="11" t="s">
        <v>1979</v>
      </c>
      <c r="F1706" s="12">
        <v>0.56000000000000005</v>
      </c>
    </row>
    <row r="1707" spans="3:6" hidden="1" x14ac:dyDescent="0.3">
      <c r="C1707" s="7" t="s">
        <v>1680</v>
      </c>
      <c r="D1707" s="8" t="s">
        <v>2038</v>
      </c>
      <c r="E1707" s="8" t="s">
        <v>1993</v>
      </c>
      <c r="F1707" s="9">
        <v>4.0599999999999996</v>
      </c>
    </row>
    <row r="1708" spans="3:6" hidden="1" x14ac:dyDescent="0.3">
      <c r="C1708" s="10" t="s">
        <v>1681</v>
      </c>
      <c r="D1708" s="11" t="s">
        <v>2038</v>
      </c>
      <c r="E1708" s="11" t="s">
        <v>1979</v>
      </c>
      <c r="F1708" s="12">
        <v>0.48</v>
      </c>
    </row>
    <row r="1709" spans="3:6" hidden="1" x14ac:dyDescent="0.3">
      <c r="C1709" s="7" t="s">
        <v>1682</v>
      </c>
      <c r="D1709" s="8" t="s">
        <v>2038</v>
      </c>
      <c r="E1709" s="8" t="s">
        <v>1979</v>
      </c>
      <c r="F1709" s="9">
        <v>0.59</v>
      </c>
    </row>
    <row r="1710" spans="3:6" hidden="1" x14ac:dyDescent="0.3">
      <c r="C1710" s="10" t="s">
        <v>1683</v>
      </c>
      <c r="D1710" s="11" t="s">
        <v>2047</v>
      </c>
      <c r="E1710" s="11" t="s">
        <v>2000</v>
      </c>
      <c r="F1710" s="12">
        <v>9.8800000000000008</v>
      </c>
    </row>
    <row r="1711" spans="3:6" hidden="1" x14ac:dyDescent="0.3">
      <c r="C1711" s="7" t="s">
        <v>1684</v>
      </c>
      <c r="D1711" s="8" t="s">
        <v>2038</v>
      </c>
      <c r="E1711" s="8" t="s">
        <v>1988</v>
      </c>
      <c r="F1711" s="9">
        <v>5.25</v>
      </c>
    </row>
    <row r="1712" spans="3:6" hidden="1" x14ac:dyDescent="0.3">
      <c r="C1712" s="10" t="s">
        <v>1685</v>
      </c>
      <c r="D1712" s="11" t="s">
        <v>2038</v>
      </c>
      <c r="E1712" s="11" t="s">
        <v>1979</v>
      </c>
      <c r="F1712" s="12">
        <v>0.63</v>
      </c>
    </row>
    <row r="1713" spans="3:6" hidden="1" x14ac:dyDescent="0.3">
      <c r="C1713" s="7" t="s">
        <v>1686</v>
      </c>
      <c r="D1713" s="8" t="s">
        <v>2038</v>
      </c>
      <c r="E1713" s="8" t="s">
        <v>1979</v>
      </c>
      <c r="F1713" s="9">
        <v>0.49</v>
      </c>
    </row>
    <row r="1714" spans="3:6" hidden="1" x14ac:dyDescent="0.3">
      <c r="C1714" s="10" t="s">
        <v>1687</v>
      </c>
      <c r="D1714" s="11" t="s">
        <v>2061</v>
      </c>
      <c r="E1714" s="11" t="s">
        <v>1979</v>
      </c>
      <c r="F1714" s="12">
        <v>1.31</v>
      </c>
    </row>
    <row r="1715" spans="3:6" hidden="1" x14ac:dyDescent="0.3">
      <c r="C1715" s="7" t="s">
        <v>1688</v>
      </c>
      <c r="D1715" s="8" t="s">
        <v>2054</v>
      </c>
      <c r="E1715" s="8" t="s">
        <v>1999</v>
      </c>
      <c r="F1715" s="9">
        <v>1.78</v>
      </c>
    </row>
    <row r="1716" spans="3:6" hidden="1" x14ac:dyDescent="0.3">
      <c r="C1716" s="10" t="s">
        <v>1689</v>
      </c>
      <c r="D1716" s="11" t="s">
        <v>2038</v>
      </c>
      <c r="E1716" s="11" t="s">
        <v>1986</v>
      </c>
      <c r="F1716" s="12">
        <v>2.89</v>
      </c>
    </row>
    <row r="1717" spans="3:6" hidden="1" x14ac:dyDescent="0.3">
      <c r="C1717" s="7" t="s">
        <v>1690</v>
      </c>
      <c r="D1717" s="8" t="s">
        <v>2038</v>
      </c>
      <c r="E1717" s="8" t="s">
        <v>2023</v>
      </c>
      <c r="F1717" s="9">
        <v>3.72</v>
      </c>
    </row>
    <row r="1718" spans="3:6" hidden="1" x14ac:dyDescent="0.3">
      <c r="C1718" s="10" t="s">
        <v>1691</v>
      </c>
      <c r="D1718" s="11" t="s">
        <v>2034</v>
      </c>
      <c r="E1718" s="11" t="s">
        <v>1997</v>
      </c>
      <c r="F1718" s="12">
        <v>4.29</v>
      </c>
    </row>
    <row r="1719" spans="3:6" hidden="1" x14ac:dyDescent="0.3">
      <c r="C1719" s="7" t="s">
        <v>1692</v>
      </c>
      <c r="D1719" s="8" t="s">
        <v>2042</v>
      </c>
      <c r="E1719" s="8" t="s">
        <v>2030</v>
      </c>
      <c r="F1719" s="9">
        <v>5.52</v>
      </c>
    </row>
    <row r="1720" spans="3:6" hidden="1" x14ac:dyDescent="0.3">
      <c r="C1720" s="10" t="s">
        <v>1693</v>
      </c>
      <c r="D1720" s="11" t="s">
        <v>2040</v>
      </c>
      <c r="E1720" s="11" t="s">
        <v>1979</v>
      </c>
      <c r="F1720" s="12">
        <v>0.56999999999999995</v>
      </c>
    </row>
    <row r="1721" spans="3:6" hidden="1" x14ac:dyDescent="0.3">
      <c r="C1721" s="7" t="s">
        <v>1694</v>
      </c>
      <c r="D1721" s="8" t="s">
        <v>2085</v>
      </c>
      <c r="E1721" s="8" t="s">
        <v>2015</v>
      </c>
      <c r="F1721" s="9">
        <v>1.36</v>
      </c>
    </row>
    <row r="1722" spans="3:6" hidden="1" x14ac:dyDescent="0.3">
      <c r="C1722" s="10" t="s">
        <v>1695</v>
      </c>
      <c r="D1722" s="11" t="s">
        <v>2038</v>
      </c>
      <c r="E1722" s="11" t="s">
        <v>1979</v>
      </c>
      <c r="F1722" s="12">
        <v>0.48</v>
      </c>
    </row>
    <row r="1723" spans="3:6" hidden="1" x14ac:dyDescent="0.3">
      <c r="C1723" s="7" t="s">
        <v>1696</v>
      </c>
      <c r="D1723" s="8" t="s">
        <v>2038</v>
      </c>
      <c r="E1723" s="8" t="s">
        <v>1979</v>
      </c>
      <c r="F1723" s="9">
        <v>0.65</v>
      </c>
    </row>
    <row r="1724" spans="3:6" hidden="1" x14ac:dyDescent="0.3">
      <c r="C1724" s="10" t="s">
        <v>1697</v>
      </c>
      <c r="D1724" s="11" t="s">
        <v>2034</v>
      </c>
      <c r="E1724" s="11" t="s">
        <v>2023</v>
      </c>
      <c r="F1724" s="12">
        <v>1.31</v>
      </c>
    </row>
    <row r="1725" spans="3:6" hidden="1" x14ac:dyDescent="0.3">
      <c r="C1725" s="7" t="s">
        <v>1698</v>
      </c>
      <c r="D1725" s="8" t="s">
        <v>2054</v>
      </c>
      <c r="E1725" s="8" t="s">
        <v>1999</v>
      </c>
      <c r="F1725" s="9">
        <v>0.72</v>
      </c>
    </row>
    <row r="1726" spans="3:6" hidden="1" x14ac:dyDescent="0.3">
      <c r="C1726" s="10" t="s">
        <v>1699</v>
      </c>
      <c r="D1726" s="11" t="s">
        <v>2039</v>
      </c>
      <c r="E1726" s="11" t="s">
        <v>2026</v>
      </c>
      <c r="F1726" s="12">
        <v>1.1200000000000001</v>
      </c>
    </row>
    <row r="1727" spans="3:6" hidden="1" x14ac:dyDescent="0.3">
      <c r="C1727" s="7" t="s">
        <v>1700</v>
      </c>
      <c r="D1727" s="8" t="s">
        <v>2045</v>
      </c>
      <c r="E1727" s="8" t="s">
        <v>1987</v>
      </c>
      <c r="F1727" s="9">
        <v>2.94</v>
      </c>
    </row>
    <row r="1728" spans="3:6" hidden="1" x14ac:dyDescent="0.3">
      <c r="C1728" s="10" t="s">
        <v>1701</v>
      </c>
      <c r="D1728" s="11" t="s">
        <v>2034</v>
      </c>
      <c r="E1728" s="11" t="s">
        <v>2025</v>
      </c>
      <c r="F1728" s="12">
        <v>1.38</v>
      </c>
    </row>
    <row r="1729" spans="3:6" hidden="1" x14ac:dyDescent="0.3">
      <c r="C1729" s="7" t="s">
        <v>1702</v>
      </c>
      <c r="D1729" s="8" t="s">
        <v>2034</v>
      </c>
      <c r="E1729" s="8" t="s">
        <v>2023</v>
      </c>
      <c r="F1729" s="9">
        <v>10.19</v>
      </c>
    </row>
    <row r="1730" spans="3:6" hidden="1" x14ac:dyDescent="0.3">
      <c r="C1730" s="10" t="s">
        <v>1703</v>
      </c>
      <c r="D1730" s="11" t="s">
        <v>2066</v>
      </c>
      <c r="E1730" s="11" t="s">
        <v>1998</v>
      </c>
      <c r="F1730" s="12">
        <v>1.46</v>
      </c>
    </row>
    <row r="1731" spans="3:6" hidden="1" x14ac:dyDescent="0.3">
      <c r="C1731" s="7" t="s">
        <v>1704</v>
      </c>
      <c r="D1731" s="8" t="s">
        <v>2047</v>
      </c>
      <c r="E1731" s="8" t="s">
        <v>1988</v>
      </c>
      <c r="F1731" s="9">
        <v>3.42</v>
      </c>
    </row>
    <row r="1732" spans="3:6" hidden="1" x14ac:dyDescent="0.3">
      <c r="C1732" s="10" t="s">
        <v>1705</v>
      </c>
      <c r="D1732" s="11" t="s">
        <v>2045</v>
      </c>
      <c r="E1732" s="11" t="s">
        <v>2015</v>
      </c>
      <c r="F1732" s="12">
        <v>1.28</v>
      </c>
    </row>
    <row r="1733" spans="3:6" hidden="1" x14ac:dyDescent="0.3">
      <c r="C1733" s="7" t="s">
        <v>1706</v>
      </c>
      <c r="D1733" s="8" t="s">
        <v>2038</v>
      </c>
      <c r="E1733" s="8" t="s">
        <v>1979</v>
      </c>
      <c r="F1733" s="9">
        <v>0.53</v>
      </c>
    </row>
    <row r="1734" spans="3:6" hidden="1" x14ac:dyDescent="0.3">
      <c r="C1734" s="10" t="s">
        <v>1707</v>
      </c>
      <c r="D1734" s="11" t="s">
        <v>2038</v>
      </c>
      <c r="E1734" s="11" t="s">
        <v>1979</v>
      </c>
      <c r="F1734" s="12">
        <v>0.41</v>
      </c>
    </row>
    <row r="1735" spans="3:6" hidden="1" x14ac:dyDescent="0.3">
      <c r="C1735" s="7" t="s">
        <v>1708</v>
      </c>
      <c r="D1735" s="8" t="s">
        <v>2034</v>
      </c>
      <c r="E1735" s="8" t="s">
        <v>2002</v>
      </c>
      <c r="F1735" s="9">
        <v>1.75</v>
      </c>
    </row>
    <row r="1736" spans="3:6" hidden="1" x14ac:dyDescent="0.3">
      <c r="C1736" s="10" t="s">
        <v>1709</v>
      </c>
      <c r="D1736" s="11" t="s">
        <v>2036</v>
      </c>
      <c r="E1736" s="11" t="s">
        <v>1998</v>
      </c>
      <c r="F1736" s="12">
        <v>1.19</v>
      </c>
    </row>
    <row r="1737" spans="3:6" hidden="1" x14ac:dyDescent="0.3">
      <c r="C1737" s="7" t="s">
        <v>1710</v>
      </c>
      <c r="D1737" s="8" t="s">
        <v>2043</v>
      </c>
      <c r="E1737" s="8" t="s">
        <v>2029</v>
      </c>
      <c r="F1737" s="9">
        <v>5.4</v>
      </c>
    </row>
    <row r="1738" spans="3:6" hidden="1" x14ac:dyDescent="0.3">
      <c r="C1738" s="10" t="s">
        <v>1711</v>
      </c>
      <c r="D1738" s="11" t="s">
        <v>2038</v>
      </c>
      <c r="E1738" s="11" t="s">
        <v>2030</v>
      </c>
      <c r="F1738" s="12">
        <v>2.95</v>
      </c>
    </row>
    <row r="1739" spans="3:6" hidden="1" x14ac:dyDescent="0.3">
      <c r="C1739" s="7" t="s">
        <v>1712</v>
      </c>
      <c r="D1739" s="8" t="s">
        <v>2034</v>
      </c>
      <c r="E1739" s="8" t="s">
        <v>2022</v>
      </c>
      <c r="F1739" s="9">
        <v>1.5</v>
      </c>
    </row>
    <row r="1740" spans="3:6" hidden="1" x14ac:dyDescent="0.3">
      <c r="C1740" s="10" t="s">
        <v>1713</v>
      </c>
      <c r="D1740" s="11" t="s">
        <v>2061</v>
      </c>
      <c r="E1740" s="11" t="s">
        <v>1979</v>
      </c>
      <c r="F1740" s="12">
        <v>1.64</v>
      </c>
    </row>
    <row r="1741" spans="3:6" hidden="1" x14ac:dyDescent="0.3">
      <c r="C1741" s="7" t="s">
        <v>1714</v>
      </c>
      <c r="D1741" s="8" t="s">
        <v>2074</v>
      </c>
      <c r="E1741" s="8" t="s">
        <v>1979</v>
      </c>
      <c r="F1741" s="9">
        <v>0.98</v>
      </c>
    </row>
    <row r="1742" spans="3:6" hidden="1" x14ac:dyDescent="0.3">
      <c r="C1742" s="10" t="s">
        <v>1715</v>
      </c>
      <c r="D1742" s="11" t="s">
        <v>2034</v>
      </c>
      <c r="E1742" s="11" t="s">
        <v>1999</v>
      </c>
      <c r="F1742" s="12">
        <v>0.54</v>
      </c>
    </row>
    <row r="1743" spans="3:6" hidden="1" x14ac:dyDescent="0.3">
      <c r="C1743" s="7" t="s">
        <v>1716</v>
      </c>
      <c r="D1743" s="8" t="s">
        <v>2066</v>
      </c>
      <c r="E1743" s="8" t="s">
        <v>2022</v>
      </c>
      <c r="F1743" s="9">
        <v>4.53</v>
      </c>
    </row>
    <row r="1744" spans="3:6" hidden="1" x14ac:dyDescent="0.3">
      <c r="C1744" s="10" t="s">
        <v>1717</v>
      </c>
      <c r="D1744" s="11" t="s">
        <v>2036</v>
      </c>
      <c r="E1744" s="11" t="s">
        <v>1993</v>
      </c>
      <c r="F1744" s="12">
        <v>8.61</v>
      </c>
    </row>
    <row r="1745" spans="3:6" hidden="1" x14ac:dyDescent="0.3">
      <c r="C1745" s="7" t="s">
        <v>1718</v>
      </c>
      <c r="D1745" s="8" t="s">
        <v>2034</v>
      </c>
      <c r="E1745" s="8" t="s">
        <v>1998</v>
      </c>
      <c r="F1745" s="9">
        <v>1.5</v>
      </c>
    </row>
    <row r="1746" spans="3:6" hidden="1" x14ac:dyDescent="0.3">
      <c r="C1746" s="10" t="s">
        <v>1719</v>
      </c>
      <c r="D1746" s="11" t="s">
        <v>2038</v>
      </c>
      <c r="E1746" s="11" t="s">
        <v>1979</v>
      </c>
      <c r="F1746" s="12">
        <v>0.43</v>
      </c>
    </row>
    <row r="1747" spans="3:6" hidden="1" x14ac:dyDescent="0.3">
      <c r="C1747" s="7" t="s">
        <v>1720</v>
      </c>
      <c r="D1747" s="8" t="s">
        <v>2035</v>
      </c>
      <c r="E1747" s="8" t="s">
        <v>2017</v>
      </c>
      <c r="F1747" s="9">
        <v>3.77</v>
      </c>
    </row>
    <row r="1748" spans="3:6" hidden="1" x14ac:dyDescent="0.3">
      <c r="C1748" s="10" t="s">
        <v>1721</v>
      </c>
      <c r="D1748" s="11" t="s">
        <v>2044</v>
      </c>
      <c r="E1748" s="11" t="s">
        <v>2022</v>
      </c>
      <c r="F1748" s="12">
        <v>9.73</v>
      </c>
    </row>
    <row r="1749" spans="3:6" hidden="1" x14ac:dyDescent="0.3">
      <c r="C1749" s="7" t="s">
        <v>1722</v>
      </c>
      <c r="D1749" s="8" t="s">
        <v>2034</v>
      </c>
      <c r="E1749" s="8" t="s">
        <v>2022</v>
      </c>
      <c r="F1749" s="9">
        <v>4</v>
      </c>
    </row>
    <row r="1750" spans="3:6" hidden="1" x14ac:dyDescent="0.3">
      <c r="C1750" s="10" t="s">
        <v>1723</v>
      </c>
      <c r="D1750" s="11" t="s">
        <v>2038</v>
      </c>
      <c r="E1750" s="11" t="s">
        <v>1979</v>
      </c>
      <c r="F1750" s="12">
        <v>0.56999999999999995</v>
      </c>
    </row>
    <row r="1751" spans="3:6" hidden="1" x14ac:dyDescent="0.3">
      <c r="C1751" s="7" t="s">
        <v>1724</v>
      </c>
      <c r="D1751" s="8" t="s">
        <v>2038</v>
      </c>
      <c r="E1751" s="8" t="s">
        <v>2026</v>
      </c>
      <c r="F1751" s="9">
        <v>2.99</v>
      </c>
    </row>
    <row r="1752" spans="3:6" hidden="1" x14ac:dyDescent="0.3">
      <c r="C1752" s="10" t="s">
        <v>1725</v>
      </c>
      <c r="D1752" s="11" t="s">
        <v>2035</v>
      </c>
      <c r="E1752" s="11" t="s">
        <v>2017</v>
      </c>
      <c r="F1752" s="12">
        <v>2.4300000000000002</v>
      </c>
    </row>
    <row r="1753" spans="3:6" hidden="1" x14ac:dyDescent="0.3">
      <c r="C1753" s="7" t="s">
        <v>1726</v>
      </c>
      <c r="D1753" s="8" t="s">
        <v>2036</v>
      </c>
      <c r="E1753" s="8" t="s">
        <v>1998</v>
      </c>
      <c r="F1753" s="9">
        <v>1.2</v>
      </c>
    </row>
    <row r="1754" spans="3:6" hidden="1" x14ac:dyDescent="0.3">
      <c r="C1754" s="10" t="s">
        <v>1727</v>
      </c>
      <c r="D1754" s="11" t="s">
        <v>1975</v>
      </c>
      <c r="E1754" s="11" t="s">
        <v>2001</v>
      </c>
      <c r="F1754" s="12">
        <v>1.96</v>
      </c>
    </row>
    <row r="1755" spans="3:6" hidden="1" x14ac:dyDescent="0.3">
      <c r="C1755" s="7" t="s">
        <v>1728</v>
      </c>
      <c r="D1755" s="8" t="s">
        <v>2066</v>
      </c>
      <c r="E1755" s="8" t="s">
        <v>1978</v>
      </c>
      <c r="F1755" s="9">
        <v>2.0099999999999998</v>
      </c>
    </row>
    <row r="1756" spans="3:6" hidden="1" x14ac:dyDescent="0.3">
      <c r="C1756" s="10" t="s">
        <v>1729</v>
      </c>
      <c r="D1756" s="11" t="s">
        <v>2038</v>
      </c>
      <c r="E1756" s="11" t="s">
        <v>2029</v>
      </c>
      <c r="F1756" s="12">
        <v>9.61</v>
      </c>
    </row>
    <row r="1757" spans="3:6" hidden="1" x14ac:dyDescent="0.3">
      <c r="C1757" s="7" t="s">
        <v>1730</v>
      </c>
      <c r="D1757" s="8" t="s">
        <v>2034</v>
      </c>
      <c r="E1757" s="8" t="s">
        <v>1998</v>
      </c>
      <c r="F1757" s="9">
        <v>1.52</v>
      </c>
    </row>
    <row r="1758" spans="3:6" hidden="1" x14ac:dyDescent="0.3">
      <c r="C1758" s="10" t="s">
        <v>1731</v>
      </c>
      <c r="D1758" s="11" t="s">
        <v>2038</v>
      </c>
      <c r="E1758" s="11" t="s">
        <v>1979</v>
      </c>
      <c r="F1758" s="12">
        <v>0.44</v>
      </c>
    </row>
    <row r="1759" spans="3:6" hidden="1" x14ac:dyDescent="0.3">
      <c r="C1759" s="7" t="s">
        <v>1732</v>
      </c>
      <c r="D1759" s="8" t="s">
        <v>2038</v>
      </c>
      <c r="E1759" s="8" t="s">
        <v>1979</v>
      </c>
      <c r="F1759" s="9">
        <v>0.39</v>
      </c>
    </row>
    <row r="1760" spans="3:6" hidden="1" x14ac:dyDescent="0.3">
      <c r="C1760" s="10" t="s">
        <v>1733</v>
      </c>
      <c r="D1760" s="11" t="s">
        <v>2064</v>
      </c>
      <c r="E1760" s="11" t="s">
        <v>1998</v>
      </c>
      <c r="F1760" s="12">
        <v>9.58</v>
      </c>
    </row>
    <row r="1761" spans="3:6" hidden="1" x14ac:dyDescent="0.3">
      <c r="C1761" s="7" t="s">
        <v>1734</v>
      </c>
      <c r="D1761" s="8" t="s">
        <v>2034</v>
      </c>
      <c r="E1761" s="8" t="s">
        <v>2031</v>
      </c>
      <c r="F1761" s="9">
        <v>5.0999999999999996</v>
      </c>
    </row>
    <row r="1762" spans="3:6" hidden="1" x14ac:dyDescent="0.3">
      <c r="C1762" s="10" t="s">
        <v>1735</v>
      </c>
      <c r="D1762" s="11" t="s">
        <v>2036</v>
      </c>
      <c r="E1762" s="11" t="s">
        <v>1986</v>
      </c>
      <c r="F1762" s="12">
        <v>6.96</v>
      </c>
    </row>
    <row r="1763" spans="3:6" hidden="1" x14ac:dyDescent="0.3">
      <c r="C1763" s="7" t="s">
        <v>1736</v>
      </c>
      <c r="D1763" s="8" t="s">
        <v>2061</v>
      </c>
      <c r="E1763" s="8" t="s">
        <v>1979</v>
      </c>
      <c r="F1763" s="9">
        <v>1.53</v>
      </c>
    </row>
    <row r="1764" spans="3:6" hidden="1" x14ac:dyDescent="0.3">
      <c r="C1764" s="10" t="s">
        <v>1737</v>
      </c>
      <c r="D1764" s="11" t="s">
        <v>2038</v>
      </c>
      <c r="E1764" s="11" t="s">
        <v>1979</v>
      </c>
      <c r="F1764" s="12">
        <v>0.44</v>
      </c>
    </row>
    <row r="1765" spans="3:6" hidden="1" x14ac:dyDescent="0.3">
      <c r="C1765" s="7" t="s">
        <v>1738</v>
      </c>
      <c r="D1765" s="8" t="s">
        <v>2038</v>
      </c>
      <c r="E1765" s="8" t="s">
        <v>2029</v>
      </c>
      <c r="F1765" s="9">
        <v>9.41</v>
      </c>
    </row>
    <row r="1766" spans="3:6" hidden="1" x14ac:dyDescent="0.3">
      <c r="C1766" s="10" t="s">
        <v>1739</v>
      </c>
      <c r="D1766" s="11" t="s">
        <v>2034</v>
      </c>
      <c r="E1766" s="11" t="s">
        <v>2022</v>
      </c>
      <c r="F1766" s="12">
        <v>3.1</v>
      </c>
    </row>
    <row r="1767" spans="3:6" hidden="1" x14ac:dyDescent="0.3">
      <c r="C1767" s="7" t="s">
        <v>1740</v>
      </c>
      <c r="D1767" s="8" t="s">
        <v>2034</v>
      </c>
      <c r="E1767" s="8" t="s">
        <v>2015</v>
      </c>
      <c r="F1767" s="9">
        <v>5.65</v>
      </c>
    </row>
    <row r="1768" spans="3:6" hidden="1" x14ac:dyDescent="0.3">
      <c r="C1768" s="10" t="s">
        <v>1995</v>
      </c>
      <c r="D1768" s="11" t="s">
        <v>2085</v>
      </c>
      <c r="E1768" s="11" t="s">
        <v>1993</v>
      </c>
      <c r="F1768" s="12">
        <v>1.41</v>
      </c>
    </row>
    <row r="1769" spans="3:6" hidden="1" x14ac:dyDescent="0.3">
      <c r="C1769" s="7" t="s">
        <v>1741</v>
      </c>
      <c r="D1769" s="8" t="s">
        <v>2053</v>
      </c>
      <c r="E1769" s="8" t="s">
        <v>1993</v>
      </c>
      <c r="F1769" s="9">
        <v>3.83</v>
      </c>
    </row>
    <row r="1770" spans="3:6" hidden="1" x14ac:dyDescent="0.3">
      <c r="C1770" s="10" t="s">
        <v>1742</v>
      </c>
      <c r="D1770" s="11" t="s">
        <v>2089</v>
      </c>
      <c r="E1770" s="11" t="s">
        <v>1979</v>
      </c>
      <c r="F1770" s="12">
        <v>0.93</v>
      </c>
    </row>
    <row r="1771" spans="3:6" hidden="1" x14ac:dyDescent="0.3">
      <c r="C1771" s="7" t="s">
        <v>1743</v>
      </c>
      <c r="D1771" s="8" t="s">
        <v>2047</v>
      </c>
      <c r="E1771" s="8" t="s">
        <v>2022</v>
      </c>
      <c r="F1771" s="9">
        <v>1.02</v>
      </c>
    </row>
    <row r="1772" spans="3:6" hidden="1" x14ac:dyDescent="0.3">
      <c r="C1772" s="10" t="s">
        <v>1744</v>
      </c>
      <c r="D1772" s="11" t="s">
        <v>2034</v>
      </c>
      <c r="E1772" s="11" t="s">
        <v>2022</v>
      </c>
      <c r="F1772" s="12">
        <v>3.96</v>
      </c>
    </row>
    <row r="1773" spans="3:6" hidden="1" x14ac:dyDescent="0.3">
      <c r="C1773" s="7" t="s">
        <v>1745</v>
      </c>
      <c r="D1773" s="8" t="s">
        <v>2038</v>
      </c>
      <c r="E1773" s="8" t="s">
        <v>1979</v>
      </c>
      <c r="F1773" s="9">
        <v>0.43</v>
      </c>
    </row>
    <row r="1774" spans="3:6" hidden="1" x14ac:dyDescent="0.3">
      <c r="C1774" s="10" t="s">
        <v>1746</v>
      </c>
      <c r="D1774" s="11" t="s">
        <v>2034</v>
      </c>
      <c r="E1774" s="11" t="s">
        <v>2028</v>
      </c>
      <c r="F1774" s="12">
        <v>1.75</v>
      </c>
    </row>
    <row r="1775" spans="3:6" hidden="1" x14ac:dyDescent="0.3">
      <c r="C1775" s="7" t="s">
        <v>1747</v>
      </c>
      <c r="D1775" s="8" t="s">
        <v>2035</v>
      </c>
      <c r="E1775" s="8" t="s">
        <v>2031</v>
      </c>
      <c r="F1775" s="9">
        <v>3.19</v>
      </c>
    </row>
    <row r="1776" spans="3:6" hidden="1" x14ac:dyDescent="0.3">
      <c r="C1776" s="10" t="s">
        <v>1748</v>
      </c>
      <c r="D1776" s="11" t="s">
        <v>2076</v>
      </c>
      <c r="E1776" s="11" t="s">
        <v>1979</v>
      </c>
      <c r="F1776" s="12">
        <v>1.33</v>
      </c>
    </row>
    <row r="1777" spans="3:6" hidden="1" x14ac:dyDescent="0.3">
      <c r="C1777" s="7" t="s">
        <v>1749</v>
      </c>
      <c r="D1777" s="8" t="s">
        <v>2047</v>
      </c>
      <c r="E1777" s="8" t="s">
        <v>2015</v>
      </c>
      <c r="F1777" s="9">
        <v>4.59</v>
      </c>
    </row>
    <row r="1778" spans="3:6" hidden="1" x14ac:dyDescent="0.3">
      <c r="C1778" s="10" t="s">
        <v>1750</v>
      </c>
      <c r="D1778" s="11" t="s">
        <v>2045</v>
      </c>
      <c r="E1778" s="11" t="s">
        <v>2030</v>
      </c>
      <c r="F1778" s="12">
        <v>2.7</v>
      </c>
    </row>
    <row r="1779" spans="3:6" hidden="1" x14ac:dyDescent="0.3">
      <c r="C1779" s="7" t="s">
        <v>1751</v>
      </c>
      <c r="D1779" s="8" t="s">
        <v>2066</v>
      </c>
      <c r="E1779" s="8" t="s">
        <v>2017</v>
      </c>
      <c r="F1779" s="9">
        <v>0.6</v>
      </c>
    </row>
    <row r="1780" spans="3:6" hidden="1" x14ac:dyDescent="0.3">
      <c r="C1780" s="10" t="s">
        <v>1752</v>
      </c>
      <c r="D1780" s="11" t="s">
        <v>2038</v>
      </c>
      <c r="E1780" s="11" t="s">
        <v>1986</v>
      </c>
      <c r="F1780" s="12">
        <v>6.01</v>
      </c>
    </row>
    <row r="1781" spans="3:6" hidden="1" x14ac:dyDescent="0.3">
      <c r="C1781" s="7" t="s">
        <v>1753</v>
      </c>
      <c r="D1781" s="8" t="s">
        <v>2034</v>
      </c>
      <c r="E1781" s="8" t="s">
        <v>2002</v>
      </c>
      <c r="F1781" s="9">
        <v>4.6399999999999997</v>
      </c>
    </row>
    <row r="1782" spans="3:6" hidden="1" x14ac:dyDescent="0.3">
      <c r="C1782" s="10" t="s">
        <v>1991</v>
      </c>
      <c r="D1782" s="11" t="s">
        <v>2047</v>
      </c>
      <c r="E1782" s="11" t="s">
        <v>1988</v>
      </c>
      <c r="F1782" s="12">
        <v>5.83</v>
      </c>
    </row>
    <row r="1783" spans="3:6" hidden="1" x14ac:dyDescent="0.3">
      <c r="C1783" s="7" t="s">
        <v>1754</v>
      </c>
      <c r="D1783" s="8" t="s">
        <v>2057</v>
      </c>
      <c r="E1783" s="8" t="s">
        <v>1998</v>
      </c>
      <c r="F1783" s="9">
        <v>0.57999999999999996</v>
      </c>
    </row>
    <row r="1784" spans="3:6" hidden="1" x14ac:dyDescent="0.3">
      <c r="C1784" s="10" t="s">
        <v>1755</v>
      </c>
      <c r="D1784" s="11" t="s">
        <v>2041</v>
      </c>
      <c r="E1784" s="11" t="s">
        <v>2017</v>
      </c>
      <c r="F1784" s="12">
        <v>2.83</v>
      </c>
    </row>
    <row r="1785" spans="3:6" hidden="1" x14ac:dyDescent="0.3">
      <c r="C1785" s="7" t="s">
        <v>1756</v>
      </c>
      <c r="D1785" s="8" t="s">
        <v>2043</v>
      </c>
      <c r="E1785" s="8" t="s">
        <v>1979</v>
      </c>
      <c r="F1785" s="9">
        <v>1.17</v>
      </c>
    </row>
    <row r="1786" spans="3:6" hidden="1" x14ac:dyDescent="0.3">
      <c r="C1786" s="10" t="s">
        <v>1757</v>
      </c>
      <c r="D1786" s="11" t="s">
        <v>2034</v>
      </c>
      <c r="E1786" s="11" t="s">
        <v>1998</v>
      </c>
      <c r="F1786" s="12">
        <v>1</v>
      </c>
    </row>
    <row r="1787" spans="3:6" hidden="1" x14ac:dyDescent="0.3">
      <c r="C1787" s="7" t="s">
        <v>1758</v>
      </c>
      <c r="D1787" s="8" t="s">
        <v>2034</v>
      </c>
      <c r="E1787" s="8" t="s">
        <v>2015</v>
      </c>
      <c r="F1787" s="9">
        <v>2.6</v>
      </c>
    </row>
    <row r="1788" spans="3:6" hidden="1" x14ac:dyDescent="0.3">
      <c r="C1788" s="10" t="s">
        <v>1759</v>
      </c>
      <c r="D1788" s="11" t="s">
        <v>2043</v>
      </c>
      <c r="E1788" s="11" t="s">
        <v>2004</v>
      </c>
      <c r="F1788" s="12">
        <v>5.5</v>
      </c>
    </row>
    <row r="1789" spans="3:6" hidden="1" x14ac:dyDescent="0.3">
      <c r="C1789" s="7" t="s">
        <v>1760</v>
      </c>
      <c r="D1789" s="8" t="s">
        <v>2034</v>
      </c>
      <c r="E1789" s="8" t="s">
        <v>2002</v>
      </c>
      <c r="F1789" s="9">
        <v>3.86</v>
      </c>
    </row>
    <row r="1790" spans="3:6" hidden="1" x14ac:dyDescent="0.3">
      <c r="C1790" s="10" t="s">
        <v>1761</v>
      </c>
      <c r="D1790" s="11" t="s">
        <v>2038</v>
      </c>
      <c r="E1790" s="11" t="s">
        <v>1979</v>
      </c>
      <c r="F1790" s="12">
        <v>0.43</v>
      </c>
    </row>
    <row r="1791" spans="3:6" hidden="1" x14ac:dyDescent="0.3">
      <c r="C1791" s="7" t="s">
        <v>1762</v>
      </c>
      <c r="D1791" s="8" t="s">
        <v>2038</v>
      </c>
      <c r="E1791" s="8" t="s">
        <v>2029</v>
      </c>
      <c r="F1791" s="9">
        <v>8.7100000000000009</v>
      </c>
    </row>
    <row r="1792" spans="3:6" hidden="1" x14ac:dyDescent="0.3">
      <c r="C1792" s="10" t="s">
        <v>1763</v>
      </c>
      <c r="D1792" s="11" t="s">
        <v>2079</v>
      </c>
      <c r="E1792" s="11" t="s">
        <v>2015</v>
      </c>
      <c r="F1792" s="12">
        <v>1.38</v>
      </c>
    </row>
    <row r="1793" spans="3:6" hidden="1" x14ac:dyDescent="0.3">
      <c r="C1793" s="7" t="s">
        <v>1764</v>
      </c>
      <c r="D1793" s="8" t="s">
        <v>2065</v>
      </c>
      <c r="E1793" s="8" t="s">
        <v>1979</v>
      </c>
      <c r="F1793" s="9">
        <v>0.43</v>
      </c>
    </row>
    <row r="1794" spans="3:6" hidden="1" x14ac:dyDescent="0.3">
      <c r="C1794" s="10" t="s">
        <v>1765</v>
      </c>
      <c r="D1794" s="11" t="s">
        <v>2038</v>
      </c>
      <c r="E1794" s="11" t="s">
        <v>1979</v>
      </c>
      <c r="F1794" s="12">
        <v>0.38</v>
      </c>
    </row>
    <row r="1795" spans="3:6" hidden="1" x14ac:dyDescent="0.3">
      <c r="C1795" s="7" t="s">
        <v>1766</v>
      </c>
      <c r="D1795" s="8" t="s">
        <v>2057</v>
      </c>
      <c r="E1795" s="8" t="s">
        <v>1993</v>
      </c>
      <c r="F1795" s="9">
        <v>0.65</v>
      </c>
    </row>
    <row r="1796" spans="3:6" hidden="1" x14ac:dyDescent="0.3">
      <c r="C1796" s="10" t="s">
        <v>1767</v>
      </c>
      <c r="D1796" s="11" t="s">
        <v>2040</v>
      </c>
      <c r="E1796" s="11" t="s">
        <v>1987</v>
      </c>
      <c r="F1796" s="12">
        <v>2.36</v>
      </c>
    </row>
    <row r="1797" spans="3:6" hidden="1" x14ac:dyDescent="0.3">
      <c r="C1797" s="7" t="s">
        <v>1768</v>
      </c>
      <c r="D1797" s="8" t="s">
        <v>2034</v>
      </c>
      <c r="E1797" s="8" t="s">
        <v>2000</v>
      </c>
      <c r="F1797" s="9">
        <v>8.58</v>
      </c>
    </row>
    <row r="1798" spans="3:6" hidden="1" x14ac:dyDescent="0.3">
      <c r="C1798" s="10" t="s">
        <v>1769</v>
      </c>
      <c r="D1798" s="11" t="s">
        <v>2061</v>
      </c>
      <c r="E1798" s="11" t="s">
        <v>1979</v>
      </c>
      <c r="F1798" s="12">
        <v>0.93</v>
      </c>
    </row>
    <row r="1799" spans="3:6" hidden="1" x14ac:dyDescent="0.3">
      <c r="C1799" s="7" t="s">
        <v>1770</v>
      </c>
      <c r="D1799" s="8" t="s">
        <v>2034</v>
      </c>
      <c r="E1799" s="8" t="s">
        <v>2022</v>
      </c>
      <c r="F1799" s="9">
        <v>8.5500000000000007</v>
      </c>
    </row>
    <row r="1800" spans="3:6" hidden="1" x14ac:dyDescent="0.3">
      <c r="C1800" s="10" t="s">
        <v>1771</v>
      </c>
      <c r="D1800" s="11" t="s">
        <v>2038</v>
      </c>
      <c r="E1800" s="11" t="s">
        <v>1988</v>
      </c>
      <c r="F1800" s="12">
        <v>3.31</v>
      </c>
    </row>
    <row r="1801" spans="3:6" hidden="1" x14ac:dyDescent="0.3">
      <c r="C1801" s="7" t="s">
        <v>1772</v>
      </c>
      <c r="D1801" s="8" t="s">
        <v>2034</v>
      </c>
      <c r="E1801" s="8" t="s">
        <v>2017</v>
      </c>
      <c r="F1801" s="9">
        <v>0.34</v>
      </c>
    </row>
    <row r="1802" spans="3:6" hidden="1" x14ac:dyDescent="0.3">
      <c r="C1802" s="10" t="s">
        <v>1773</v>
      </c>
      <c r="D1802" s="11" t="s">
        <v>2042</v>
      </c>
      <c r="E1802" s="11" t="s">
        <v>2031</v>
      </c>
      <c r="F1802" s="12">
        <v>2.4</v>
      </c>
    </row>
    <row r="1803" spans="3:6" hidden="1" x14ac:dyDescent="0.3">
      <c r="C1803" s="7" t="s">
        <v>1774</v>
      </c>
      <c r="D1803" s="8" t="s">
        <v>2047</v>
      </c>
      <c r="E1803" s="8" t="s">
        <v>2031</v>
      </c>
      <c r="F1803" s="9">
        <v>2.44</v>
      </c>
    </row>
    <row r="1804" spans="3:6" hidden="1" x14ac:dyDescent="0.3">
      <c r="C1804" s="10" t="s">
        <v>1775</v>
      </c>
      <c r="D1804" s="11" t="s">
        <v>2065</v>
      </c>
      <c r="E1804" s="11" t="s">
        <v>1979</v>
      </c>
      <c r="F1804" s="12">
        <v>0.63</v>
      </c>
    </row>
    <row r="1805" spans="3:6" hidden="1" x14ac:dyDescent="0.3">
      <c r="C1805" s="7" t="s">
        <v>1776</v>
      </c>
      <c r="D1805" s="8" t="s">
        <v>2034</v>
      </c>
      <c r="E1805" s="8" t="s">
        <v>2027</v>
      </c>
      <c r="F1805" s="9">
        <v>1.2</v>
      </c>
    </row>
    <row r="1806" spans="3:6" hidden="1" x14ac:dyDescent="0.3">
      <c r="C1806" s="10" t="s">
        <v>1777</v>
      </c>
      <c r="D1806" s="11" t="s">
        <v>2037</v>
      </c>
      <c r="E1806" s="11" t="s">
        <v>1979</v>
      </c>
      <c r="F1806" s="12">
        <v>0.62</v>
      </c>
    </row>
    <row r="1807" spans="3:6" hidden="1" x14ac:dyDescent="0.3">
      <c r="C1807" s="7" t="s">
        <v>1778</v>
      </c>
      <c r="D1807" s="8" t="s">
        <v>2034</v>
      </c>
      <c r="E1807" s="8" t="s">
        <v>2004</v>
      </c>
      <c r="F1807" s="9">
        <v>3</v>
      </c>
    </row>
    <row r="1808" spans="3:6" hidden="1" x14ac:dyDescent="0.3">
      <c r="C1808" s="10" t="s">
        <v>1779</v>
      </c>
      <c r="D1808" s="11" t="s">
        <v>2037</v>
      </c>
      <c r="E1808" s="11" t="s">
        <v>1999</v>
      </c>
      <c r="F1808" s="12">
        <v>2.2200000000000002</v>
      </c>
    </row>
    <row r="1809" spans="3:6" hidden="1" x14ac:dyDescent="0.3">
      <c r="C1809" s="7" t="s">
        <v>1780</v>
      </c>
      <c r="D1809" s="8" t="s">
        <v>2035</v>
      </c>
      <c r="E1809" s="8" t="s">
        <v>2001</v>
      </c>
      <c r="F1809" s="9">
        <v>3.13</v>
      </c>
    </row>
    <row r="1810" spans="3:6" hidden="1" x14ac:dyDescent="0.3">
      <c r="C1810" s="10" t="s">
        <v>1781</v>
      </c>
      <c r="D1810" s="11" t="s">
        <v>2065</v>
      </c>
      <c r="E1810" s="11" t="s">
        <v>2025</v>
      </c>
      <c r="F1810" s="12">
        <v>1.42</v>
      </c>
    </row>
    <row r="1811" spans="3:6" hidden="1" x14ac:dyDescent="0.3">
      <c r="C1811" s="7" t="s">
        <v>2020</v>
      </c>
      <c r="D1811" s="8" t="s">
        <v>2034</v>
      </c>
      <c r="E1811" s="8" t="s">
        <v>2017</v>
      </c>
      <c r="F1811" s="9">
        <v>0.99</v>
      </c>
    </row>
    <row r="1812" spans="3:6" hidden="1" x14ac:dyDescent="0.3">
      <c r="C1812" s="10" t="s">
        <v>1782</v>
      </c>
      <c r="D1812" s="11" t="s">
        <v>2040</v>
      </c>
      <c r="E1812" s="11" t="s">
        <v>2031</v>
      </c>
      <c r="F1812" s="12">
        <v>1.02</v>
      </c>
    </row>
    <row r="1813" spans="3:6" hidden="1" x14ac:dyDescent="0.3">
      <c r="C1813" s="7" t="s">
        <v>1783</v>
      </c>
      <c r="D1813" s="8" t="s">
        <v>2038</v>
      </c>
      <c r="E1813" s="8" t="s">
        <v>1979</v>
      </c>
      <c r="F1813" s="9">
        <v>0.38</v>
      </c>
    </row>
    <row r="1814" spans="3:6" hidden="1" x14ac:dyDescent="0.3">
      <c r="C1814" s="10" t="s">
        <v>1784</v>
      </c>
      <c r="D1814" s="11" t="s">
        <v>2047</v>
      </c>
      <c r="E1814" s="11" t="s">
        <v>2017</v>
      </c>
      <c r="F1814" s="12">
        <v>1.86</v>
      </c>
    </row>
    <row r="1815" spans="3:6" hidden="1" x14ac:dyDescent="0.3">
      <c r="C1815" s="7" t="s">
        <v>1785</v>
      </c>
      <c r="D1815" s="8" t="s">
        <v>2034</v>
      </c>
      <c r="E1815" s="8" t="s">
        <v>2030</v>
      </c>
      <c r="F1815" s="9">
        <v>1</v>
      </c>
    </row>
    <row r="1816" spans="3:6" hidden="1" x14ac:dyDescent="0.3">
      <c r="C1816" s="10" t="s">
        <v>1786</v>
      </c>
      <c r="D1816" s="11" t="s">
        <v>2064</v>
      </c>
      <c r="E1816" s="11" t="s">
        <v>1993</v>
      </c>
      <c r="F1816" s="12">
        <v>1.98</v>
      </c>
    </row>
    <row r="1817" spans="3:6" hidden="1" x14ac:dyDescent="0.3">
      <c r="C1817" s="7" t="s">
        <v>1787</v>
      </c>
      <c r="D1817" s="8" t="s">
        <v>2063</v>
      </c>
      <c r="E1817" s="8" t="s">
        <v>2015</v>
      </c>
      <c r="F1817" s="9">
        <v>1.77</v>
      </c>
    </row>
    <row r="1818" spans="3:6" hidden="1" x14ac:dyDescent="0.3">
      <c r="C1818" s="10" t="s">
        <v>1788</v>
      </c>
      <c r="D1818" s="11" t="s">
        <v>2041</v>
      </c>
      <c r="E1818" s="11" t="s">
        <v>2001</v>
      </c>
      <c r="F1818" s="12">
        <v>8.2899999999999991</v>
      </c>
    </row>
    <row r="1819" spans="3:6" hidden="1" x14ac:dyDescent="0.3">
      <c r="C1819" s="7" t="s">
        <v>1789</v>
      </c>
      <c r="D1819" s="8" t="s">
        <v>2076</v>
      </c>
      <c r="E1819" s="8" t="s">
        <v>1998</v>
      </c>
      <c r="F1819" s="9">
        <v>2.65</v>
      </c>
    </row>
    <row r="1820" spans="3:6" hidden="1" x14ac:dyDescent="0.3">
      <c r="C1820" s="10" t="s">
        <v>1790</v>
      </c>
      <c r="D1820" s="11" t="s">
        <v>2080</v>
      </c>
      <c r="E1820" s="11" t="s">
        <v>1979</v>
      </c>
      <c r="F1820" s="12">
        <v>1.35</v>
      </c>
    </row>
    <row r="1821" spans="3:6" hidden="1" x14ac:dyDescent="0.3">
      <c r="C1821" s="7" t="s">
        <v>1791</v>
      </c>
      <c r="D1821" s="8" t="s">
        <v>2035</v>
      </c>
      <c r="E1821" s="8" t="s">
        <v>1986</v>
      </c>
      <c r="F1821" s="9">
        <v>2.94</v>
      </c>
    </row>
    <row r="1822" spans="3:6" hidden="1" x14ac:dyDescent="0.3">
      <c r="C1822" s="10" t="s">
        <v>1792</v>
      </c>
      <c r="D1822" s="11" t="s">
        <v>2049</v>
      </c>
      <c r="E1822" s="11" t="s">
        <v>2015</v>
      </c>
      <c r="F1822" s="12">
        <v>3.81</v>
      </c>
    </row>
    <row r="1823" spans="3:6" hidden="1" x14ac:dyDescent="0.3">
      <c r="C1823" s="7" t="s">
        <v>1793</v>
      </c>
      <c r="D1823" s="8" t="s">
        <v>2067</v>
      </c>
      <c r="E1823" s="8" t="s">
        <v>1979</v>
      </c>
      <c r="F1823" s="9">
        <v>0.56999999999999995</v>
      </c>
    </row>
    <row r="1824" spans="3:6" hidden="1" x14ac:dyDescent="0.3">
      <c r="C1824" s="10" t="s">
        <v>1794</v>
      </c>
      <c r="D1824" s="11" t="s">
        <v>2034</v>
      </c>
      <c r="E1824" s="11" t="s">
        <v>1986</v>
      </c>
      <c r="F1824" s="12">
        <v>0.89</v>
      </c>
    </row>
    <row r="1825" spans="3:6" hidden="1" x14ac:dyDescent="0.3">
      <c r="C1825" s="7" t="s">
        <v>1795</v>
      </c>
      <c r="D1825" s="8" t="s">
        <v>2061</v>
      </c>
      <c r="E1825" s="8" t="s">
        <v>2015</v>
      </c>
      <c r="F1825" s="9">
        <v>2.2599999999999998</v>
      </c>
    </row>
    <row r="1826" spans="3:6" hidden="1" x14ac:dyDescent="0.3">
      <c r="C1826" s="10" t="s">
        <v>1996</v>
      </c>
      <c r="D1826" s="11" t="s">
        <v>2038</v>
      </c>
      <c r="E1826" s="11" t="s">
        <v>1993</v>
      </c>
      <c r="F1826" s="12">
        <v>4.2</v>
      </c>
    </row>
    <row r="1827" spans="3:6" hidden="1" x14ac:dyDescent="0.3">
      <c r="C1827" s="7" t="s">
        <v>1796</v>
      </c>
      <c r="D1827" s="8" t="s">
        <v>2034</v>
      </c>
      <c r="E1827" s="8" t="s">
        <v>2030</v>
      </c>
      <c r="F1827" s="9">
        <v>4.17</v>
      </c>
    </row>
    <row r="1828" spans="3:6" hidden="1" x14ac:dyDescent="0.3">
      <c r="C1828" s="10" t="s">
        <v>1797</v>
      </c>
      <c r="D1828" s="11" t="s">
        <v>2034</v>
      </c>
      <c r="E1828" s="11" t="s">
        <v>1986</v>
      </c>
      <c r="F1828" s="12">
        <v>1.44</v>
      </c>
    </row>
    <row r="1829" spans="3:6" hidden="1" x14ac:dyDescent="0.3">
      <c r="C1829" s="7" t="s">
        <v>1798</v>
      </c>
      <c r="D1829" s="8" t="s">
        <v>2038</v>
      </c>
      <c r="E1829" s="8" t="s">
        <v>1979</v>
      </c>
      <c r="F1829" s="9">
        <v>0.4</v>
      </c>
    </row>
    <row r="1830" spans="3:6" hidden="1" x14ac:dyDescent="0.3">
      <c r="C1830" s="10" t="s">
        <v>1799</v>
      </c>
      <c r="D1830" s="11" t="s">
        <v>2043</v>
      </c>
      <c r="E1830" s="11" t="s">
        <v>1979</v>
      </c>
      <c r="F1830" s="12">
        <v>1.07</v>
      </c>
    </row>
    <row r="1831" spans="3:6" hidden="1" x14ac:dyDescent="0.3">
      <c r="C1831" s="7" t="s">
        <v>1800</v>
      </c>
      <c r="D1831" s="8" t="s">
        <v>2038</v>
      </c>
      <c r="E1831" s="8" t="s">
        <v>1998</v>
      </c>
      <c r="F1831" s="9">
        <v>3.32</v>
      </c>
    </row>
    <row r="1832" spans="3:6" hidden="1" x14ac:dyDescent="0.3">
      <c r="C1832" s="10" t="s">
        <v>1801</v>
      </c>
      <c r="D1832" s="11" t="s">
        <v>1975</v>
      </c>
      <c r="E1832" s="11" t="s">
        <v>2001</v>
      </c>
      <c r="F1832" s="12">
        <v>2.93</v>
      </c>
    </row>
    <row r="1833" spans="3:6" hidden="1" x14ac:dyDescent="0.3">
      <c r="C1833" s="7" t="s">
        <v>1802</v>
      </c>
      <c r="D1833" s="8" t="s">
        <v>2060</v>
      </c>
      <c r="E1833" s="8" t="s">
        <v>2023</v>
      </c>
      <c r="F1833" s="9">
        <v>3</v>
      </c>
    </row>
    <row r="1834" spans="3:6" hidden="1" x14ac:dyDescent="0.3">
      <c r="C1834" s="10" t="s">
        <v>1803</v>
      </c>
      <c r="D1834" s="11" t="s">
        <v>2038</v>
      </c>
      <c r="E1834" s="11" t="s">
        <v>1998</v>
      </c>
      <c r="F1834" s="12">
        <v>3.4</v>
      </c>
    </row>
    <row r="1835" spans="3:6" hidden="1" x14ac:dyDescent="0.3">
      <c r="C1835" s="7" t="s">
        <v>1804</v>
      </c>
      <c r="D1835" s="8" t="s">
        <v>2038</v>
      </c>
      <c r="E1835" s="8" t="s">
        <v>1979</v>
      </c>
      <c r="F1835" s="9">
        <v>0.37</v>
      </c>
    </row>
    <row r="1836" spans="3:6" hidden="1" x14ac:dyDescent="0.3">
      <c r="C1836" s="10" t="s">
        <v>1805</v>
      </c>
      <c r="D1836" s="11" t="s">
        <v>2034</v>
      </c>
      <c r="E1836" s="11" t="s">
        <v>1986</v>
      </c>
      <c r="F1836" s="12">
        <v>7.99</v>
      </c>
    </row>
    <row r="1837" spans="3:6" hidden="1" x14ac:dyDescent="0.3">
      <c r="C1837" s="7" t="s">
        <v>1806</v>
      </c>
      <c r="D1837" s="8" t="s">
        <v>2043</v>
      </c>
      <c r="E1837" s="8" t="s">
        <v>1988</v>
      </c>
      <c r="F1837" s="9">
        <v>3.11</v>
      </c>
    </row>
    <row r="1838" spans="3:6" hidden="1" x14ac:dyDescent="0.3">
      <c r="C1838" s="10" t="s">
        <v>1807</v>
      </c>
      <c r="D1838" s="11" t="s">
        <v>2034</v>
      </c>
      <c r="E1838" s="11" t="s">
        <v>1979</v>
      </c>
      <c r="F1838" s="12">
        <v>0.77</v>
      </c>
    </row>
    <row r="1839" spans="3:6" hidden="1" x14ac:dyDescent="0.3">
      <c r="C1839" s="7" t="s">
        <v>1808</v>
      </c>
      <c r="D1839" s="8" t="s">
        <v>2038</v>
      </c>
      <c r="E1839" s="8" t="s">
        <v>1979</v>
      </c>
      <c r="F1839" s="9">
        <v>0.4</v>
      </c>
    </row>
    <row r="1840" spans="3:6" hidden="1" x14ac:dyDescent="0.3">
      <c r="C1840" s="10" t="s">
        <v>1809</v>
      </c>
      <c r="D1840" s="11" t="s">
        <v>2038</v>
      </c>
      <c r="E1840" s="11" t="s">
        <v>1987</v>
      </c>
      <c r="F1840" s="12">
        <v>4.82</v>
      </c>
    </row>
    <row r="1841" spans="3:6" hidden="1" x14ac:dyDescent="0.3">
      <c r="C1841" s="7" t="s">
        <v>1810</v>
      </c>
      <c r="D1841" s="8" t="s">
        <v>2035</v>
      </c>
      <c r="E1841" s="8" t="s">
        <v>2023</v>
      </c>
      <c r="F1841" s="9">
        <v>4.45</v>
      </c>
    </row>
    <row r="1842" spans="3:6" hidden="1" x14ac:dyDescent="0.3">
      <c r="C1842" s="10" t="s">
        <v>1811</v>
      </c>
      <c r="D1842" s="11" t="s">
        <v>2034</v>
      </c>
      <c r="E1842" s="11" t="s">
        <v>2023</v>
      </c>
      <c r="F1842" s="12">
        <v>7.88</v>
      </c>
    </row>
    <row r="1843" spans="3:6" hidden="1" x14ac:dyDescent="0.3">
      <c r="C1843" s="7" t="s">
        <v>1812</v>
      </c>
      <c r="D1843" s="8" t="s">
        <v>2037</v>
      </c>
      <c r="E1843" s="8" t="s">
        <v>1979</v>
      </c>
      <c r="F1843" s="9">
        <v>0.4</v>
      </c>
    </row>
    <row r="1844" spans="3:6" hidden="1" x14ac:dyDescent="0.3">
      <c r="C1844" s="10" t="s">
        <v>1813</v>
      </c>
      <c r="D1844" s="11" t="s">
        <v>2037</v>
      </c>
      <c r="E1844" s="11" t="s">
        <v>1979</v>
      </c>
      <c r="F1844" s="12">
        <v>0.54</v>
      </c>
    </row>
    <row r="1845" spans="3:6" hidden="1" x14ac:dyDescent="0.3">
      <c r="C1845" s="7" t="s">
        <v>1814</v>
      </c>
      <c r="D1845" s="8" t="s">
        <v>2063</v>
      </c>
      <c r="E1845" s="8" t="s">
        <v>2015</v>
      </c>
      <c r="F1845" s="9">
        <v>4.88</v>
      </c>
    </row>
    <row r="1846" spans="3:6" hidden="1" x14ac:dyDescent="0.3">
      <c r="C1846" s="10" t="s">
        <v>1815</v>
      </c>
      <c r="D1846" s="11" t="s">
        <v>2034</v>
      </c>
      <c r="E1846" s="11" t="s">
        <v>2023</v>
      </c>
      <c r="F1846" s="12">
        <v>7.85</v>
      </c>
    </row>
    <row r="1847" spans="3:6" hidden="1" x14ac:dyDescent="0.3">
      <c r="C1847" s="7" t="s">
        <v>1816</v>
      </c>
      <c r="D1847" s="8" t="s">
        <v>2034</v>
      </c>
      <c r="E1847" s="8" t="s">
        <v>1986</v>
      </c>
      <c r="F1847" s="9">
        <v>3.24</v>
      </c>
    </row>
    <row r="1848" spans="3:6" hidden="1" x14ac:dyDescent="0.3">
      <c r="C1848" s="10" t="s">
        <v>1817</v>
      </c>
      <c r="D1848" s="11" t="s">
        <v>2034</v>
      </c>
      <c r="E1848" s="11" t="s">
        <v>1998</v>
      </c>
      <c r="F1848" s="12">
        <v>0.71</v>
      </c>
    </row>
    <row r="1849" spans="3:6" hidden="1" x14ac:dyDescent="0.3">
      <c r="C1849" s="7" t="s">
        <v>1818</v>
      </c>
      <c r="D1849" s="8" t="s">
        <v>2035</v>
      </c>
      <c r="E1849" s="8" t="s">
        <v>2023</v>
      </c>
      <c r="F1849" s="9">
        <v>3.51</v>
      </c>
    </row>
    <row r="1850" spans="3:6" hidden="1" x14ac:dyDescent="0.3">
      <c r="C1850" s="10" t="s">
        <v>1819</v>
      </c>
      <c r="D1850" s="11" t="s">
        <v>2074</v>
      </c>
      <c r="E1850" s="11" t="s">
        <v>1998</v>
      </c>
      <c r="F1850" s="12">
        <v>1.18</v>
      </c>
    </row>
    <row r="1851" spans="3:6" hidden="1" x14ac:dyDescent="0.3">
      <c r="C1851" s="7" t="s">
        <v>1820</v>
      </c>
      <c r="D1851" s="8" t="s">
        <v>2034</v>
      </c>
      <c r="E1851" s="8" t="s">
        <v>2003</v>
      </c>
      <c r="F1851" s="9">
        <v>4.04</v>
      </c>
    </row>
    <row r="1852" spans="3:6" hidden="1" x14ac:dyDescent="0.3">
      <c r="C1852" s="10" t="s">
        <v>1821</v>
      </c>
      <c r="D1852" s="11" t="s">
        <v>2074</v>
      </c>
      <c r="E1852" s="11" t="s">
        <v>1998</v>
      </c>
      <c r="F1852" s="12">
        <v>0.83</v>
      </c>
    </row>
    <row r="1853" spans="3:6" hidden="1" x14ac:dyDescent="0.3">
      <c r="C1853" s="7" t="s">
        <v>1822</v>
      </c>
      <c r="D1853" s="8" t="s">
        <v>2045</v>
      </c>
      <c r="E1853" s="8" t="s">
        <v>2029</v>
      </c>
      <c r="F1853" s="9">
        <v>7.8</v>
      </c>
    </row>
    <row r="1854" spans="3:6" hidden="1" x14ac:dyDescent="0.3">
      <c r="C1854" s="10" t="s">
        <v>1823</v>
      </c>
      <c r="D1854" s="11" t="s">
        <v>2036</v>
      </c>
      <c r="E1854" s="11" t="s">
        <v>1998</v>
      </c>
      <c r="F1854" s="12">
        <v>0.27</v>
      </c>
    </row>
    <row r="1855" spans="3:6" hidden="1" x14ac:dyDescent="0.3">
      <c r="C1855" s="7" t="s">
        <v>1824</v>
      </c>
      <c r="D1855" s="8" t="s">
        <v>2038</v>
      </c>
      <c r="E1855" s="8" t="s">
        <v>1979</v>
      </c>
      <c r="F1855" s="9">
        <v>0.41</v>
      </c>
    </row>
    <row r="1856" spans="3:6" hidden="1" x14ac:dyDescent="0.3">
      <c r="C1856" s="10" t="s">
        <v>1825</v>
      </c>
      <c r="D1856" s="11" t="s">
        <v>2034</v>
      </c>
      <c r="E1856" s="11" t="s">
        <v>2023</v>
      </c>
      <c r="F1856" s="12">
        <v>3.64</v>
      </c>
    </row>
    <row r="1857" spans="3:6" hidden="1" x14ac:dyDescent="0.3">
      <c r="C1857" s="7" t="s">
        <v>1826</v>
      </c>
      <c r="D1857" s="8" t="s">
        <v>2034</v>
      </c>
      <c r="E1857" s="8" t="s">
        <v>1979</v>
      </c>
      <c r="F1857" s="9">
        <v>0.7</v>
      </c>
    </row>
    <row r="1858" spans="3:6" hidden="1" x14ac:dyDescent="0.3">
      <c r="C1858" s="10" t="s">
        <v>1827</v>
      </c>
      <c r="D1858" s="11" t="s">
        <v>2076</v>
      </c>
      <c r="E1858" s="11" t="s">
        <v>1979</v>
      </c>
      <c r="F1858" s="12">
        <v>1.01</v>
      </c>
    </row>
    <row r="1859" spans="3:6" hidden="1" x14ac:dyDescent="0.3">
      <c r="C1859" s="7" t="s">
        <v>1828</v>
      </c>
      <c r="D1859" s="8" t="s">
        <v>2034</v>
      </c>
      <c r="E1859" s="8" t="s">
        <v>2031</v>
      </c>
      <c r="F1859" s="9">
        <v>1.25</v>
      </c>
    </row>
    <row r="1860" spans="3:6" hidden="1" x14ac:dyDescent="0.3">
      <c r="C1860" s="10" t="s">
        <v>1829</v>
      </c>
      <c r="D1860" s="11" t="s">
        <v>2034</v>
      </c>
      <c r="E1860" s="11" t="s">
        <v>2028</v>
      </c>
      <c r="F1860" s="12">
        <v>3.65</v>
      </c>
    </row>
    <row r="1861" spans="3:6" hidden="1" x14ac:dyDescent="0.3">
      <c r="C1861" s="7" t="s">
        <v>1830</v>
      </c>
      <c r="D1861" s="8" t="s">
        <v>2034</v>
      </c>
      <c r="E1861" s="8" t="s">
        <v>2023</v>
      </c>
      <c r="F1861" s="9">
        <v>6.03</v>
      </c>
    </row>
    <row r="1862" spans="3:6" hidden="1" x14ac:dyDescent="0.3">
      <c r="C1862" s="10" t="s">
        <v>1831</v>
      </c>
      <c r="D1862" s="11" t="s">
        <v>2044</v>
      </c>
      <c r="E1862" s="11" t="s">
        <v>2031</v>
      </c>
      <c r="F1862" s="12">
        <v>2.54</v>
      </c>
    </row>
    <row r="1863" spans="3:6" hidden="1" x14ac:dyDescent="0.3">
      <c r="C1863" s="7" t="s">
        <v>1832</v>
      </c>
      <c r="D1863" s="8" t="s">
        <v>2034</v>
      </c>
      <c r="E1863" s="8" t="s">
        <v>2026</v>
      </c>
      <c r="F1863" s="9">
        <v>0.28000000000000003</v>
      </c>
    </row>
    <row r="1864" spans="3:6" hidden="1" x14ac:dyDescent="0.3">
      <c r="C1864" s="10" t="s">
        <v>1833</v>
      </c>
      <c r="D1864" s="11" t="s">
        <v>2043</v>
      </c>
      <c r="E1864" s="11" t="s">
        <v>1993</v>
      </c>
      <c r="F1864" s="12">
        <v>2.84</v>
      </c>
    </row>
    <row r="1865" spans="3:6" hidden="1" x14ac:dyDescent="0.3">
      <c r="C1865" s="7" t="s">
        <v>1834</v>
      </c>
      <c r="D1865" s="8" t="s">
        <v>2043</v>
      </c>
      <c r="E1865" s="8" t="s">
        <v>2001</v>
      </c>
      <c r="F1865" s="9">
        <v>5.4</v>
      </c>
    </row>
    <row r="1866" spans="3:6" hidden="1" x14ac:dyDescent="0.3">
      <c r="C1866" s="10" t="s">
        <v>1835</v>
      </c>
      <c r="D1866" s="11" t="s">
        <v>2067</v>
      </c>
      <c r="E1866" s="11" t="s">
        <v>1979</v>
      </c>
      <c r="F1866" s="12">
        <v>0.54</v>
      </c>
    </row>
    <row r="1867" spans="3:6" hidden="1" x14ac:dyDescent="0.3">
      <c r="C1867" s="7" t="s">
        <v>1836</v>
      </c>
      <c r="D1867" s="8" t="s">
        <v>2045</v>
      </c>
      <c r="E1867" s="8" t="s">
        <v>1987</v>
      </c>
      <c r="F1867" s="9">
        <v>3.21</v>
      </c>
    </row>
    <row r="1868" spans="3:6" hidden="1" x14ac:dyDescent="0.3">
      <c r="C1868" s="10" t="s">
        <v>1837</v>
      </c>
      <c r="D1868" s="11" t="s">
        <v>2034</v>
      </c>
      <c r="E1868" s="11" t="s">
        <v>1979</v>
      </c>
      <c r="F1868" s="12">
        <v>0.74</v>
      </c>
    </row>
    <row r="1869" spans="3:6" hidden="1" x14ac:dyDescent="0.3">
      <c r="C1869" s="7" t="s">
        <v>2013</v>
      </c>
      <c r="D1869" s="8" t="s">
        <v>2034</v>
      </c>
      <c r="E1869" s="8" t="s">
        <v>2005</v>
      </c>
      <c r="F1869" s="9">
        <v>1.64</v>
      </c>
    </row>
    <row r="1870" spans="3:6" hidden="1" x14ac:dyDescent="0.3">
      <c r="C1870" s="10" t="s">
        <v>1838</v>
      </c>
      <c r="D1870" s="11" t="s">
        <v>2067</v>
      </c>
      <c r="E1870" s="11" t="s">
        <v>2030</v>
      </c>
      <c r="F1870" s="12">
        <v>3.96</v>
      </c>
    </row>
    <row r="1871" spans="3:6" hidden="1" x14ac:dyDescent="0.3">
      <c r="C1871" s="7" t="s">
        <v>1839</v>
      </c>
      <c r="D1871" s="8" t="s">
        <v>2047</v>
      </c>
      <c r="E1871" s="8" t="s">
        <v>2000</v>
      </c>
      <c r="F1871" s="9">
        <v>5.76</v>
      </c>
    </row>
    <row r="1872" spans="3:6" hidden="1" x14ac:dyDescent="0.3">
      <c r="C1872" s="10" t="s">
        <v>1840</v>
      </c>
      <c r="D1872" s="11" t="s">
        <v>2042</v>
      </c>
      <c r="E1872" s="11" t="s">
        <v>1979</v>
      </c>
      <c r="F1872" s="12">
        <v>0.89</v>
      </c>
    </row>
    <row r="1873" spans="3:6" hidden="1" x14ac:dyDescent="0.3">
      <c r="C1873" s="7" t="s">
        <v>1841</v>
      </c>
      <c r="D1873" s="8" t="s">
        <v>2038</v>
      </c>
      <c r="E1873" s="8" t="s">
        <v>2017</v>
      </c>
      <c r="F1873" s="9">
        <v>2.82</v>
      </c>
    </row>
    <row r="1874" spans="3:6" hidden="1" x14ac:dyDescent="0.3">
      <c r="C1874" s="10" t="s">
        <v>1842</v>
      </c>
      <c r="D1874" s="11" t="s">
        <v>2040</v>
      </c>
      <c r="E1874" s="11" t="s">
        <v>2022</v>
      </c>
      <c r="F1874" s="12">
        <v>0.76</v>
      </c>
    </row>
    <row r="1875" spans="3:6" hidden="1" x14ac:dyDescent="0.3">
      <c r="C1875" s="7" t="s">
        <v>1843</v>
      </c>
      <c r="D1875" s="8" t="s">
        <v>2034</v>
      </c>
      <c r="E1875" s="8" t="s">
        <v>1988</v>
      </c>
      <c r="F1875" s="9">
        <v>1.67</v>
      </c>
    </row>
    <row r="1876" spans="3:6" hidden="1" x14ac:dyDescent="0.3">
      <c r="C1876" s="10" t="s">
        <v>1844</v>
      </c>
      <c r="D1876" s="11" t="s">
        <v>2038</v>
      </c>
      <c r="E1876" s="11" t="s">
        <v>1979</v>
      </c>
      <c r="F1876" s="12">
        <v>0.36</v>
      </c>
    </row>
    <row r="1877" spans="3:6" hidden="1" x14ac:dyDescent="0.3">
      <c r="C1877" s="7" t="s">
        <v>1845</v>
      </c>
      <c r="D1877" s="8" t="s">
        <v>2043</v>
      </c>
      <c r="E1877" s="8" t="s">
        <v>1988</v>
      </c>
      <c r="F1877" s="9">
        <v>2.29</v>
      </c>
    </row>
    <row r="1878" spans="3:6" hidden="1" x14ac:dyDescent="0.3">
      <c r="C1878" s="10" t="s">
        <v>1846</v>
      </c>
      <c r="D1878" s="11" t="s">
        <v>2060</v>
      </c>
      <c r="E1878" s="11" t="s">
        <v>2023</v>
      </c>
      <c r="F1878" s="12">
        <v>4.5599999999999996</v>
      </c>
    </row>
    <row r="1879" spans="3:6" hidden="1" x14ac:dyDescent="0.3">
      <c r="C1879" s="7" t="s">
        <v>1847</v>
      </c>
      <c r="D1879" s="8" t="s">
        <v>2034</v>
      </c>
      <c r="E1879" s="8" t="s">
        <v>1979</v>
      </c>
      <c r="F1879" s="9">
        <v>0.72</v>
      </c>
    </row>
    <row r="1880" spans="3:6" hidden="1" x14ac:dyDescent="0.3">
      <c r="C1880" s="10" t="s">
        <v>1848</v>
      </c>
      <c r="D1880" s="11" t="s">
        <v>2036</v>
      </c>
      <c r="E1880" s="11" t="s">
        <v>2029</v>
      </c>
      <c r="F1880" s="12">
        <v>7.36</v>
      </c>
    </row>
    <row r="1881" spans="3:6" hidden="1" x14ac:dyDescent="0.3">
      <c r="C1881" s="7" t="s">
        <v>1849</v>
      </c>
      <c r="D1881" s="8" t="s">
        <v>2043</v>
      </c>
      <c r="E1881" s="8" t="s">
        <v>2003</v>
      </c>
      <c r="F1881" s="9">
        <v>0.74</v>
      </c>
    </row>
    <row r="1882" spans="3:6" hidden="1" x14ac:dyDescent="0.3">
      <c r="C1882" s="10" t="s">
        <v>1850</v>
      </c>
      <c r="D1882" s="11" t="s">
        <v>2034</v>
      </c>
      <c r="E1882" s="11" t="s">
        <v>2027</v>
      </c>
      <c r="F1882" s="12">
        <v>1.88</v>
      </c>
    </row>
    <row r="1883" spans="3:6" hidden="1" x14ac:dyDescent="0.3">
      <c r="C1883" s="7" t="s">
        <v>1851</v>
      </c>
      <c r="D1883" s="8" t="s">
        <v>2034</v>
      </c>
      <c r="E1883" s="8" t="s">
        <v>1998</v>
      </c>
      <c r="F1883" s="9">
        <v>3</v>
      </c>
    </row>
    <row r="1884" spans="3:6" hidden="1" x14ac:dyDescent="0.3">
      <c r="C1884" s="10" t="s">
        <v>1852</v>
      </c>
      <c r="D1884" s="11" t="s">
        <v>2037</v>
      </c>
      <c r="E1884" s="11" t="s">
        <v>1979</v>
      </c>
      <c r="F1884" s="12">
        <v>0.54</v>
      </c>
    </row>
    <row r="1885" spans="3:6" hidden="1" x14ac:dyDescent="0.3">
      <c r="C1885" s="7" t="s">
        <v>1853</v>
      </c>
      <c r="D1885" s="8" t="s">
        <v>2034</v>
      </c>
      <c r="E1885" s="8" t="s">
        <v>1979</v>
      </c>
      <c r="F1885" s="9">
        <v>0.9</v>
      </c>
    </row>
    <row r="1886" spans="3:6" hidden="1" x14ac:dyDescent="0.3">
      <c r="C1886" s="10" t="s">
        <v>1854</v>
      </c>
      <c r="D1886" s="11" t="s">
        <v>1977</v>
      </c>
      <c r="E1886" s="11" t="s">
        <v>1979</v>
      </c>
      <c r="F1886" s="12">
        <v>0.65</v>
      </c>
    </row>
    <row r="1887" spans="3:6" hidden="1" x14ac:dyDescent="0.3">
      <c r="C1887" s="7" t="s">
        <v>1855</v>
      </c>
      <c r="D1887" s="8" t="s">
        <v>2035</v>
      </c>
      <c r="E1887" s="8" t="s">
        <v>1987</v>
      </c>
      <c r="F1887" s="9">
        <v>5.53</v>
      </c>
    </row>
    <row r="1888" spans="3:6" hidden="1" x14ac:dyDescent="0.3">
      <c r="C1888" s="10" t="s">
        <v>1856</v>
      </c>
      <c r="D1888" s="11" t="s">
        <v>2038</v>
      </c>
      <c r="E1888" s="11" t="s">
        <v>1997</v>
      </c>
      <c r="F1888" s="12">
        <v>3.57</v>
      </c>
    </row>
    <row r="1889" spans="3:6" hidden="1" x14ac:dyDescent="0.3">
      <c r="C1889" s="7" t="s">
        <v>1857</v>
      </c>
      <c r="D1889" s="8" t="s">
        <v>2038</v>
      </c>
      <c r="E1889" s="8" t="s">
        <v>1979</v>
      </c>
      <c r="F1889" s="9">
        <v>0.33</v>
      </c>
    </row>
    <row r="1890" spans="3:6" hidden="1" x14ac:dyDescent="0.3">
      <c r="C1890" s="10" t="s">
        <v>1858</v>
      </c>
      <c r="D1890" s="11" t="s">
        <v>2034</v>
      </c>
      <c r="E1890" s="11" t="s">
        <v>2022</v>
      </c>
      <c r="F1890" s="12">
        <v>1.1200000000000001</v>
      </c>
    </row>
    <row r="1891" spans="3:6" hidden="1" x14ac:dyDescent="0.3">
      <c r="C1891" s="7" t="s">
        <v>1859</v>
      </c>
      <c r="D1891" s="8" t="s">
        <v>2034</v>
      </c>
      <c r="E1891" s="8" t="s">
        <v>1986</v>
      </c>
      <c r="F1891" s="9">
        <v>1.44</v>
      </c>
    </row>
    <row r="1892" spans="3:6" hidden="1" x14ac:dyDescent="0.3">
      <c r="C1892" s="10" t="s">
        <v>1860</v>
      </c>
      <c r="D1892" s="11" t="s">
        <v>2061</v>
      </c>
      <c r="E1892" s="11" t="s">
        <v>2015</v>
      </c>
      <c r="F1892" s="12">
        <v>0.94</v>
      </c>
    </row>
    <row r="1893" spans="3:6" hidden="1" x14ac:dyDescent="0.3">
      <c r="C1893" s="7" t="s">
        <v>1861</v>
      </c>
      <c r="D1893" s="8" t="s">
        <v>2067</v>
      </c>
      <c r="E1893" s="8" t="s">
        <v>1979</v>
      </c>
      <c r="F1893" s="9">
        <v>0.66</v>
      </c>
    </row>
    <row r="1894" spans="3:6" hidden="1" x14ac:dyDescent="0.3">
      <c r="C1894" s="10" t="s">
        <v>1862</v>
      </c>
      <c r="D1894" s="11" t="s">
        <v>2038</v>
      </c>
      <c r="E1894" s="11" t="s">
        <v>1979</v>
      </c>
      <c r="F1894" s="12">
        <v>0.37</v>
      </c>
    </row>
    <row r="1895" spans="3:6" hidden="1" x14ac:dyDescent="0.3">
      <c r="C1895" s="7" t="s">
        <v>1863</v>
      </c>
      <c r="D1895" s="8" t="s">
        <v>2038</v>
      </c>
      <c r="E1895" s="8" t="s">
        <v>1997</v>
      </c>
      <c r="F1895" s="9">
        <v>3.98</v>
      </c>
    </row>
    <row r="1896" spans="3:6" hidden="1" x14ac:dyDescent="0.3">
      <c r="C1896" s="10" t="s">
        <v>1864</v>
      </c>
      <c r="D1896" s="11" t="s">
        <v>2063</v>
      </c>
      <c r="E1896" s="11" t="s">
        <v>1997</v>
      </c>
      <c r="F1896" s="12">
        <v>2.88</v>
      </c>
    </row>
    <row r="1897" spans="3:6" hidden="1" x14ac:dyDescent="0.3">
      <c r="C1897" s="7" t="s">
        <v>1865</v>
      </c>
      <c r="D1897" s="8" t="s">
        <v>2041</v>
      </c>
      <c r="E1897" s="8" t="s">
        <v>1987</v>
      </c>
      <c r="F1897" s="9">
        <v>4.3499999999999996</v>
      </c>
    </row>
    <row r="1898" spans="3:6" hidden="1" x14ac:dyDescent="0.3">
      <c r="C1898" s="10" t="s">
        <v>1866</v>
      </c>
      <c r="D1898" s="11" t="s">
        <v>2063</v>
      </c>
      <c r="E1898" s="11" t="s">
        <v>1998</v>
      </c>
      <c r="F1898" s="12">
        <v>0.74</v>
      </c>
    </row>
    <row r="1899" spans="3:6" hidden="1" x14ac:dyDescent="0.3">
      <c r="C1899" s="7" t="s">
        <v>1867</v>
      </c>
      <c r="D1899" s="8" t="s">
        <v>2034</v>
      </c>
      <c r="E1899" s="8" t="s">
        <v>1979</v>
      </c>
      <c r="F1899" s="9">
        <v>0.93</v>
      </c>
    </row>
    <row r="1900" spans="3:6" hidden="1" x14ac:dyDescent="0.3">
      <c r="C1900" s="10" t="s">
        <v>1868</v>
      </c>
      <c r="D1900" s="11" t="s">
        <v>2090</v>
      </c>
      <c r="E1900" s="11" t="s">
        <v>1998</v>
      </c>
      <c r="F1900" s="12">
        <v>1.01</v>
      </c>
    </row>
    <row r="1901" spans="3:6" hidden="1" x14ac:dyDescent="0.3">
      <c r="C1901" s="7" t="s">
        <v>1869</v>
      </c>
      <c r="D1901" s="8" t="s">
        <v>2079</v>
      </c>
      <c r="E1901" s="8" t="s">
        <v>1979</v>
      </c>
      <c r="F1901" s="9">
        <v>0.83</v>
      </c>
    </row>
    <row r="1902" spans="3:6" hidden="1" x14ac:dyDescent="0.3">
      <c r="C1902" s="10" t="s">
        <v>1870</v>
      </c>
      <c r="D1902" s="11" t="s">
        <v>2034</v>
      </c>
      <c r="E1902" s="11" t="s">
        <v>1998</v>
      </c>
      <c r="F1902" s="12">
        <v>0.97</v>
      </c>
    </row>
    <row r="1903" spans="3:6" hidden="1" x14ac:dyDescent="0.3">
      <c r="C1903" s="7" t="s">
        <v>1871</v>
      </c>
      <c r="D1903" s="8" t="s">
        <v>2038</v>
      </c>
      <c r="E1903" s="8" t="s">
        <v>2001</v>
      </c>
      <c r="F1903" s="9">
        <v>6.97</v>
      </c>
    </row>
    <row r="1904" spans="3:6" hidden="1" x14ac:dyDescent="0.3">
      <c r="C1904" s="10" t="s">
        <v>1872</v>
      </c>
      <c r="D1904" s="11" t="s">
        <v>2053</v>
      </c>
      <c r="E1904" s="11" t="s">
        <v>2017</v>
      </c>
      <c r="F1904" s="12">
        <v>3.38</v>
      </c>
    </row>
    <row r="1905" spans="3:6" hidden="1" x14ac:dyDescent="0.3">
      <c r="C1905" s="7" t="s">
        <v>1873</v>
      </c>
      <c r="D1905" s="8" t="s">
        <v>2091</v>
      </c>
      <c r="E1905" s="8" t="s">
        <v>2030</v>
      </c>
      <c r="F1905" s="9">
        <v>1.07</v>
      </c>
    </row>
    <row r="1906" spans="3:6" hidden="1" x14ac:dyDescent="0.3">
      <c r="C1906" s="10" t="s">
        <v>1874</v>
      </c>
      <c r="D1906" s="11" t="s">
        <v>2038</v>
      </c>
      <c r="E1906" s="11" t="s">
        <v>2015</v>
      </c>
      <c r="F1906" s="12">
        <v>2.17</v>
      </c>
    </row>
    <row r="1907" spans="3:6" hidden="1" x14ac:dyDescent="0.3">
      <c r="C1907" s="7" t="s">
        <v>1875</v>
      </c>
      <c r="D1907" s="8" t="s">
        <v>2034</v>
      </c>
      <c r="E1907" s="8" t="s">
        <v>1979</v>
      </c>
      <c r="F1907" s="9">
        <v>0.82</v>
      </c>
    </row>
    <row r="1908" spans="3:6" hidden="1" x14ac:dyDescent="0.3">
      <c r="C1908" s="10" t="s">
        <v>1876</v>
      </c>
      <c r="D1908" s="11" t="s">
        <v>2034</v>
      </c>
      <c r="E1908" s="11" t="s">
        <v>2028</v>
      </c>
      <c r="F1908" s="12">
        <v>0.83</v>
      </c>
    </row>
    <row r="1909" spans="3:6" hidden="1" x14ac:dyDescent="0.3">
      <c r="C1909" s="7" t="s">
        <v>1877</v>
      </c>
      <c r="D1909" s="8" t="s">
        <v>2034</v>
      </c>
      <c r="E1909" s="8" t="s">
        <v>1998</v>
      </c>
      <c r="F1909" s="9">
        <v>0.68</v>
      </c>
    </row>
    <row r="1910" spans="3:6" hidden="1" x14ac:dyDescent="0.3">
      <c r="C1910" s="10" t="s">
        <v>1878</v>
      </c>
      <c r="D1910" s="11" t="s">
        <v>2074</v>
      </c>
      <c r="E1910" s="11" t="s">
        <v>2022</v>
      </c>
      <c r="F1910" s="12">
        <v>0.61</v>
      </c>
    </row>
    <row r="1911" spans="3:6" hidden="1" x14ac:dyDescent="0.3">
      <c r="C1911" s="7" t="s">
        <v>1879</v>
      </c>
      <c r="D1911" s="8" t="s">
        <v>2054</v>
      </c>
      <c r="E1911" s="8" t="s">
        <v>1979</v>
      </c>
      <c r="F1911" s="9">
        <v>0.74</v>
      </c>
    </row>
    <row r="1912" spans="3:6" hidden="1" x14ac:dyDescent="0.3">
      <c r="C1912" s="10" t="s">
        <v>1880</v>
      </c>
      <c r="D1912" s="11" t="s">
        <v>2034</v>
      </c>
      <c r="E1912" s="11" t="s">
        <v>1998</v>
      </c>
      <c r="F1912" s="12">
        <v>1.1100000000000001</v>
      </c>
    </row>
    <row r="1913" spans="3:6" hidden="1" x14ac:dyDescent="0.3">
      <c r="C1913" s="7" t="s">
        <v>1881</v>
      </c>
      <c r="D1913" s="8" t="s">
        <v>2034</v>
      </c>
      <c r="E1913" s="8" t="s">
        <v>1998</v>
      </c>
      <c r="F1913" s="9">
        <v>0.69</v>
      </c>
    </row>
    <row r="1914" spans="3:6" hidden="1" x14ac:dyDescent="0.3">
      <c r="C1914" s="10" t="s">
        <v>1882</v>
      </c>
      <c r="D1914" s="11" t="s">
        <v>2034</v>
      </c>
      <c r="E1914" s="11" t="s">
        <v>2001</v>
      </c>
      <c r="F1914" s="12">
        <v>2.59</v>
      </c>
    </row>
    <row r="1915" spans="3:6" hidden="1" x14ac:dyDescent="0.3">
      <c r="C1915" s="7" t="s">
        <v>1883</v>
      </c>
      <c r="D1915" s="8" t="s">
        <v>2034</v>
      </c>
      <c r="E1915" s="8" t="s">
        <v>2002</v>
      </c>
      <c r="F1915" s="9">
        <v>2.5499999999999998</v>
      </c>
    </row>
    <row r="1916" spans="3:6" hidden="1" x14ac:dyDescent="0.3">
      <c r="C1916" s="10" t="s">
        <v>1884</v>
      </c>
      <c r="D1916" s="11" t="s">
        <v>2038</v>
      </c>
      <c r="E1916" s="11" t="s">
        <v>2001</v>
      </c>
      <c r="F1916" s="12">
        <v>6.76</v>
      </c>
    </row>
    <row r="1917" spans="3:6" hidden="1" x14ac:dyDescent="0.3">
      <c r="C1917" s="7" t="s">
        <v>1885</v>
      </c>
      <c r="D1917" s="8" t="s">
        <v>2038</v>
      </c>
      <c r="E1917" s="8" t="s">
        <v>1993</v>
      </c>
      <c r="F1917" s="9">
        <v>4.58</v>
      </c>
    </row>
    <row r="1918" spans="3:6" hidden="1" x14ac:dyDescent="0.3">
      <c r="C1918" s="10" t="s">
        <v>1886</v>
      </c>
      <c r="D1918" s="11" t="s">
        <v>2065</v>
      </c>
      <c r="E1918" s="11" t="s">
        <v>1979</v>
      </c>
      <c r="F1918" s="12">
        <v>0.47</v>
      </c>
    </row>
    <row r="1919" spans="3:6" hidden="1" x14ac:dyDescent="0.3">
      <c r="C1919" s="7" t="s">
        <v>1887</v>
      </c>
      <c r="D1919" s="8" t="s">
        <v>2034</v>
      </c>
      <c r="E1919" s="8" t="s">
        <v>1999</v>
      </c>
      <c r="F1919" s="9">
        <v>1.24</v>
      </c>
    </row>
    <row r="1920" spans="3:6" hidden="1" x14ac:dyDescent="0.3">
      <c r="C1920" s="10" t="s">
        <v>1888</v>
      </c>
      <c r="D1920" s="11" t="s">
        <v>2034</v>
      </c>
      <c r="E1920" s="11" t="s">
        <v>2023</v>
      </c>
      <c r="F1920" s="12">
        <v>6.25</v>
      </c>
    </row>
    <row r="1921" spans="3:6" hidden="1" x14ac:dyDescent="0.3">
      <c r="C1921" s="7" t="s">
        <v>1889</v>
      </c>
      <c r="D1921" s="8" t="s">
        <v>2038</v>
      </c>
      <c r="E1921" s="8" t="s">
        <v>1993</v>
      </c>
      <c r="F1921" s="9">
        <v>6.75</v>
      </c>
    </row>
    <row r="1922" spans="3:6" hidden="1" x14ac:dyDescent="0.3">
      <c r="C1922" s="10" t="s">
        <v>1890</v>
      </c>
      <c r="D1922" s="11" t="s">
        <v>2034</v>
      </c>
      <c r="E1922" s="11" t="s">
        <v>1979</v>
      </c>
      <c r="F1922" s="12">
        <v>0.83</v>
      </c>
    </row>
    <row r="1923" spans="3:6" hidden="1" x14ac:dyDescent="0.3">
      <c r="C1923" s="7" t="s">
        <v>1891</v>
      </c>
      <c r="D1923" s="8" t="s">
        <v>2038</v>
      </c>
      <c r="E1923" s="8" t="s">
        <v>1979</v>
      </c>
      <c r="F1923" s="9">
        <v>0.41</v>
      </c>
    </row>
    <row r="1924" spans="3:6" hidden="1" x14ac:dyDescent="0.3">
      <c r="C1924" s="10" t="s">
        <v>1892</v>
      </c>
      <c r="D1924" s="11" t="s">
        <v>2034</v>
      </c>
      <c r="E1924" s="11" t="s">
        <v>2023</v>
      </c>
      <c r="F1924" s="12">
        <v>1.52</v>
      </c>
    </row>
    <row r="1925" spans="3:6" hidden="1" x14ac:dyDescent="0.3">
      <c r="C1925" s="7" t="s">
        <v>1893</v>
      </c>
      <c r="D1925" s="8" t="s">
        <v>2035</v>
      </c>
      <c r="E1925" s="8" t="s">
        <v>1986</v>
      </c>
      <c r="F1925" s="9">
        <v>2.4700000000000002</v>
      </c>
    </row>
    <row r="1926" spans="3:6" hidden="1" x14ac:dyDescent="0.3">
      <c r="C1926" s="10" t="s">
        <v>1894</v>
      </c>
      <c r="D1926" s="11" t="s">
        <v>2039</v>
      </c>
      <c r="E1926" s="11" t="s">
        <v>1998</v>
      </c>
      <c r="F1926" s="12">
        <v>0.63</v>
      </c>
    </row>
    <row r="1927" spans="3:6" hidden="1" x14ac:dyDescent="0.3">
      <c r="C1927" s="7" t="s">
        <v>1895</v>
      </c>
      <c r="D1927" s="8" t="s">
        <v>2038</v>
      </c>
      <c r="E1927" s="8" t="s">
        <v>1993</v>
      </c>
      <c r="F1927" s="9">
        <v>5</v>
      </c>
    </row>
    <row r="1928" spans="3:6" hidden="1" x14ac:dyDescent="0.3">
      <c r="C1928" s="10" t="s">
        <v>1896</v>
      </c>
      <c r="D1928" s="11" t="s">
        <v>2034</v>
      </c>
      <c r="E1928" s="11" t="s">
        <v>2023</v>
      </c>
      <c r="F1928" s="12">
        <v>2.2200000000000002</v>
      </c>
    </row>
    <row r="1929" spans="3:6" hidden="1" x14ac:dyDescent="0.3">
      <c r="C1929" s="7" t="s">
        <v>1897</v>
      </c>
      <c r="D1929" s="8" t="s">
        <v>2047</v>
      </c>
      <c r="E1929" s="8" t="s">
        <v>1979</v>
      </c>
      <c r="F1929" s="9">
        <v>0.79</v>
      </c>
    </row>
    <row r="1930" spans="3:6" hidden="1" x14ac:dyDescent="0.3">
      <c r="C1930" s="10" t="s">
        <v>1898</v>
      </c>
      <c r="D1930" s="11" t="s">
        <v>2034</v>
      </c>
      <c r="E1930" s="11" t="s">
        <v>1998</v>
      </c>
      <c r="F1930" s="12">
        <v>0.77</v>
      </c>
    </row>
    <row r="1931" spans="3:6" hidden="1" x14ac:dyDescent="0.3">
      <c r="C1931" s="7" t="s">
        <v>1899</v>
      </c>
      <c r="D1931" s="8" t="s">
        <v>2034</v>
      </c>
      <c r="E1931" s="8" t="s">
        <v>2030</v>
      </c>
      <c r="F1931" s="9">
        <v>3.13</v>
      </c>
    </row>
    <row r="1932" spans="3:6" hidden="1" x14ac:dyDescent="0.3">
      <c r="C1932" s="10" t="s">
        <v>1900</v>
      </c>
      <c r="D1932" s="11" t="s">
        <v>2057</v>
      </c>
      <c r="E1932" s="11" t="s">
        <v>1993</v>
      </c>
      <c r="F1932" s="12">
        <v>6.22</v>
      </c>
    </row>
    <row r="1933" spans="3:6" hidden="1" x14ac:dyDescent="0.3">
      <c r="C1933" s="7" t="s">
        <v>1901</v>
      </c>
      <c r="D1933" s="8" t="s">
        <v>2034</v>
      </c>
      <c r="E1933" s="8" t="s">
        <v>2002</v>
      </c>
      <c r="F1933" s="9">
        <v>1.83</v>
      </c>
    </row>
    <row r="1934" spans="3:6" hidden="1" x14ac:dyDescent="0.3">
      <c r="C1934" s="10" t="s">
        <v>1902</v>
      </c>
      <c r="D1934" s="11" t="s">
        <v>2038</v>
      </c>
      <c r="E1934" s="11" t="s">
        <v>1986</v>
      </c>
      <c r="F1934" s="12">
        <v>3.61</v>
      </c>
    </row>
    <row r="1935" spans="3:6" hidden="1" x14ac:dyDescent="0.3">
      <c r="C1935" s="7" t="s">
        <v>1903</v>
      </c>
      <c r="D1935" s="8" t="s">
        <v>2069</v>
      </c>
      <c r="E1935" s="8" t="s">
        <v>1993</v>
      </c>
      <c r="F1935" s="9">
        <v>1.85</v>
      </c>
    </row>
    <row r="1936" spans="3:6" hidden="1" x14ac:dyDescent="0.3">
      <c r="C1936" s="10" t="s">
        <v>1904</v>
      </c>
      <c r="D1936" s="11" t="s">
        <v>2035</v>
      </c>
      <c r="E1936" s="11" t="s">
        <v>2030</v>
      </c>
      <c r="F1936" s="12">
        <v>5.09</v>
      </c>
    </row>
    <row r="1937" spans="3:6" hidden="1" x14ac:dyDescent="0.3">
      <c r="C1937" s="7" t="s">
        <v>1905</v>
      </c>
      <c r="D1937" s="8" t="s">
        <v>2034</v>
      </c>
      <c r="E1937" s="8" t="s">
        <v>2004</v>
      </c>
      <c r="F1937" s="9">
        <v>3.09</v>
      </c>
    </row>
    <row r="1938" spans="3:6" hidden="1" x14ac:dyDescent="0.3">
      <c r="C1938" s="10" t="s">
        <v>1906</v>
      </c>
      <c r="D1938" s="11" t="s">
        <v>2038</v>
      </c>
      <c r="E1938" s="11" t="s">
        <v>1998</v>
      </c>
      <c r="F1938" s="12">
        <v>0.87</v>
      </c>
    </row>
    <row r="1939" spans="3:6" hidden="1" x14ac:dyDescent="0.3">
      <c r="C1939" s="7" t="s">
        <v>1907</v>
      </c>
      <c r="D1939" s="8" t="s">
        <v>2060</v>
      </c>
      <c r="E1939" s="8" t="s">
        <v>2004</v>
      </c>
      <c r="F1939" s="9">
        <v>2.0699999999999998</v>
      </c>
    </row>
    <row r="1940" spans="3:6" hidden="1" x14ac:dyDescent="0.3">
      <c r="C1940" s="10" t="s">
        <v>1908</v>
      </c>
      <c r="D1940" s="11" t="s">
        <v>2038</v>
      </c>
      <c r="E1940" s="11" t="s">
        <v>1997</v>
      </c>
      <c r="F1940" s="12">
        <v>6.48</v>
      </c>
    </row>
    <row r="1941" spans="3:6" hidden="1" x14ac:dyDescent="0.3">
      <c r="C1941" s="7" t="s">
        <v>1909</v>
      </c>
      <c r="D1941" s="8" t="s">
        <v>2034</v>
      </c>
      <c r="E1941" s="8" t="s">
        <v>1988</v>
      </c>
      <c r="F1941" s="9">
        <v>4.04</v>
      </c>
    </row>
    <row r="1942" spans="3:6" hidden="1" x14ac:dyDescent="0.3">
      <c r="C1942" s="10" t="s">
        <v>1910</v>
      </c>
      <c r="D1942" s="11" t="s">
        <v>2047</v>
      </c>
      <c r="E1942" s="11" t="s">
        <v>2015</v>
      </c>
      <c r="F1942" s="12">
        <v>0.21</v>
      </c>
    </row>
    <row r="1943" spans="3:6" hidden="1" x14ac:dyDescent="0.3">
      <c r="C1943" s="7" t="s">
        <v>1911</v>
      </c>
      <c r="D1943" s="8" t="s">
        <v>2037</v>
      </c>
      <c r="E1943" s="8" t="s">
        <v>2002</v>
      </c>
      <c r="F1943" s="9">
        <v>0.56999999999999995</v>
      </c>
    </row>
    <row r="1944" spans="3:6" hidden="1" x14ac:dyDescent="0.3">
      <c r="C1944" s="10" t="s">
        <v>1912</v>
      </c>
      <c r="D1944" s="11" t="s">
        <v>2039</v>
      </c>
      <c r="E1944" s="11" t="s">
        <v>1987</v>
      </c>
      <c r="F1944" s="12">
        <v>6.44</v>
      </c>
    </row>
    <row r="1945" spans="3:6" hidden="1" x14ac:dyDescent="0.3">
      <c r="C1945" s="7" t="s">
        <v>1913</v>
      </c>
      <c r="D1945" s="8" t="s">
        <v>2074</v>
      </c>
      <c r="E1945" s="8" t="s">
        <v>2001</v>
      </c>
      <c r="F1945" s="9">
        <v>1.6</v>
      </c>
    </row>
    <row r="1946" spans="3:6" hidden="1" x14ac:dyDescent="0.3">
      <c r="C1946" s="10" t="s">
        <v>1914</v>
      </c>
      <c r="D1946" s="11" t="s">
        <v>2038</v>
      </c>
      <c r="E1946" s="11" t="s">
        <v>2001</v>
      </c>
      <c r="F1946" s="12">
        <v>6.25</v>
      </c>
    </row>
    <row r="1947" spans="3:6" hidden="1" x14ac:dyDescent="0.3">
      <c r="C1947" s="7" t="s">
        <v>1915</v>
      </c>
      <c r="D1947" s="8" t="s">
        <v>2060</v>
      </c>
      <c r="E1947" s="8" t="s">
        <v>2023</v>
      </c>
      <c r="F1947" s="9">
        <v>3.02</v>
      </c>
    </row>
    <row r="1948" spans="3:6" hidden="1" x14ac:dyDescent="0.3">
      <c r="C1948" s="10" t="s">
        <v>1916</v>
      </c>
      <c r="D1948" s="11" t="s">
        <v>2038</v>
      </c>
      <c r="E1948" s="11" t="s">
        <v>2015</v>
      </c>
      <c r="F1948" s="12">
        <v>5.23</v>
      </c>
    </row>
    <row r="1949" spans="3:6" hidden="1" x14ac:dyDescent="0.3">
      <c r="C1949" s="7" t="s">
        <v>1917</v>
      </c>
      <c r="D1949" s="8" t="s">
        <v>2034</v>
      </c>
      <c r="E1949" s="8" t="s">
        <v>2001</v>
      </c>
      <c r="F1949" s="9">
        <v>3.73</v>
      </c>
    </row>
    <row r="1950" spans="3:6" hidden="1" x14ac:dyDescent="0.3">
      <c r="C1950" s="10" t="s">
        <v>1918</v>
      </c>
      <c r="D1950" s="11" t="s">
        <v>2061</v>
      </c>
      <c r="E1950" s="11" t="s">
        <v>1997</v>
      </c>
      <c r="F1950" s="12">
        <v>1.32</v>
      </c>
    </row>
    <row r="1951" spans="3:6" hidden="1" x14ac:dyDescent="0.3">
      <c r="C1951" s="7" t="s">
        <v>1919</v>
      </c>
      <c r="D1951" s="8" t="s">
        <v>2035</v>
      </c>
      <c r="E1951" s="8" t="s">
        <v>2023</v>
      </c>
      <c r="F1951" s="9">
        <v>3.04</v>
      </c>
    </row>
    <row r="1952" spans="3:6" hidden="1" x14ac:dyDescent="0.3">
      <c r="C1952" s="10" t="s">
        <v>1920</v>
      </c>
      <c r="D1952" s="11" t="s">
        <v>2038</v>
      </c>
      <c r="E1952" s="11" t="s">
        <v>1979</v>
      </c>
      <c r="F1952" s="12">
        <v>0.49</v>
      </c>
    </row>
    <row r="1953" spans="3:6" hidden="1" x14ac:dyDescent="0.3">
      <c r="C1953" s="7" t="s">
        <v>1921</v>
      </c>
      <c r="D1953" s="8" t="s">
        <v>2052</v>
      </c>
      <c r="E1953" s="8" t="s">
        <v>1979</v>
      </c>
      <c r="F1953" s="9">
        <v>0.46</v>
      </c>
    </row>
    <row r="1954" spans="3:6" hidden="1" x14ac:dyDescent="0.3">
      <c r="C1954" s="10" t="s">
        <v>1922</v>
      </c>
      <c r="D1954" s="11" t="s">
        <v>2034</v>
      </c>
      <c r="E1954" s="11" t="s">
        <v>2005</v>
      </c>
      <c r="F1954" s="12">
        <v>0.56999999999999995</v>
      </c>
    </row>
    <row r="1955" spans="3:6" hidden="1" x14ac:dyDescent="0.3">
      <c r="C1955" s="7" t="s">
        <v>1923</v>
      </c>
      <c r="D1955" s="8" t="s">
        <v>2034</v>
      </c>
      <c r="E1955" s="8" t="s">
        <v>1987</v>
      </c>
      <c r="F1955" s="9">
        <v>3.11</v>
      </c>
    </row>
    <row r="1956" spans="3:6" hidden="1" x14ac:dyDescent="0.3">
      <c r="C1956" s="10" t="s">
        <v>1924</v>
      </c>
      <c r="D1956" s="11" t="s">
        <v>2035</v>
      </c>
      <c r="E1956" s="11" t="s">
        <v>1998</v>
      </c>
      <c r="F1956" s="12">
        <v>0.4</v>
      </c>
    </row>
    <row r="1957" spans="3:6" hidden="1" x14ac:dyDescent="0.3">
      <c r="C1957" s="7" t="s">
        <v>1925</v>
      </c>
      <c r="D1957" s="8" t="s">
        <v>1977</v>
      </c>
      <c r="E1957" s="8" t="s">
        <v>2031</v>
      </c>
      <c r="F1957" s="9">
        <v>1.93</v>
      </c>
    </row>
    <row r="1958" spans="3:6" hidden="1" x14ac:dyDescent="0.3">
      <c r="C1958" s="10" t="s">
        <v>1926</v>
      </c>
      <c r="D1958" s="11" t="s">
        <v>2034</v>
      </c>
      <c r="E1958" s="11" t="s">
        <v>1998</v>
      </c>
      <c r="F1958" s="12">
        <v>2.21</v>
      </c>
    </row>
    <row r="1959" spans="3:6" hidden="1" x14ac:dyDescent="0.3">
      <c r="C1959" s="7" t="s">
        <v>2021</v>
      </c>
      <c r="D1959" s="8" t="s">
        <v>2053</v>
      </c>
      <c r="E1959" s="8" t="s">
        <v>2017</v>
      </c>
      <c r="F1959" s="9">
        <v>0.34</v>
      </c>
    </row>
    <row r="1960" spans="3:6" hidden="1" x14ac:dyDescent="0.3">
      <c r="C1960" s="10" t="s">
        <v>1927</v>
      </c>
      <c r="D1960" s="11" t="s">
        <v>2039</v>
      </c>
      <c r="E1960" s="11" t="s">
        <v>1998</v>
      </c>
      <c r="F1960" s="12">
        <v>0.02</v>
      </c>
    </row>
    <row r="1961" spans="3:6" hidden="1" x14ac:dyDescent="0.3">
      <c r="C1961" s="7" t="s">
        <v>1928</v>
      </c>
      <c r="D1961" s="8" t="s">
        <v>2034</v>
      </c>
      <c r="E1961" s="8" t="s">
        <v>1987</v>
      </c>
      <c r="F1961" s="9">
        <v>2.95</v>
      </c>
    </row>
    <row r="1962" spans="3:6" hidden="1" x14ac:dyDescent="0.3">
      <c r="C1962" s="10" t="s">
        <v>1929</v>
      </c>
      <c r="D1962" s="11" t="s">
        <v>2034</v>
      </c>
      <c r="E1962" s="11" t="s">
        <v>2002</v>
      </c>
      <c r="F1962" s="12">
        <v>3.74</v>
      </c>
    </row>
    <row r="1963" spans="3:6" hidden="1" x14ac:dyDescent="0.3">
      <c r="C1963" s="7" t="s">
        <v>1930</v>
      </c>
      <c r="D1963" s="8" t="s">
        <v>2038</v>
      </c>
      <c r="E1963" s="8" t="s">
        <v>1993</v>
      </c>
      <c r="F1963" s="9">
        <v>4.33</v>
      </c>
    </row>
    <row r="1964" spans="3:6" hidden="1" x14ac:dyDescent="0.3">
      <c r="C1964" s="10" t="s">
        <v>1931</v>
      </c>
      <c r="D1964" s="11" t="s">
        <v>2042</v>
      </c>
      <c r="E1964" s="11" t="s">
        <v>2003</v>
      </c>
      <c r="F1964" s="12">
        <v>4.4000000000000004</v>
      </c>
    </row>
    <row r="1965" spans="3:6" hidden="1" x14ac:dyDescent="0.3">
      <c r="C1965" s="7" t="s">
        <v>1932</v>
      </c>
      <c r="D1965" s="8" t="s">
        <v>2052</v>
      </c>
      <c r="E1965" s="8" t="s">
        <v>1979</v>
      </c>
      <c r="F1965" s="9">
        <v>0.35</v>
      </c>
    </row>
    <row r="1966" spans="3:6" hidden="1" x14ac:dyDescent="0.3">
      <c r="C1966" s="10" t="s">
        <v>1933</v>
      </c>
      <c r="D1966" s="11" t="s">
        <v>2034</v>
      </c>
      <c r="E1966" s="11" t="s">
        <v>1998</v>
      </c>
      <c r="F1966" s="12">
        <v>0.26</v>
      </c>
    </row>
    <row r="1967" spans="3:6" hidden="1" x14ac:dyDescent="0.3">
      <c r="C1967" s="7" t="s">
        <v>1934</v>
      </c>
      <c r="D1967" s="8" t="s">
        <v>2038</v>
      </c>
      <c r="E1967" s="8" t="s">
        <v>1998</v>
      </c>
      <c r="F1967" s="9">
        <v>1.4</v>
      </c>
    </row>
    <row r="1968" spans="3:6" hidden="1" x14ac:dyDescent="0.3">
      <c r="C1968" s="10" t="s">
        <v>1935</v>
      </c>
      <c r="D1968" s="11" t="s">
        <v>2037</v>
      </c>
      <c r="E1968" s="11" t="s">
        <v>1979</v>
      </c>
      <c r="F1968" s="12">
        <v>0.47</v>
      </c>
    </row>
    <row r="1969" spans="3:6" hidden="1" x14ac:dyDescent="0.3">
      <c r="C1969" s="7" t="s">
        <v>1936</v>
      </c>
      <c r="D1969" s="8" t="s">
        <v>2034</v>
      </c>
      <c r="E1969" s="8" t="s">
        <v>2023</v>
      </c>
      <c r="F1969" s="9">
        <v>6.05</v>
      </c>
    </row>
    <row r="1970" spans="3:6" hidden="1" x14ac:dyDescent="0.3">
      <c r="C1970" s="10" t="s">
        <v>1937</v>
      </c>
      <c r="D1970" s="11" t="s">
        <v>2038</v>
      </c>
      <c r="E1970" s="11" t="s">
        <v>1987</v>
      </c>
      <c r="F1970" s="12">
        <v>3.62</v>
      </c>
    </row>
    <row r="1971" spans="3:6" hidden="1" x14ac:dyDescent="0.3">
      <c r="C1971" s="7" t="s">
        <v>1938</v>
      </c>
      <c r="D1971" s="8" t="s">
        <v>2034</v>
      </c>
      <c r="E1971" s="8" t="s">
        <v>2022</v>
      </c>
      <c r="F1971" s="9">
        <v>1.35</v>
      </c>
    </row>
    <row r="1972" spans="3:6" hidden="1" x14ac:dyDescent="0.3">
      <c r="C1972" s="10" t="s">
        <v>1939</v>
      </c>
      <c r="D1972" s="11" t="s">
        <v>2038</v>
      </c>
      <c r="E1972" s="11" t="s">
        <v>1979</v>
      </c>
      <c r="F1972" s="12">
        <v>0.24</v>
      </c>
    </row>
    <row r="1973" spans="3:6" hidden="1" x14ac:dyDescent="0.3">
      <c r="C1973" s="7" t="s">
        <v>1940</v>
      </c>
      <c r="D1973" s="8" t="s">
        <v>2037</v>
      </c>
      <c r="E1973" s="8" t="s">
        <v>2031</v>
      </c>
      <c r="F1973" s="9">
        <v>2.52</v>
      </c>
    </row>
    <row r="1974" spans="3:6" hidden="1" x14ac:dyDescent="0.3">
      <c r="C1974" s="10" t="s">
        <v>1941</v>
      </c>
      <c r="D1974" s="11" t="s">
        <v>2050</v>
      </c>
      <c r="E1974" s="11" t="s">
        <v>2029</v>
      </c>
      <c r="F1974" s="12">
        <v>4.53</v>
      </c>
    </row>
    <row r="1975" spans="3:6" hidden="1" x14ac:dyDescent="0.3">
      <c r="C1975" s="7" t="s">
        <v>1942</v>
      </c>
      <c r="D1975" s="8" t="s">
        <v>2042</v>
      </c>
      <c r="E1975" s="8" t="s">
        <v>1986</v>
      </c>
      <c r="F1975" s="9">
        <v>1.91</v>
      </c>
    </row>
    <row r="1976" spans="3:6" hidden="1" x14ac:dyDescent="0.3">
      <c r="C1976" s="10" t="s">
        <v>1943</v>
      </c>
      <c r="D1976" s="11" t="s">
        <v>2034</v>
      </c>
      <c r="E1976" s="11" t="s">
        <v>2027</v>
      </c>
      <c r="F1976" s="12">
        <v>2.61</v>
      </c>
    </row>
    <row r="1977" spans="3:6" hidden="1" x14ac:dyDescent="0.3">
      <c r="C1977" s="7" t="s">
        <v>1944</v>
      </c>
      <c r="D1977" s="8" t="s">
        <v>2052</v>
      </c>
      <c r="E1977" s="8" t="s">
        <v>2030</v>
      </c>
      <c r="F1977" s="9">
        <v>0.28000000000000003</v>
      </c>
    </row>
    <row r="1978" spans="3:6" hidden="1" x14ac:dyDescent="0.3">
      <c r="C1978" s="10" t="s">
        <v>1945</v>
      </c>
      <c r="D1978" s="11" t="s">
        <v>2038</v>
      </c>
      <c r="E1978" s="11" t="s">
        <v>1979</v>
      </c>
      <c r="F1978" s="12">
        <v>0.28000000000000003</v>
      </c>
    </row>
    <row r="1979" spans="3:6" hidden="1" x14ac:dyDescent="0.3">
      <c r="C1979" s="7" t="s">
        <v>1946</v>
      </c>
      <c r="D1979" s="8" t="s">
        <v>2041</v>
      </c>
      <c r="E1979" s="8" t="s">
        <v>1979</v>
      </c>
      <c r="F1979" s="9">
        <v>0.64</v>
      </c>
    </row>
    <row r="1980" spans="3:6" hidden="1" x14ac:dyDescent="0.3">
      <c r="C1980" s="10" t="s">
        <v>1947</v>
      </c>
      <c r="D1980" s="11" t="s">
        <v>2061</v>
      </c>
      <c r="E1980" s="11" t="s">
        <v>1979</v>
      </c>
      <c r="F1980" s="12">
        <v>0.93</v>
      </c>
    </row>
    <row r="1981" spans="3:6" hidden="1" x14ac:dyDescent="0.3">
      <c r="C1981" s="7" t="s">
        <v>1948</v>
      </c>
      <c r="D1981" s="8" t="s">
        <v>2034</v>
      </c>
      <c r="E1981" s="8" t="s">
        <v>2023</v>
      </c>
      <c r="F1981" s="9">
        <v>5.98</v>
      </c>
    </row>
    <row r="1982" spans="3:6" hidden="1" x14ac:dyDescent="0.3">
      <c r="C1982" s="10" t="s">
        <v>1949</v>
      </c>
      <c r="D1982" s="11" t="s">
        <v>2061</v>
      </c>
      <c r="E1982" s="11" t="s">
        <v>1979</v>
      </c>
      <c r="F1982" s="12">
        <v>1.05</v>
      </c>
    </row>
    <row r="1983" spans="3:6" hidden="1" x14ac:dyDescent="0.3">
      <c r="C1983" s="7" t="s">
        <v>1950</v>
      </c>
      <c r="D1983" s="8" t="s">
        <v>2034</v>
      </c>
      <c r="E1983" s="8" t="s">
        <v>2005</v>
      </c>
      <c r="F1983" s="9">
        <v>2.93</v>
      </c>
    </row>
    <row r="1984" spans="3:6" hidden="1" x14ac:dyDescent="0.3">
      <c r="C1984" s="10" t="s">
        <v>1951</v>
      </c>
      <c r="D1984" s="11" t="s">
        <v>2034</v>
      </c>
      <c r="E1984" s="11" t="s">
        <v>2002</v>
      </c>
      <c r="F1984" s="12">
        <v>1.1599999999999999</v>
      </c>
    </row>
    <row r="1985" spans="3:6" hidden="1" x14ac:dyDescent="0.3">
      <c r="C1985" s="7" t="s">
        <v>2014</v>
      </c>
      <c r="D1985" s="8" t="s">
        <v>2034</v>
      </c>
      <c r="E1985" s="8" t="s">
        <v>2005</v>
      </c>
      <c r="F1985" s="9">
        <v>2.62</v>
      </c>
    </row>
    <row r="1986" spans="3:6" hidden="1" x14ac:dyDescent="0.3">
      <c r="C1986" s="10" t="s">
        <v>1952</v>
      </c>
      <c r="D1986" s="11" t="s">
        <v>2054</v>
      </c>
      <c r="E1986" s="11" t="s">
        <v>2030</v>
      </c>
      <c r="F1986" s="12">
        <v>0.47</v>
      </c>
    </row>
    <row r="1987" spans="3:6" hidden="1" x14ac:dyDescent="0.3">
      <c r="C1987" s="7" t="s">
        <v>1953</v>
      </c>
      <c r="D1987" s="8" t="s">
        <v>2038</v>
      </c>
      <c r="E1987" s="8" t="s">
        <v>1986</v>
      </c>
      <c r="F1987" s="9">
        <v>4.09</v>
      </c>
    </row>
    <row r="1988" spans="3:6" hidden="1" x14ac:dyDescent="0.3">
      <c r="C1988" s="10" t="s">
        <v>1954</v>
      </c>
      <c r="D1988" s="11" t="s">
        <v>2057</v>
      </c>
      <c r="E1988" s="11" t="s">
        <v>2015</v>
      </c>
      <c r="F1988" s="12">
        <v>2.57</v>
      </c>
    </row>
    <row r="1989" spans="3:6" hidden="1" x14ac:dyDescent="0.3">
      <c r="C1989" s="7" t="s">
        <v>1955</v>
      </c>
      <c r="D1989" s="8" t="s">
        <v>2050</v>
      </c>
      <c r="E1989" s="8" t="s">
        <v>1998</v>
      </c>
      <c r="F1989" s="9">
        <v>0.2</v>
      </c>
    </row>
    <row r="1990" spans="3:6" hidden="1" x14ac:dyDescent="0.3">
      <c r="C1990" s="10" t="s">
        <v>1956</v>
      </c>
      <c r="D1990" s="11" t="s">
        <v>2065</v>
      </c>
      <c r="E1990" s="11" t="s">
        <v>2027</v>
      </c>
      <c r="F1990" s="12">
        <v>1.1499999999999999</v>
      </c>
    </row>
    <row r="1991" spans="3:6" hidden="1" x14ac:dyDescent="0.3">
      <c r="C1991" s="7" t="s">
        <v>1957</v>
      </c>
      <c r="D1991" s="8" t="s">
        <v>2038</v>
      </c>
      <c r="E1991" s="8" t="s">
        <v>2029</v>
      </c>
      <c r="F1991" s="9">
        <v>5.93</v>
      </c>
    </row>
    <row r="1992" spans="3:6" hidden="1" x14ac:dyDescent="0.3">
      <c r="C1992" s="10" t="s">
        <v>1958</v>
      </c>
      <c r="D1992" s="11" t="s">
        <v>2038</v>
      </c>
      <c r="E1992" s="11" t="s">
        <v>2029</v>
      </c>
      <c r="F1992" s="12">
        <v>5.93</v>
      </c>
    </row>
    <row r="1993" spans="3:6" hidden="1" x14ac:dyDescent="0.3">
      <c r="C1993" s="7" t="s">
        <v>1959</v>
      </c>
      <c r="D1993" s="8" t="s">
        <v>2063</v>
      </c>
      <c r="E1993" s="8" t="s">
        <v>2001</v>
      </c>
      <c r="F1993" s="9">
        <v>2.35</v>
      </c>
    </row>
    <row r="1994" spans="3:6" hidden="1" x14ac:dyDescent="0.3">
      <c r="C1994" s="10" t="s">
        <v>1960</v>
      </c>
      <c r="D1994" s="11" t="s">
        <v>2065</v>
      </c>
      <c r="E1994" s="11" t="s">
        <v>1979</v>
      </c>
      <c r="F1994" s="12">
        <v>0.44</v>
      </c>
    </row>
    <row r="1995" spans="3:6" hidden="1" x14ac:dyDescent="0.3">
      <c r="C1995" s="7" t="s">
        <v>1961</v>
      </c>
      <c r="D1995" s="8" t="s">
        <v>2038</v>
      </c>
      <c r="E1995" s="8" t="s">
        <v>2004</v>
      </c>
      <c r="F1995" s="9">
        <v>3.33</v>
      </c>
    </row>
    <row r="1996" spans="3:6" hidden="1" x14ac:dyDescent="0.3">
      <c r="C1996" s="10" t="s">
        <v>1962</v>
      </c>
      <c r="D1996" s="11" t="s">
        <v>2038</v>
      </c>
      <c r="E1996" s="11" t="s">
        <v>2015</v>
      </c>
      <c r="F1996" s="12">
        <v>4</v>
      </c>
    </row>
    <row r="1997" spans="3:6" hidden="1" x14ac:dyDescent="0.3">
      <c r="C1997" s="7" t="s">
        <v>1963</v>
      </c>
      <c r="D1997" s="8" t="s">
        <v>2035</v>
      </c>
      <c r="E1997" s="8" t="s">
        <v>1999</v>
      </c>
      <c r="F1997" s="9">
        <v>1.52</v>
      </c>
    </row>
    <row r="1998" spans="3:6" hidden="1" x14ac:dyDescent="0.3">
      <c r="C1998" s="10" t="s">
        <v>1964</v>
      </c>
      <c r="D1998" s="11" t="s">
        <v>2038</v>
      </c>
      <c r="E1998" s="11" t="s">
        <v>1979</v>
      </c>
      <c r="F1998" s="12">
        <v>0.44</v>
      </c>
    </row>
    <row r="1999" spans="3:6" hidden="1" x14ac:dyDescent="0.3">
      <c r="C1999" s="7" t="s">
        <v>1965</v>
      </c>
      <c r="D1999" s="8" t="s">
        <v>2034</v>
      </c>
      <c r="E1999" s="8" t="s">
        <v>2031</v>
      </c>
      <c r="F1999" s="9">
        <v>2.72</v>
      </c>
    </row>
    <row r="2000" spans="3:6" hidden="1" x14ac:dyDescent="0.3">
      <c r="C2000" s="10" t="s">
        <v>1966</v>
      </c>
      <c r="D2000" s="11" t="s">
        <v>2034</v>
      </c>
      <c r="E2000" s="11" t="s">
        <v>2031</v>
      </c>
      <c r="F2000" s="12">
        <v>2.36</v>
      </c>
    </row>
    <row r="2001" spans="3:7" hidden="1" x14ac:dyDescent="0.3">
      <c r="C2001" s="7" t="s">
        <v>1967</v>
      </c>
      <c r="D2001" s="8" t="s">
        <v>2037</v>
      </c>
      <c r="E2001" s="8" t="s">
        <v>1979</v>
      </c>
      <c r="F2001" s="9">
        <v>0.45</v>
      </c>
    </row>
    <row r="2002" spans="3:7" hidden="1" x14ac:dyDescent="0.3">
      <c r="C2002" s="10" t="s">
        <v>1968</v>
      </c>
      <c r="D2002" s="11" t="s">
        <v>2034</v>
      </c>
      <c r="E2002" s="11" t="s">
        <v>2031</v>
      </c>
      <c r="F2002" s="12">
        <v>2.96</v>
      </c>
    </row>
    <row r="2003" spans="3:7" hidden="1" x14ac:dyDescent="0.3">
      <c r="C2003" s="7" t="s">
        <v>1969</v>
      </c>
      <c r="D2003" s="8" t="s">
        <v>2038</v>
      </c>
      <c r="E2003" s="8" t="s">
        <v>2017</v>
      </c>
      <c r="F2003" s="9">
        <v>3.34</v>
      </c>
    </row>
    <row r="2004" spans="3:7" hidden="1" x14ac:dyDescent="0.3">
      <c r="C2004" s="1" t="s">
        <v>1970</v>
      </c>
      <c r="D2004" s="2" t="s">
        <v>2034</v>
      </c>
      <c r="E2004" s="2" t="s">
        <v>2005</v>
      </c>
      <c r="F2004" s="3">
        <v>2.2000000000000002</v>
      </c>
    </row>
    <row r="2005" spans="3:7" x14ac:dyDescent="0.3">
      <c r="G2005" s="27">
        <f>SUBTOTAL(9,G57:G1657)</f>
        <v>31.196000000000009</v>
      </c>
    </row>
  </sheetData>
  <autoFilter ref="C4:F2004" xr:uid="{82BC5415-1441-4FFD-AB49-12D5C8EF6D0B}">
    <filterColumn colId="1">
      <filters>
        <filter val="Россия"/>
      </filters>
    </filterColumn>
    <sortState xmlns:xlrd2="http://schemas.microsoft.com/office/spreadsheetml/2017/richdata2" ref="C57:F1657">
      <sortCondition ref="E4:E200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Данные</vt:lpstr>
      <vt:lpstr>Задание №1</vt:lpstr>
      <vt:lpstr>Задание №2.1</vt:lpstr>
      <vt:lpstr>Задание №2.2</vt:lpstr>
      <vt:lpstr>Задание №3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Андрей</cp:lastModifiedBy>
  <dcterms:created xsi:type="dcterms:W3CDTF">2018-06-30T19:08:31Z</dcterms:created>
  <dcterms:modified xsi:type="dcterms:W3CDTF">2023-06-01T03:15:14Z</dcterms:modified>
</cp:coreProperties>
</file>