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Задание №1" sheetId="1" r:id="rId1"/>
    <sheet name="Задание №2" sheetId="2" r:id="rId2"/>
    <sheet name="Задание №3" sheetId="3" r:id="rId3"/>
    <sheet name="Задание №6" sheetId="4" r:id="rId4"/>
  </sheets>
  <definedNames>
    <definedName name="count">'Задание №3'!$A$17:$A$20</definedName>
    <definedName name="price">'Задание №3'!$B$17:$B$20</definedName>
    <definedName name="servises">'Задание №3'!$A$17:$B$20</definedName>
    <definedName name="table">'Задание №3'!$A$31:$B$34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4" l="1"/>
  <c r="B37" i="3" l="1"/>
  <c r="B47" i="3"/>
  <c r="B24" i="3" l="1"/>
  <c r="B17" i="2" l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</calcChain>
</file>

<file path=xl/sharedStrings.xml><?xml version="1.0" encoding="utf-8"?>
<sst xmlns="http://schemas.openxmlformats.org/spreadsheetml/2006/main" count="31" uniqueCount="26">
  <si>
    <t xml:space="preserve">Задание №1: Последовательность Фибоначчи. Какое число будет после 0 1 </t>
  </si>
  <si>
    <t>это проверка</t>
  </si>
  <si>
    <t>Коэф.рождения</t>
  </si>
  <si>
    <t>Зарыбление</t>
  </si>
  <si>
    <t>Коэф.смертей</t>
  </si>
  <si>
    <t>Найти: Доказать, что каждый год улов будет 6 115 особей</t>
  </si>
  <si>
    <t>Ежегодный улов: (Расчет)</t>
  </si>
  <si>
    <t>Количество рекламных объявлений</t>
  </si>
  <si>
    <t>Цена одного рекламного объявления</t>
  </si>
  <si>
    <t>1-5</t>
  </si>
  <si>
    <t>6-10</t>
  </si>
  <si>
    <t>11-20</t>
  </si>
  <si>
    <t>Стоимость услуг</t>
  </si>
  <si>
    <t>Общие затраты при покупке объявлений:</t>
  </si>
  <si>
    <t>Количество покупаемых объявлений:</t>
  </si>
  <si>
    <t>21-…</t>
  </si>
  <si>
    <t>вариант решения через ЕСЛИМН</t>
  </si>
  <si>
    <t>1</t>
  </si>
  <si>
    <t>6</t>
  </si>
  <si>
    <t>11</t>
  </si>
  <si>
    <t>21</t>
  </si>
  <si>
    <t>Количество покупаемых объявлений</t>
  </si>
  <si>
    <t>Стоимость проекта</t>
  </si>
  <si>
    <t>№ компании</t>
  </si>
  <si>
    <t>моя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</si>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</sst>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₽&quot;"/>
    <numFmt numFmtId="165" formatCode="#,##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3" fontId="0" fillId="0" borderId="0" xfId="0" applyNumberFormat="1"/>
    <xf numFmtId="3" fontId="0" fillId="0" borderId="0" xfId="0" applyNumberFormat="1" applyAlignment="1"/>
    <xf numFmtId="0" fontId="0" fillId="0" borderId="0" xfId="0" applyAlignment="1">
      <alignment vertical="top" wrapText="1"/>
    </xf>
    <xf numFmtId="3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applyNumberFormat="1"/>
    <xf numFmtId="49" fontId="0" fillId="0" borderId="1" xfId="0" applyNumberFormat="1" applyBorder="1"/>
    <xf numFmtId="165" fontId="0" fillId="0" borderId="1" xfId="0" applyNumberFormat="1" applyBorder="1"/>
    <xf numFmtId="49" fontId="1" fillId="3" borderId="1" xfId="0" applyNumberFormat="1" applyFont="1" applyFill="1" applyBorder="1" applyAlignment="1">
      <alignment vertical="top" wrapText="1"/>
    </xf>
    <xf numFmtId="164" fontId="1" fillId="3" borderId="1" xfId="0" applyNumberFormat="1" applyFont="1" applyFill="1" applyBorder="1" applyAlignment="1">
      <alignment vertical="top" wrapText="1"/>
    </xf>
    <xf numFmtId="49" fontId="1" fillId="0" borderId="0" xfId="0" applyNumberFormat="1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" fontId="0" fillId="4" borderId="0" xfId="0" applyNumberFormat="1" applyFill="1" applyAlignment="1">
      <alignment horizontal="left" vertical="top"/>
    </xf>
    <xf numFmtId="2" fontId="0" fillId="0" borderId="1" xfId="0" applyNumberFormat="1" applyBorder="1"/>
    <xf numFmtId="2" fontId="0" fillId="0" borderId="0" xfId="0" applyNumberFormat="1"/>
    <xf numFmtId="2" fontId="0" fillId="0" borderId="0" xfId="0" applyNumberFormat="1" applyBorder="1"/>
    <xf numFmtId="165" fontId="0" fillId="0" borderId="0" xfId="0" applyNumberFormat="1" applyBorder="1"/>
    <xf numFmtId="164" fontId="1" fillId="0" borderId="0" xfId="0" applyNumberFormat="1" applyFont="1"/>
    <xf numFmtId="0" fontId="0" fillId="0" borderId="0" xfId="0" applyAlignment="1">
      <alignment horizontal="left" vertical="top"/>
    </xf>
    <xf numFmtId="0" fontId="0" fillId="5" borderId="0" xfId="0" applyNumberFormat="1" applyFill="1"/>
    <xf numFmtId="0" fontId="1" fillId="2" borderId="0" xfId="0" applyFont="1" applyFill="1" applyAlignment="1">
      <alignment horizontal="center"/>
    </xf>
    <xf numFmtId="165" fontId="0" fillId="0" borderId="0" xfId="0" applyNumberFormat="1"/>
    <xf numFmtId="0" fontId="0" fillId="6" borderId="1" xfId="0" applyFill="1" applyBorder="1"/>
    <xf numFmtId="49" fontId="0" fillId="3" borderId="1" xfId="0" applyNumberFormat="1" applyFill="1" applyBorder="1"/>
    <xf numFmtId="165" fontId="0" fillId="3" borderId="1" xfId="0" applyNumberFormat="1" applyFill="1" applyBorder="1"/>
    <xf numFmtId="49" fontId="0" fillId="7" borderId="1" xfId="0" applyNumberFormat="1" applyFill="1" applyBorder="1"/>
    <xf numFmtId="165" fontId="0" fillId="7" borderId="1" xfId="0" applyNumberFormat="1" applyFill="1" applyBorder="1"/>
    <xf numFmtId="164" fontId="0" fillId="8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4</xdr:col>
      <xdr:colOff>182880</xdr:colOff>
      <xdr:row>10</xdr:row>
      <xdr:rowOff>1602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788"/>
        <a:stretch/>
      </xdr:blipFill>
      <xdr:spPr>
        <a:xfrm>
          <a:off x="1" y="1"/>
          <a:ext cx="3870959" cy="18304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3</xdr:col>
      <xdr:colOff>335279</xdr:colOff>
      <xdr:row>12</xdr:row>
      <xdr:rowOff>0</xdr:rowOff>
    </xdr:to>
    <xdr:pic>
      <xdr:nvPicPr>
        <xdr:cNvPr id="3" name="Рисунок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872"/>
        <a:stretch/>
      </xdr:blipFill>
      <xdr:spPr>
        <a:xfrm>
          <a:off x="30480" y="0"/>
          <a:ext cx="5791199" cy="21945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571501</xdr:colOff>
      <xdr:row>1</xdr:row>
      <xdr:rowOff>45720</xdr:rowOff>
    </xdr:from>
    <xdr:to>
      <xdr:col>13</xdr:col>
      <xdr:colOff>350520</xdr:colOff>
      <xdr:row>18</xdr:row>
      <xdr:rowOff>115499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486" b="5158"/>
        <a:stretch/>
      </xdr:blipFill>
      <xdr:spPr>
        <a:xfrm>
          <a:off x="3749041" y="45720"/>
          <a:ext cx="4046219" cy="3178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F2" sqref="F2:F3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>
        <v>0</v>
      </c>
    </row>
    <row r="3" spans="1:3" x14ac:dyDescent="0.3">
      <c r="A3">
        <v>1</v>
      </c>
    </row>
    <row r="4" spans="1:3" x14ac:dyDescent="0.3">
      <c r="A4">
        <f>SUM(A2:A3)</f>
        <v>1</v>
      </c>
      <c r="B4">
        <f>A4/A3</f>
        <v>1</v>
      </c>
      <c r="C4" t="s">
        <v>1</v>
      </c>
    </row>
    <row r="5" spans="1:3" x14ac:dyDescent="0.3">
      <c r="A5">
        <f t="shared" ref="A5:A22" si="0">SUM(A3:A4)</f>
        <v>2</v>
      </c>
      <c r="B5">
        <f t="shared" ref="B5:B22" si="1">A5/A4</f>
        <v>2</v>
      </c>
    </row>
    <row r="6" spans="1:3" x14ac:dyDescent="0.3">
      <c r="A6">
        <f t="shared" si="0"/>
        <v>3</v>
      </c>
      <c r="B6">
        <f t="shared" si="1"/>
        <v>1.5</v>
      </c>
    </row>
    <row r="7" spans="1:3" x14ac:dyDescent="0.3">
      <c r="A7">
        <f t="shared" si="0"/>
        <v>5</v>
      </c>
      <c r="B7">
        <f t="shared" si="1"/>
        <v>1.6666666666666667</v>
      </c>
    </row>
    <row r="8" spans="1:3" x14ac:dyDescent="0.3">
      <c r="A8">
        <f t="shared" si="0"/>
        <v>8</v>
      </c>
      <c r="B8">
        <f t="shared" si="1"/>
        <v>1.6</v>
      </c>
    </row>
    <row r="9" spans="1:3" x14ac:dyDescent="0.3">
      <c r="A9">
        <f t="shared" si="0"/>
        <v>13</v>
      </c>
      <c r="B9">
        <f t="shared" si="1"/>
        <v>1.625</v>
      </c>
    </row>
    <row r="10" spans="1:3" x14ac:dyDescent="0.3">
      <c r="A10">
        <f t="shared" si="0"/>
        <v>21</v>
      </c>
      <c r="B10">
        <f t="shared" si="1"/>
        <v>1.6153846153846154</v>
      </c>
    </row>
    <row r="11" spans="1:3" x14ac:dyDescent="0.3">
      <c r="A11">
        <f t="shared" si="0"/>
        <v>34</v>
      </c>
      <c r="B11">
        <f t="shared" si="1"/>
        <v>1.6190476190476191</v>
      </c>
    </row>
    <row r="12" spans="1:3" x14ac:dyDescent="0.3">
      <c r="A12">
        <f t="shared" si="0"/>
        <v>55</v>
      </c>
      <c r="B12">
        <f t="shared" si="1"/>
        <v>1.6176470588235294</v>
      </c>
    </row>
    <row r="13" spans="1:3" x14ac:dyDescent="0.3">
      <c r="A13">
        <f t="shared" si="0"/>
        <v>89</v>
      </c>
      <c r="B13">
        <f t="shared" si="1"/>
        <v>1.6181818181818182</v>
      </c>
    </row>
    <row r="14" spans="1:3" x14ac:dyDescent="0.3">
      <c r="A14">
        <f t="shared" si="0"/>
        <v>144</v>
      </c>
      <c r="B14">
        <f t="shared" si="1"/>
        <v>1.6179775280898876</v>
      </c>
    </row>
    <row r="15" spans="1:3" x14ac:dyDescent="0.3">
      <c r="A15">
        <f t="shared" si="0"/>
        <v>233</v>
      </c>
      <c r="B15">
        <f t="shared" si="1"/>
        <v>1.6180555555555556</v>
      </c>
    </row>
    <row r="16" spans="1:3" x14ac:dyDescent="0.3">
      <c r="A16">
        <f t="shared" si="0"/>
        <v>377</v>
      </c>
      <c r="B16">
        <f t="shared" si="1"/>
        <v>1.6180257510729614</v>
      </c>
    </row>
    <row r="17" spans="1:2" x14ac:dyDescent="0.3">
      <c r="A17">
        <f t="shared" si="0"/>
        <v>610</v>
      </c>
      <c r="B17">
        <f t="shared" si="1"/>
        <v>1.6180371352785146</v>
      </c>
    </row>
    <row r="18" spans="1:2" x14ac:dyDescent="0.3">
      <c r="A18">
        <f t="shared" si="0"/>
        <v>987</v>
      </c>
      <c r="B18">
        <f t="shared" si="1"/>
        <v>1.618032786885246</v>
      </c>
    </row>
    <row r="19" spans="1:2" x14ac:dyDescent="0.3">
      <c r="A19">
        <f t="shared" si="0"/>
        <v>1597</v>
      </c>
      <c r="B19">
        <f t="shared" si="1"/>
        <v>1.6180344478216819</v>
      </c>
    </row>
    <row r="20" spans="1:2" x14ac:dyDescent="0.3">
      <c r="A20">
        <f t="shared" si="0"/>
        <v>2584</v>
      </c>
      <c r="B20">
        <f t="shared" si="1"/>
        <v>1.6180338134001253</v>
      </c>
    </row>
    <row r="21" spans="1:2" x14ac:dyDescent="0.3">
      <c r="A21">
        <f t="shared" si="0"/>
        <v>4181</v>
      </c>
      <c r="B21">
        <f t="shared" si="1"/>
        <v>1.6180340557275541</v>
      </c>
    </row>
    <row r="22" spans="1:2" x14ac:dyDescent="0.3">
      <c r="A22">
        <f t="shared" si="0"/>
        <v>6765</v>
      </c>
      <c r="B22">
        <f t="shared" si="1"/>
        <v>1.6180339631667064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:B17"/>
  <sheetViews>
    <sheetView workbookViewId="0">
      <selection activeCell="C20" sqref="C20"/>
    </sheetView>
  </sheetViews>
  <sheetFormatPr defaultRowHeight="14.4" x14ac:dyDescent="0.3"/>
  <cols>
    <col min="1" max="1" width="27.109375" customWidth="1"/>
  </cols>
  <sheetData>
    <row r="12" spans="1:2" x14ac:dyDescent="0.3">
      <c r="A12" t="s">
        <v>3</v>
      </c>
      <c r="B12" s="1">
        <v>12230</v>
      </c>
    </row>
    <row r="13" spans="1:2" x14ac:dyDescent="0.3">
      <c r="A13" t="s">
        <v>2</v>
      </c>
      <c r="B13">
        <v>1.2</v>
      </c>
    </row>
    <row r="14" spans="1:2" x14ac:dyDescent="0.3">
      <c r="A14" t="s">
        <v>4</v>
      </c>
      <c r="B14">
        <v>0.7</v>
      </c>
    </row>
    <row r="15" spans="1:2" ht="33" customHeight="1" x14ac:dyDescent="0.3">
      <c r="A15" s="3" t="s">
        <v>5</v>
      </c>
      <c r="B15" s="4">
        <v>6115</v>
      </c>
    </row>
    <row r="17" spans="1:2" x14ac:dyDescent="0.3">
      <c r="A17" t="s">
        <v>6</v>
      </c>
      <c r="B17" s="2">
        <f>B12*B13-B12*B14</f>
        <v>6115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D47"/>
  <sheetViews>
    <sheetView topLeftCell="A28" workbookViewId="0">
      <selection activeCell="E46" sqref="E46"/>
    </sheetView>
  </sheetViews>
  <sheetFormatPr defaultRowHeight="14.4" x14ac:dyDescent="0.3"/>
  <cols>
    <col min="1" max="1" width="35.44140625" style="6" customWidth="1"/>
    <col min="2" max="2" width="35.6640625" style="5" customWidth="1"/>
    <col min="9" max="9" width="21.21875" customWidth="1"/>
    <col min="10" max="10" width="23.109375" customWidth="1"/>
  </cols>
  <sheetData>
    <row r="14" spans="1:4" x14ac:dyDescent="0.3">
      <c r="A14" s="21" t="s">
        <v>12</v>
      </c>
      <c r="B14" s="21"/>
      <c r="D14" t="s">
        <v>16</v>
      </c>
    </row>
    <row r="15" spans="1:4" x14ac:dyDescent="0.3">
      <c r="A15"/>
      <c r="B15"/>
    </row>
    <row r="16" spans="1:4" ht="20.399999999999999" customHeight="1" x14ac:dyDescent="0.3">
      <c r="A16" s="9" t="s">
        <v>7</v>
      </c>
      <c r="B16" s="10" t="s">
        <v>8</v>
      </c>
    </row>
    <row r="17" spans="1:4" ht="15.6" customHeight="1" x14ac:dyDescent="0.3">
      <c r="A17" s="7" t="s">
        <v>9</v>
      </c>
      <c r="B17" s="8">
        <v>12000</v>
      </c>
    </row>
    <row r="18" spans="1:4" x14ac:dyDescent="0.3">
      <c r="A18" s="7" t="s">
        <v>10</v>
      </c>
      <c r="B18" s="8">
        <v>11000</v>
      </c>
    </row>
    <row r="19" spans="1:4" x14ac:dyDescent="0.3">
      <c r="A19" s="7" t="s">
        <v>11</v>
      </c>
      <c r="B19" s="8">
        <v>10000</v>
      </c>
    </row>
    <row r="20" spans="1:4" x14ac:dyDescent="0.3">
      <c r="A20" s="7" t="s">
        <v>15</v>
      </c>
      <c r="B20" s="8">
        <v>9000</v>
      </c>
    </row>
    <row r="23" spans="1:4" ht="19.2" customHeight="1" x14ac:dyDescent="0.3">
      <c r="A23" s="11" t="s">
        <v>14</v>
      </c>
      <c r="B23" s="13">
        <v>2</v>
      </c>
    </row>
    <row r="24" spans="1:4" ht="28.8" x14ac:dyDescent="0.3">
      <c r="A24" s="11" t="s">
        <v>13</v>
      </c>
      <c r="B24" s="12">
        <f>IF(B23&lt;6,B17)*B23</f>
        <v>24000</v>
      </c>
    </row>
    <row r="28" spans="1:4" x14ac:dyDescent="0.3">
      <c r="A28" s="21" t="s">
        <v>12</v>
      </c>
      <c r="B28" s="21"/>
      <c r="D28" t="s">
        <v>16</v>
      </c>
    </row>
    <row r="29" spans="1:4" x14ac:dyDescent="0.3">
      <c r="A29"/>
      <c r="B29"/>
    </row>
    <row r="30" spans="1:4" x14ac:dyDescent="0.3">
      <c r="A30" s="9" t="s">
        <v>7</v>
      </c>
      <c r="B30" s="10" t="s">
        <v>8</v>
      </c>
    </row>
    <row r="31" spans="1:4" x14ac:dyDescent="0.3">
      <c r="A31" s="14" t="s">
        <v>17</v>
      </c>
      <c r="B31" s="8">
        <v>12000</v>
      </c>
    </row>
    <row r="32" spans="1:4" x14ac:dyDescent="0.3">
      <c r="A32" s="14" t="s">
        <v>18</v>
      </c>
      <c r="B32" s="8">
        <v>11000</v>
      </c>
    </row>
    <row r="33" spans="1:2" x14ac:dyDescent="0.3">
      <c r="A33" s="14" t="s">
        <v>19</v>
      </c>
      <c r="B33" s="8">
        <v>10000</v>
      </c>
    </row>
    <row r="34" spans="1:2" x14ac:dyDescent="0.3">
      <c r="A34" s="14" t="s">
        <v>20</v>
      </c>
      <c r="B34" s="8">
        <v>9000</v>
      </c>
    </row>
    <row r="35" spans="1:2" x14ac:dyDescent="0.3">
      <c r="A35" s="16"/>
      <c r="B35" s="17"/>
    </row>
    <row r="36" spans="1:2" x14ac:dyDescent="0.3">
      <c r="A36" s="18" t="s">
        <v>21</v>
      </c>
      <c r="B36" s="20">
        <v>1</v>
      </c>
    </row>
    <row r="37" spans="1:2" ht="28.8" x14ac:dyDescent="0.3">
      <c r="A37" s="11" t="s">
        <v>13</v>
      </c>
      <c r="B37" s="19" t="e">
        <f>VLOOKUP(B36,A31:B34,2)</f>
        <v>#N/A</v>
      </c>
    </row>
    <row r="38" spans="1:2" x14ac:dyDescent="0.3">
      <c r="B38" s="12"/>
    </row>
    <row r="41" spans="1:2" x14ac:dyDescent="0.3">
      <c r="A41" s="15">
        <v>1</v>
      </c>
      <c r="B41" s="5">
        <v>12000</v>
      </c>
    </row>
    <row r="42" spans="1:2" x14ac:dyDescent="0.3">
      <c r="A42" s="15">
        <v>6</v>
      </c>
      <c r="B42" s="5">
        <v>11000</v>
      </c>
    </row>
    <row r="43" spans="1:2" x14ac:dyDescent="0.3">
      <c r="A43" s="15">
        <v>11</v>
      </c>
      <c r="B43" s="5">
        <v>10000</v>
      </c>
    </row>
    <row r="44" spans="1:2" x14ac:dyDescent="0.3">
      <c r="A44" s="15">
        <v>21</v>
      </c>
      <c r="B44" s="5">
        <v>9000</v>
      </c>
    </row>
    <row r="45" spans="1:2" x14ac:dyDescent="0.3">
      <c r="A45"/>
      <c r="B45"/>
    </row>
    <row r="46" spans="1:2" x14ac:dyDescent="0.3">
      <c r="A46">
        <v>1</v>
      </c>
      <c r="B46"/>
    </row>
    <row r="47" spans="1:2" x14ac:dyDescent="0.3">
      <c r="A47"/>
      <c r="B47">
        <f>VLOOKUP(A46,A41:B44,2)</f>
        <v>12000</v>
      </c>
    </row>
  </sheetData>
  <mergeCells count="2">
    <mergeCell ref="A14:B14"/>
    <mergeCell ref="A28:B28"/>
  </mergeCells>
  <pageMargins left="0.7" right="0.7" top="0.75" bottom="0.75" header="0.3" footer="0.3"/>
  <pageSetup paperSize="9" orientation="portrait" r:id="rId1"/>
  <ignoredErrors>
    <ignoredError sqref="A19" twoDigitTextYear="1"/>
    <ignoredError sqref="A31:A34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"/>
  <sheetViews>
    <sheetView tabSelected="1" workbookViewId="0">
      <selection activeCell="D17" sqref="D17"/>
    </sheetView>
  </sheetViews>
  <sheetFormatPr defaultRowHeight="14.4" x14ac:dyDescent="0.3"/>
  <cols>
    <col min="1" max="1" width="15.44140625" customWidth="1"/>
    <col min="2" max="2" width="18.77734375" customWidth="1"/>
    <col min="3" max="3" width="11.33203125" style="22" bestFit="1" customWidth="1"/>
    <col min="4" max="4" width="14.109375" customWidth="1"/>
  </cols>
  <sheetData>
    <row r="2" spans="1:5" x14ac:dyDescent="0.3">
      <c r="A2" s="23" t="s">
        <v>23</v>
      </c>
      <c r="B2" s="23" t="s">
        <v>22</v>
      </c>
      <c r="D2" s="28">
        <f>IF(B3&lt;MIN($B$4:$B$7),96000,-4000)</f>
        <v>-4000</v>
      </c>
      <c r="E2" t="s">
        <v>25</v>
      </c>
    </row>
    <row r="3" spans="1:5" x14ac:dyDescent="0.3">
      <c r="A3" s="24" t="s">
        <v>24</v>
      </c>
      <c r="B3" s="25">
        <v>100000</v>
      </c>
    </row>
    <row r="4" spans="1:5" x14ac:dyDescent="0.3">
      <c r="A4" s="26">
        <v>1</v>
      </c>
      <c r="B4" s="27">
        <v>110000</v>
      </c>
    </row>
    <row r="5" spans="1:5" x14ac:dyDescent="0.3">
      <c r="A5" s="26">
        <v>2</v>
      </c>
      <c r="B5" s="27">
        <v>90000</v>
      </c>
    </row>
    <row r="6" spans="1:5" x14ac:dyDescent="0.3">
      <c r="A6" s="26">
        <v>3</v>
      </c>
      <c r="B6" s="27">
        <v>85000</v>
      </c>
    </row>
    <row r="7" spans="1:5" x14ac:dyDescent="0.3">
      <c r="A7" s="26">
        <v>4</v>
      </c>
      <c r="B7" s="27">
        <v>125000</v>
      </c>
    </row>
    <row r="10" spans="1:5" x14ac:dyDescent="0.3">
      <c r="B10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Задание №1</vt:lpstr>
      <vt:lpstr>Задание №2</vt:lpstr>
      <vt:lpstr>Задание №3</vt:lpstr>
      <vt:lpstr>Задание №6</vt:lpstr>
      <vt:lpstr>count</vt:lpstr>
      <vt:lpstr>price</vt:lpstr>
      <vt:lpstr>servises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2023-05-23T04:36:19Z</dcterms:modified>
</cp:coreProperties>
</file>