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2. Лекция №2\"/>
    </mc:Choice>
  </mc:AlternateContent>
  <bookViews>
    <workbookView xWindow="0" yWindow="0" windowWidth="23040" windowHeight="8244"/>
  </bookViews>
  <sheets>
    <sheet name="Лист1" sheetId="1" r:id="rId1"/>
  </sheets>
  <definedNames>
    <definedName name="act_mult">Лист1!$K$6:$K$10</definedName>
    <definedName name="act_name">Лист1!$J$6:$J$10</definedName>
    <definedName name="gender">Лист1!$M$6:$M$7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1" l="1"/>
  <c r="E2" i="1"/>
  <c r="H2" i="1"/>
</calcChain>
</file>

<file path=xl/sharedStrings.xml><?xml version="1.0" encoding="utf-8"?>
<sst xmlns="http://schemas.openxmlformats.org/spreadsheetml/2006/main" count="21" uniqueCount="17">
  <si>
    <t>Рост (см)</t>
  </si>
  <si>
    <t>Вес (кг)</t>
  </si>
  <si>
    <t>Возраст (полных лет)</t>
  </si>
  <si>
    <t>Пол</t>
  </si>
  <si>
    <t>ИМТ</t>
  </si>
  <si>
    <t>Уровень активности</t>
  </si>
  <si>
    <t>ПБМ</t>
  </si>
  <si>
    <t>РСК</t>
  </si>
  <si>
    <t>мужской</t>
  </si>
  <si>
    <t>женский</t>
  </si>
  <si>
    <t>минимальный</t>
  </si>
  <si>
    <t>низкий</t>
  </si>
  <si>
    <t>умеренный</t>
  </si>
  <si>
    <t>высокий</t>
  </si>
  <si>
    <t>экстремальный</t>
  </si>
  <si>
    <t>Коэффициенты ПБМ</t>
  </si>
  <si>
    <t>Коэффициент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</si>
</sst>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2" borderId="0" xfId="0" applyFill="1" applyAlignment="1">
      <alignment horizontal="center"/>
    </xf>
    <xf numFmtId="2" fontId="0" fillId="0" borderId="0" xfId="0" applyNumberFormat="1"/>
    <xf numFmtId="49" fontId="0" fillId="2" borderId="0" xfId="0" applyNumberFormat="1" applyFill="1" applyAlignment="1">
      <alignment wrapText="1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tabSelected="1" zoomScale="90" zoomScaleNormal="90" workbookViewId="0">
      <selection activeCell="H2" sqref="H2"/>
    </sheetView>
  </sheetViews>
  <sheetFormatPr defaultRowHeight="14.4" x14ac:dyDescent="0.3"/>
  <cols>
    <col min="1" max="5" width="15.6640625" customWidth="1"/>
    <col min="6" max="6" width="15.6640625" style="7" customWidth="1"/>
    <col min="7" max="8" width="15.6640625" customWidth="1"/>
    <col min="10" max="11" width="15.6640625" customWidth="1"/>
  </cols>
  <sheetData>
    <row r="1" spans="1:17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6</v>
      </c>
      <c r="H1" s="2" t="s">
        <v>7</v>
      </c>
    </row>
    <row r="2" spans="1:17" x14ac:dyDescent="0.3">
      <c r="A2">
        <v>158</v>
      </c>
      <c r="B2">
        <v>54</v>
      </c>
      <c r="C2">
        <v>34</v>
      </c>
      <c r="D2" t="s">
        <v>9</v>
      </c>
      <c r="E2" s="5">
        <f>$B$2/($A$2/100)^2</f>
        <v>21.631148854350261</v>
      </c>
      <c r="F2" s="7" t="s">
        <v>12</v>
      </c>
      <c r="G2" s="5">
        <f>IF(D2=M6,N6+O6*B2+P6*A2-Q6*C2,N7+O7*B2+P7*A2-Q7*C2)</f>
        <v>1304.818</v>
      </c>
      <c r="H2" s="5" t="e">
        <f ca="1">G2*ПЕРЕКЛЮЧ(F2,J6,K6,J7,K7,J8,K8,J9,K9,J10,K10)</f>
        <v>#NAME?</v>
      </c>
    </row>
    <row r="5" spans="1:17" ht="28.8" x14ac:dyDescent="0.3">
      <c r="J5" s="2" t="s">
        <v>5</v>
      </c>
      <c r="K5" s="2" t="s">
        <v>16</v>
      </c>
      <c r="M5" s="3" t="s">
        <v>3</v>
      </c>
      <c r="N5" s="4" t="s">
        <v>15</v>
      </c>
      <c r="O5" s="4"/>
      <c r="P5" s="4"/>
      <c r="Q5" s="4"/>
    </row>
    <row r="6" spans="1:17" x14ac:dyDescent="0.3">
      <c r="J6" s="1" t="s">
        <v>10</v>
      </c>
      <c r="K6" s="1">
        <v>1.2</v>
      </c>
      <c r="M6" t="s">
        <v>8</v>
      </c>
      <c r="N6">
        <v>66.5</v>
      </c>
      <c r="O6">
        <v>13.75</v>
      </c>
      <c r="P6">
        <v>5.0030000000000001</v>
      </c>
      <c r="Q6">
        <v>6.7750000000000004</v>
      </c>
    </row>
    <row r="7" spans="1:17" x14ac:dyDescent="0.3">
      <c r="J7" s="1" t="s">
        <v>11</v>
      </c>
      <c r="K7" s="1">
        <v>1.375</v>
      </c>
      <c r="M7" t="s">
        <v>9</v>
      </c>
      <c r="N7">
        <v>655.1</v>
      </c>
      <c r="O7">
        <v>9.5630000000000006</v>
      </c>
      <c r="P7">
        <v>1.85</v>
      </c>
      <c r="Q7">
        <v>4.6760000000000002</v>
      </c>
    </row>
    <row r="8" spans="1:17" x14ac:dyDescent="0.3">
      <c r="J8" s="1" t="s">
        <v>12</v>
      </c>
      <c r="K8" s="1">
        <v>1.55</v>
      </c>
    </row>
    <row r="9" spans="1:17" x14ac:dyDescent="0.3">
      <c r="J9" s="1" t="s">
        <v>13</v>
      </c>
      <c r="K9" s="1">
        <v>1.7</v>
      </c>
    </row>
    <row r="10" spans="1:17" x14ac:dyDescent="0.3">
      <c r="J10" s="1" t="s">
        <v>14</v>
      </c>
      <c r="K10" s="1">
        <v>1.9</v>
      </c>
    </row>
  </sheetData>
  <mergeCells count="1">
    <mergeCell ref="N5:Q5"/>
  </mergeCells>
  <dataValidations count="4">
    <dataValidation type="whole" allowBlank="1" showInputMessage="1" showErrorMessage="1" sqref="A1:A1048576">
      <formula1>0</formula1>
      <formula2>300</formula2>
    </dataValidation>
    <dataValidation type="whole" operator="greaterThan" allowBlank="1" showInputMessage="1" showErrorMessage="1" sqref="C5 B1:B1048576 C1:C1048576">
      <formula1>0</formula1>
    </dataValidation>
    <dataValidation type="list" allowBlank="1" showInputMessage="1" showErrorMessage="1" sqref="D1:D1048576">
      <formula1>gender</formula1>
    </dataValidation>
    <dataValidation type="list" allowBlank="1" showInputMessage="1" showErrorMessage="1" sqref="F1:F1048576">
      <formula1>act_name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Лист1</vt:lpstr>
      <vt:lpstr>act_mult</vt:lpstr>
      <vt:lpstr>act_name</vt:lpstr>
      <vt:lpstr>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Zernova</dc:creator>
  <cp:lastModifiedBy>Андрей</cp:lastModifiedBy>
  <dcterms:created xsi:type="dcterms:W3CDTF">2022-05-17T01:18:58Z</dcterms:created>
  <dcterms:modified xsi:type="dcterms:W3CDTF">2023-05-21T10:57:19Z</dcterms:modified>
</cp:coreProperties>
</file>