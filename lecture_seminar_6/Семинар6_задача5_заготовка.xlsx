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1. Семинар №6\"/>
    </mc:Choice>
  </mc:AlternateContent>
  <xr:revisionPtr revIDLastSave="0" documentId="13_ncr:1_{8A81B12B-9FA8-4AF7-9B90-19CD90E610CD}" xr6:coauthVersionLast="47" xr6:coauthVersionMax="47" xr10:uidLastSave="{00000000-0000-0000-0000-000000000000}"/>
  <bookViews>
    <workbookView xWindow="-108" yWindow="-108" windowWidth="23256" windowHeight="12576" xr2:uid="{6916C5C9-E679-4EC1-9154-8A46D6EEA0F2}"/>
  </bookViews>
  <sheets>
    <sheet name="Отчет о результатах 1" sheetId="4" r:id="rId1"/>
    <sheet name="Заготовка" sheetId="2" r:id="rId2"/>
  </sheets>
  <definedNames>
    <definedName name="solver_adj" localSheetId="1" hidden="1">Заготовка!$H$4:$I$4,Заготовка!$I$5,Заготовка!$K$5,Заготовка!$J$6,Заготовка!$H$6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Заготовка!$H$7</definedName>
    <definedName name="solver_lhs2" localSheetId="1" hidden="1">Заготовка!$I$7</definedName>
    <definedName name="solver_lhs3" localSheetId="1" hidden="1">Заготовка!$J$7</definedName>
    <definedName name="solver_lhs4" localSheetId="1" hidden="1">Заготовка!$K$7</definedName>
    <definedName name="solver_lhs5" localSheetId="1" hidden="1">Заготовка!$L$10</definedName>
    <definedName name="solver_lhs6" localSheetId="1" hidden="1">Заготовка!$L$11</definedName>
    <definedName name="solver_lhs7" localSheetId="1" hidden="1">Заготовка!$L$12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Заготовка!$N$4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2</definedName>
    <definedName name="solver_rel7" localSheetId="1" hidden="1">1</definedName>
    <definedName name="solver_rhs1" localSheetId="1" hidden="1">120</definedName>
    <definedName name="solver_rhs2" localSheetId="1" hidden="1">120</definedName>
    <definedName name="solver_rhs3" localSheetId="1" hidden="1">120</definedName>
    <definedName name="solver_rhs4" localSheetId="1" hidden="1">120</definedName>
    <definedName name="solver_rhs5" localSheetId="1" hidden="1">80</definedName>
    <definedName name="solver_rhs6" localSheetId="1" hidden="1">50</definedName>
    <definedName name="solver_rhs7" localSheetId="1" hidden="1">50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H12" i="2"/>
  <c r="K11" i="2"/>
  <c r="I11" i="2"/>
  <c r="I10" i="2"/>
  <c r="H10" i="2"/>
  <c r="K7" i="2"/>
  <c r="J7" i="2"/>
  <c r="I7" i="2"/>
  <c r="H7" i="2"/>
  <c r="L11" i="2" l="1"/>
  <c r="L12" i="2"/>
  <c r="N2" i="2"/>
  <c r="L10" i="2"/>
  <c r="N4" i="2" l="1"/>
</calcChain>
</file>

<file path=xl/sharedStrings.xml><?xml version="1.0" encoding="utf-8"?>
<sst xmlns="http://schemas.openxmlformats.org/spreadsheetml/2006/main" count="107" uniqueCount="71">
  <si>
    <t>Время на изготовление продукта</t>
  </si>
  <si>
    <t>Продукт</t>
  </si>
  <si>
    <t>Техник A</t>
  </si>
  <si>
    <t>Техник B</t>
  </si>
  <si>
    <t>Техник C</t>
  </si>
  <si>
    <t>Техник D</t>
  </si>
  <si>
    <t>Количество часов</t>
  </si>
  <si>
    <t>Доход</t>
  </si>
  <si>
    <t>Ограничения</t>
  </si>
  <si>
    <t>Цена</t>
  </si>
  <si>
    <t>Продукт 1 = 80</t>
  </si>
  <si>
    <t>Итог</t>
  </si>
  <si>
    <t>Продукт 2 =  50</t>
  </si>
  <si>
    <t>Количество единиц продукта</t>
  </si>
  <si>
    <t>Продукт 3 &lt;= 50</t>
  </si>
  <si>
    <t>Время работы техника &lt;=120</t>
  </si>
  <si>
    <t>Доход Катя</t>
  </si>
  <si>
    <t>Microsoft Excel 16.0 Отчет о результатах</t>
  </si>
  <si>
    <t>Лист: [Семинар6_задача5_заготовка.xlsx]Заготовка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</si>
  <si>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</si>
  <si>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</si>
  <si>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нелинейных задач методом ОПГ</t>
  </si>
  <si>
    <t>Параметры поиска решения</t>
  </si>
  <si>
    <t>Максимальное время Без пределов,  Число итераций Без пределов, Precision 0,000001</t>
  </si>
  <si>
    <t xml:space="preserve"> Сходимость 0,0001, Размер совокупности 100, Случайное начальное значение 0, Центральные производные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</si>
  <si>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</si>
  <si>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</si>
  <si>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</si>
  <si>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</si>
  <si>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</si>
  <si>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</si>
  <si>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</si>
  <si>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</si>
  <si>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Значение ячейки</t>
  </si>
  <si>
    <t>Формула</t>
  </si>
  <si>
    <t>Состояние</t>
  </si>
  <si>
    <t>Допуск</t>
  </si>
  <si>
    <t>$N$4</t>
  </si>
  <si>
    <t>$H$4</t>
  </si>
  <si>
    <t>Продолжить</t>
  </si>
  <si>
    <t>$I$4</t>
  </si>
  <si>
    <t>$I$5</t>
  </si>
  <si>
    <t>$K$5</t>
  </si>
  <si>
    <t>$J$6</t>
  </si>
  <si>
    <t>Цена Техник C</t>
  </si>
  <si>
    <t>$H$6</t>
  </si>
  <si>
    <t>Цена Техник A</t>
  </si>
  <si>
    <t>$H$7</t>
  </si>
  <si>
    <t>Итог Техник A</t>
  </si>
  <si>
    <t>$H$7&lt;=120</t>
  </si>
  <si>
    <t>Привязка</t>
  </si>
  <si>
    <t>$I$7</t>
  </si>
  <si>
    <t>Итог Техник B</t>
  </si>
  <si>
    <t>$I$7&lt;=120</t>
  </si>
  <si>
    <t>$J$7</t>
  </si>
  <si>
    <t>Итог Техник C</t>
  </si>
  <si>
    <t>$J$7&lt;=120</t>
  </si>
  <si>
    <t>$K$7</t>
  </si>
  <si>
    <t>Итог Техник D</t>
  </si>
  <si>
    <t>$K$7&lt;=120</t>
  </si>
  <si>
    <t>$L$10</t>
  </si>
  <si>
    <t>Время работы техника &lt;=120 Итог</t>
  </si>
  <si>
    <t>$L$10=80</t>
  </si>
  <si>
    <t>$L$11</t>
  </si>
  <si>
    <t>$L$11=50</t>
  </si>
  <si>
    <t>$L$12</t>
  </si>
  <si>
    <t>$L$12&lt;=50</t>
  </si>
  <si>
    <t>Без привязки</t>
  </si>
  <si>
    <t>Отчет создан: 06.06.2023 13:10:27</t>
  </si>
  <si>
    <t>Время решения: 0,343 секунд.</t>
  </si>
  <si>
    <t>Число итераций: 6 Число подзадач: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</si>
</sst>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  <numFmt numFmtId="166" formatCode="#,##0.00\ &quot;₽&quot;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55">
    <xf numFmtId="0" fontId="0" fillId="0" borderId="0" xfId="0"/>
    <xf numFmtId="0" fontId="0" fillId="5" borderId="6" xfId="0" applyFill="1" applyBorder="1"/>
    <xf numFmtId="0" fontId="0" fillId="6" borderId="6" xfId="0" applyFill="1" applyBorder="1"/>
    <xf numFmtId="0" fontId="0" fillId="6" borderId="5" xfId="0" applyFill="1" applyBorder="1"/>
    <xf numFmtId="0" fontId="2" fillId="2" borderId="1" xfId="2"/>
    <xf numFmtId="164" fontId="3" fillId="3" borderId="2" xfId="3" applyNumberFormat="1"/>
    <xf numFmtId="0" fontId="0" fillId="5" borderId="7" xfId="0" applyFill="1" applyBorder="1"/>
    <xf numFmtId="0" fontId="0" fillId="8" borderId="7" xfId="0" applyFill="1" applyBorder="1"/>
    <xf numFmtId="0" fontId="0" fillId="9" borderId="7" xfId="0" applyFill="1" applyBorder="1"/>
    <xf numFmtId="0" fontId="0" fillId="9" borderId="8" xfId="0" applyFill="1" applyBorder="1"/>
    <xf numFmtId="0" fontId="0" fillId="8" borderId="8" xfId="0" applyFill="1" applyBorder="1"/>
    <xf numFmtId="0" fontId="0" fillId="5" borderId="9" xfId="0" applyFill="1" applyBorder="1"/>
    <xf numFmtId="0" fontId="0" fillId="8" borderId="9" xfId="0" applyFill="1" applyBorder="1"/>
    <xf numFmtId="0" fontId="0" fillId="9" borderId="9" xfId="0" applyFill="1" applyBorder="1"/>
    <xf numFmtId="0" fontId="0" fillId="9" borderId="10" xfId="0" applyFill="1" applyBorder="1"/>
    <xf numFmtId="0" fontId="0" fillId="7" borderId="6" xfId="0" applyFill="1" applyBorder="1"/>
    <xf numFmtId="0" fontId="0" fillId="7" borderId="5" xfId="0" applyFill="1" applyBorder="1"/>
    <xf numFmtId="0" fontId="0" fillId="0" borderId="7" xfId="0" applyBorder="1"/>
    <xf numFmtId="44" fontId="0" fillId="0" borderId="8" xfId="1" applyFont="1" applyBorder="1"/>
    <xf numFmtId="0" fontId="0" fillId="11" borderId="12" xfId="0" applyFill="1" applyBorder="1"/>
    <xf numFmtId="0" fontId="0" fillId="11" borderId="13" xfId="0" applyFill="1" applyBorder="1"/>
    <xf numFmtId="0" fontId="0" fillId="11" borderId="14" xfId="0" applyFill="1" applyBorder="1"/>
    <xf numFmtId="0" fontId="0" fillId="0" borderId="9" xfId="0" applyBorder="1"/>
    <xf numFmtId="44" fontId="0" fillId="0" borderId="10" xfId="1" applyFont="1" applyBorder="1"/>
    <xf numFmtId="0" fontId="0" fillId="11" borderId="6" xfId="0" applyFill="1" applyBorder="1"/>
    <xf numFmtId="0" fontId="0" fillId="11" borderId="7" xfId="0" applyFill="1" applyBorder="1"/>
    <xf numFmtId="0" fontId="0" fillId="11" borderId="9" xfId="0" applyFill="1" applyBorder="1"/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17" xfId="0" applyFill="1" applyBorder="1" applyAlignment="1">
      <alignment horizontal="center" wrapText="1"/>
    </xf>
    <xf numFmtId="0" fontId="0" fillId="7" borderId="18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4" fillId="0" borderId="0" xfId="0" applyFont="1"/>
    <xf numFmtId="0" fontId="4" fillId="12" borderId="0" xfId="0" applyFont="1" applyFill="1"/>
    <xf numFmtId="166" fontId="4" fillId="12" borderId="0" xfId="0" applyNumberFormat="1" applyFont="1" applyFill="1"/>
    <xf numFmtId="0" fontId="0" fillId="0" borderId="20" xfId="0" applyFill="1" applyBorder="1" applyAlignment="1"/>
    <xf numFmtId="0" fontId="5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166" fontId="0" fillId="0" borderId="20" xfId="0" applyNumberFormat="1" applyFill="1" applyBorder="1" applyAlignment="1"/>
    <xf numFmtId="0" fontId="0" fillId="0" borderId="21" xfId="0" applyNumberFormat="1" applyFill="1" applyBorder="1" applyAlignment="1"/>
    <xf numFmtId="0" fontId="0" fillId="0" borderId="20" xfId="0" applyNumberFormat="1" applyFill="1" applyBorder="1" applyAlignment="1"/>
  </cellXfs>
  <cellStyles count="4">
    <cellStyle name="Вывод" xfId="2" builtinId="21"/>
    <cellStyle name="Денежный" xfId="1" builtinId="4"/>
    <cellStyle name="Контрольная ячейка" xfId="3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78A4-8648-4FC7-B623-624503C15903}">
  <dimension ref="A1:G37"/>
  <sheetViews>
    <sheetView showGridLines="0" tabSelected="1" topLeftCell="A7" workbookViewId="0"/>
  </sheetViews>
  <sheetFormatPr defaultRowHeight="14.4" x14ac:dyDescent="0.3"/>
  <cols>
    <col min="1" max="1" width="2.33203125" customWidth="1"/>
    <col min="2" max="2" width="7.21875" bestFit="1" customWidth="1"/>
    <col min="3" max="3" width="30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12" bestFit="1" customWidth="1"/>
  </cols>
  <sheetData>
    <row r="1" spans="1:5" x14ac:dyDescent="0.3">
      <c r="A1" s="46" t="s">
        <v>17</v>
      </c>
    </row>
    <row r="2" spans="1:5" x14ac:dyDescent="0.3">
      <c r="A2" s="46" t="s">
        <v>18</v>
      </c>
    </row>
    <row r="3" spans="1:5" x14ac:dyDescent="0.3">
      <c r="A3" s="46" t="s">
        <v>68</v>
      </c>
    </row>
    <row r="4" spans="1:5" x14ac:dyDescent="0.3">
      <c r="A4" s="46" t="s">
        <v>19</v>
      </c>
    </row>
    <row r="5" spans="1:5" x14ac:dyDescent="0.3">
      <c r="A5" s="46" t="s">
        <v>20</v>
      </c>
    </row>
    <row r="6" spans="1:5" x14ac:dyDescent="0.3">
      <c r="A6" s="46"/>
      <c r="B6" t="s">
        <v>21</v>
      </c>
    </row>
    <row r="7" spans="1:5" x14ac:dyDescent="0.3">
      <c r="A7" s="46"/>
      <c r="B7" t="s">
        <v>69</v>
      </c>
    </row>
    <row r="8" spans="1:5" x14ac:dyDescent="0.3">
      <c r="A8" s="46"/>
      <c r="B8" t="s">
        <v>70</v>
      </c>
    </row>
    <row r="9" spans="1:5" x14ac:dyDescent="0.3">
      <c r="A9" s="46" t="s">
        <v>22</v>
      </c>
    </row>
    <row r="10" spans="1:5" x14ac:dyDescent="0.3">
      <c r="B10" t="s">
        <v>23</v>
      </c>
    </row>
    <row r="11" spans="1:5" x14ac:dyDescent="0.3">
      <c r="B11" t="s">
        <v>24</v>
      </c>
    </row>
    <row r="12" spans="1:5" x14ac:dyDescent="0.3">
      <c r="B12" t="s">
        <v>25</v>
      </c>
    </row>
    <row r="14" spans="1:5" ht="15" thickBot="1" x14ac:dyDescent="0.35">
      <c r="A14" t="s">
        <v>26</v>
      </c>
    </row>
    <row r="15" spans="1:5" ht="15" thickBot="1" x14ac:dyDescent="0.35">
      <c r="B15" s="50" t="s">
        <v>27</v>
      </c>
      <c r="C15" s="50" t="s">
        <v>28</v>
      </c>
      <c r="D15" s="50" t="s">
        <v>29</v>
      </c>
      <c r="E15" s="50" t="s">
        <v>30</v>
      </c>
    </row>
    <row r="16" spans="1:5" ht="15" thickBot="1" x14ac:dyDescent="0.35">
      <c r="B16" s="49" t="s">
        <v>37</v>
      </c>
      <c r="C16" s="49" t="s">
        <v>16</v>
      </c>
      <c r="D16" s="52">
        <v>68175.238100000002</v>
      </c>
      <c r="E16" s="52">
        <v>119095.2384</v>
      </c>
    </row>
    <row r="19" spans="1:7" ht="15" thickBot="1" x14ac:dyDescent="0.35">
      <c r="A19" t="s">
        <v>31</v>
      </c>
    </row>
    <row r="20" spans="1:7" ht="15" thickBot="1" x14ac:dyDescent="0.35">
      <c r="B20" s="50" t="s">
        <v>27</v>
      </c>
      <c r="C20" s="50" t="s">
        <v>28</v>
      </c>
      <c r="D20" s="50" t="s">
        <v>29</v>
      </c>
      <c r="E20" s="50" t="s">
        <v>30</v>
      </c>
      <c r="F20" s="50" t="s">
        <v>32</v>
      </c>
    </row>
    <row r="21" spans="1:7" x14ac:dyDescent="0.3">
      <c r="B21" s="51" t="s">
        <v>38</v>
      </c>
      <c r="C21" s="51" t="s">
        <v>2</v>
      </c>
      <c r="D21" s="53">
        <v>21</v>
      </c>
      <c r="E21" s="53">
        <v>101.71428742742117</v>
      </c>
      <c r="F21" s="51" t="s">
        <v>39</v>
      </c>
    </row>
    <row r="22" spans="1:7" x14ac:dyDescent="0.3">
      <c r="B22" s="51" t="s">
        <v>40</v>
      </c>
      <c r="C22" s="51" t="s">
        <v>3</v>
      </c>
      <c r="D22" s="53">
        <v>2</v>
      </c>
      <c r="E22" s="53">
        <v>72.857143110238525</v>
      </c>
      <c r="F22" s="51" t="s">
        <v>39</v>
      </c>
    </row>
    <row r="23" spans="1:7" x14ac:dyDescent="0.3">
      <c r="B23" s="51" t="s">
        <v>41</v>
      </c>
      <c r="C23" s="51" t="s">
        <v>3</v>
      </c>
      <c r="D23" s="53">
        <v>45</v>
      </c>
      <c r="E23" s="53">
        <v>47.142856889761468</v>
      </c>
      <c r="F23" s="51" t="s">
        <v>39</v>
      </c>
    </row>
    <row r="24" spans="1:7" x14ac:dyDescent="0.3">
      <c r="B24" s="51" t="s">
        <v>42</v>
      </c>
      <c r="C24" s="51" t="s">
        <v>5</v>
      </c>
      <c r="D24" s="53">
        <v>74</v>
      </c>
      <c r="E24" s="53">
        <v>120</v>
      </c>
      <c r="F24" s="51" t="s">
        <v>39</v>
      </c>
    </row>
    <row r="25" spans="1:7" x14ac:dyDescent="0.3">
      <c r="B25" s="51" t="s">
        <v>43</v>
      </c>
      <c r="C25" s="51" t="s">
        <v>44</v>
      </c>
      <c r="D25" s="53">
        <v>120</v>
      </c>
      <c r="E25" s="53">
        <v>120</v>
      </c>
      <c r="F25" s="51" t="s">
        <v>39</v>
      </c>
    </row>
    <row r="26" spans="1:7" ht="15" thickBot="1" x14ac:dyDescent="0.35">
      <c r="B26" s="49" t="s">
        <v>45</v>
      </c>
      <c r="C26" s="49" t="s">
        <v>46</v>
      </c>
      <c r="D26" s="54">
        <v>18.285714285714292</v>
      </c>
      <c r="E26" s="54">
        <v>18.285713572578821</v>
      </c>
      <c r="F26" s="49" t="s">
        <v>39</v>
      </c>
    </row>
    <row r="29" spans="1:7" ht="15" thickBot="1" x14ac:dyDescent="0.35">
      <c r="A29" t="s">
        <v>8</v>
      </c>
    </row>
    <row r="30" spans="1:7" ht="15" thickBot="1" x14ac:dyDescent="0.35">
      <c r="B30" s="50" t="s">
        <v>27</v>
      </c>
      <c r="C30" s="50" t="s">
        <v>28</v>
      </c>
      <c r="D30" s="50" t="s">
        <v>33</v>
      </c>
      <c r="E30" s="50" t="s">
        <v>34</v>
      </c>
      <c r="F30" s="50" t="s">
        <v>35</v>
      </c>
      <c r="G30" s="50" t="s">
        <v>36</v>
      </c>
    </row>
    <row r="31" spans="1:7" x14ac:dyDescent="0.3">
      <c r="B31" s="51" t="s">
        <v>47</v>
      </c>
      <c r="C31" s="51" t="s">
        <v>48</v>
      </c>
      <c r="D31" s="53">
        <v>120.000001</v>
      </c>
      <c r="E31" s="51" t="s">
        <v>49</v>
      </c>
      <c r="F31" s="51" t="s">
        <v>50</v>
      </c>
      <c r="G31" s="51">
        <v>0</v>
      </c>
    </row>
    <row r="32" spans="1:7" x14ac:dyDescent="0.3">
      <c r="B32" s="51" t="s">
        <v>51</v>
      </c>
      <c r="C32" s="51" t="s">
        <v>52</v>
      </c>
      <c r="D32" s="53">
        <v>120</v>
      </c>
      <c r="E32" s="51" t="s">
        <v>53</v>
      </c>
      <c r="F32" s="51" t="s">
        <v>50</v>
      </c>
      <c r="G32" s="51">
        <v>0</v>
      </c>
    </row>
    <row r="33" spans="2:7" x14ac:dyDescent="0.3">
      <c r="B33" s="51" t="s">
        <v>54</v>
      </c>
      <c r="C33" s="51" t="s">
        <v>55</v>
      </c>
      <c r="D33" s="53">
        <v>120</v>
      </c>
      <c r="E33" s="51" t="s">
        <v>56</v>
      </c>
      <c r="F33" s="51" t="s">
        <v>50</v>
      </c>
      <c r="G33" s="51">
        <v>0</v>
      </c>
    </row>
    <row r="34" spans="2:7" x14ac:dyDescent="0.3">
      <c r="B34" s="51" t="s">
        <v>57</v>
      </c>
      <c r="C34" s="51" t="s">
        <v>58</v>
      </c>
      <c r="D34" s="53">
        <v>120</v>
      </c>
      <c r="E34" s="51" t="s">
        <v>59</v>
      </c>
      <c r="F34" s="51" t="s">
        <v>50</v>
      </c>
      <c r="G34" s="51">
        <v>0</v>
      </c>
    </row>
    <row r="35" spans="2:7" x14ac:dyDescent="0.3">
      <c r="B35" s="51" t="s">
        <v>60</v>
      </c>
      <c r="C35" s="51" t="s">
        <v>61</v>
      </c>
      <c r="D35" s="53">
        <v>80.000000957805995</v>
      </c>
      <c r="E35" s="51" t="s">
        <v>62</v>
      </c>
      <c r="F35" s="51" t="s">
        <v>50</v>
      </c>
      <c r="G35" s="51">
        <v>0</v>
      </c>
    </row>
    <row r="36" spans="2:7" x14ac:dyDescent="0.3">
      <c r="B36" s="51" t="s">
        <v>63</v>
      </c>
      <c r="C36" s="51" t="s">
        <v>11</v>
      </c>
      <c r="D36" s="53">
        <v>49.999999915634774</v>
      </c>
      <c r="E36" s="51" t="s">
        <v>64</v>
      </c>
      <c r="F36" s="51" t="s">
        <v>50</v>
      </c>
      <c r="G36" s="51">
        <v>0</v>
      </c>
    </row>
    <row r="37" spans="2:7" ht="15" thickBot="1" x14ac:dyDescent="0.35">
      <c r="B37" s="49" t="s">
        <v>65</v>
      </c>
      <c r="C37" s="49" t="s">
        <v>11</v>
      </c>
      <c r="D37" s="54">
        <v>36.095237857526271</v>
      </c>
      <c r="E37" s="49" t="s">
        <v>66</v>
      </c>
      <c r="F37" s="49" t="s">
        <v>67</v>
      </c>
      <c r="G37" s="49">
        <v>13.904762142473729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4EC1-B484-41ED-918A-44B380D68EC1}">
  <dimension ref="A1:N12"/>
  <sheetViews>
    <sheetView workbookViewId="0">
      <selection activeCell="N4" sqref="N4"/>
    </sheetView>
  </sheetViews>
  <sheetFormatPr defaultRowHeight="14.4" x14ac:dyDescent="0.3"/>
  <cols>
    <col min="5" max="5" width="11" bestFit="1" customWidth="1"/>
    <col min="13" max="13" width="13" customWidth="1"/>
    <col min="14" max="14" width="17.44140625" customWidth="1"/>
  </cols>
  <sheetData>
    <row r="1" spans="1:14" ht="15" thickBot="1" x14ac:dyDescent="0.35">
      <c r="A1" s="33" t="s">
        <v>0</v>
      </c>
      <c r="B1" s="34"/>
      <c r="C1" s="34"/>
      <c r="D1" s="34"/>
      <c r="E1" s="35"/>
    </row>
    <row r="2" spans="1:14" ht="15.6" thickTop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G2" s="36" t="s">
        <v>6</v>
      </c>
      <c r="H2" s="37"/>
      <c r="I2" s="37"/>
      <c r="J2" s="37"/>
      <c r="K2" s="38"/>
      <c r="M2" s="4" t="s">
        <v>7</v>
      </c>
      <c r="N2" s="5">
        <f>(H10+I10)*E7+(I11+K11)*E8+(H12+J12)*E9</f>
        <v>119095.23837315421</v>
      </c>
    </row>
    <row r="3" spans="1:14" ht="15" thickTop="1" x14ac:dyDescent="0.3">
      <c r="A3" s="6">
        <v>1</v>
      </c>
      <c r="B3" s="7">
        <v>2</v>
      </c>
      <c r="C3" s="7">
        <v>2.5</v>
      </c>
      <c r="D3" s="8"/>
      <c r="E3" s="9"/>
      <c r="G3" s="1" t="s">
        <v>1</v>
      </c>
      <c r="H3" s="2" t="s">
        <v>2</v>
      </c>
      <c r="I3" s="2" t="s">
        <v>3</v>
      </c>
      <c r="J3" s="2" t="s">
        <v>4</v>
      </c>
      <c r="K3" s="3" t="s">
        <v>5</v>
      </c>
    </row>
    <row r="4" spans="1:14" x14ac:dyDescent="0.3">
      <c r="A4" s="6">
        <v>2</v>
      </c>
      <c r="B4" s="8"/>
      <c r="C4" s="7">
        <v>3</v>
      </c>
      <c r="D4" s="8"/>
      <c r="E4" s="10">
        <v>3.5</v>
      </c>
      <c r="G4" s="6">
        <v>1</v>
      </c>
      <c r="H4" s="7">
        <v>101.71428742742117</v>
      </c>
      <c r="I4" s="7">
        <v>72.857143110238525</v>
      </c>
      <c r="J4" s="8">
        <v>0</v>
      </c>
      <c r="K4" s="9">
        <v>0</v>
      </c>
      <c r="M4" s="47" t="s">
        <v>16</v>
      </c>
      <c r="N4" s="48">
        <f>L10*E7+L11*E8+L12*E9</f>
        <v>119095.23837315421</v>
      </c>
    </row>
    <row r="5" spans="1:14" x14ac:dyDescent="0.3">
      <c r="A5" s="11">
        <v>3</v>
      </c>
      <c r="B5" s="12">
        <v>3</v>
      </c>
      <c r="C5" s="13"/>
      <c r="D5" s="12">
        <v>4</v>
      </c>
      <c r="E5" s="14"/>
      <c r="G5" s="6">
        <v>2</v>
      </c>
      <c r="H5" s="8">
        <v>0</v>
      </c>
      <c r="I5" s="7">
        <v>47.142856889761468</v>
      </c>
      <c r="J5" s="8">
        <v>0</v>
      </c>
      <c r="K5" s="10">
        <v>120</v>
      </c>
    </row>
    <row r="6" spans="1:14" x14ac:dyDescent="0.3">
      <c r="A6" s="39" t="s">
        <v>8</v>
      </c>
      <c r="B6" s="40"/>
      <c r="D6" s="15" t="s">
        <v>1</v>
      </c>
      <c r="E6" s="16" t="s">
        <v>9</v>
      </c>
      <c r="G6" s="11">
        <v>3</v>
      </c>
      <c r="H6" s="12">
        <v>18.285713572578821</v>
      </c>
      <c r="I6" s="13">
        <v>0</v>
      </c>
      <c r="J6" s="12">
        <v>120</v>
      </c>
      <c r="K6" s="14">
        <v>0</v>
      </c>
    </row>
    <row r="7" spans="1:14" ht="15" thickBot="1" x14ac:dyDescent="0.35">
      <c r="A7" s="41" t="s">
        <v>10</v>
      </c>
      <c r="B7" s="42"/>
      <c r="D7" s="17">
        <v>1</v>
      </c>
      <c r="E7" s="18">
        <v>600</v>
      </c>
      <c r="G7" s="19" t="s">
        <v>11</v>
      </c>
      <c r="H7" s="20">
        <f>SUM(H4:H6)</f>
        <v>120.000001</v>
      </c>
      <c r="I7" s="20">
        <f t="shared" ref="I7:K7" si="0">SUM(I4:I6)</f>
        <v>120</v>
      </c>
      <c r="J7" s="20">
        <f t="shared" si="0"/>
        <v>120</v>
      </c>
      <c r="K7" s="21">
        <f t="shared" si="0"/>
        <v>120</v>
      </c>
    </row>
    <row r="8" spans="1:14" x14ac:dyDescent="0.3">
      <c r="A8" s="41" t="s">
        <v>12</v>
      </c>
      <c r="B8" s="42"/>
      <c r="D8" s="17">
        <v>2</v>
      </c>
      <c r="E8" s="18">
        <v>700</v>
      </c>
      <c r="G8" s="43" t="s">
        <v>13</v>
      </c>
      <c r="H8" s="44"/>
      <c r="I8" s="44"/>
      <c r="J8" s="44"/>
      <c r="K8" s="45"/>
    </row>
    <row r="9" spans="1:14" x14ac:dyDescent="0.3">
      <c r="A9" s="27" t="s">
        <v>14</v>
      </c>
      <c r="B9" s="28"/>
      <c r="D9" s="22">
        <v>3</v>
      </c>
      <c r="E9" s="23">
        <v>1000</v>
      </c>
      <c r="G9" s="1" t="s">
        <v>1</v>
      </c>
      <c r="H9" s="2" t="s">
        <v>2</v>
      </c>
      <c r="I9" s="2" t="s">
        <v>3</v>
      </c>
      <c r="J9" s="2" t="s">
        <v>4</v>
      </c>
      <c r="K9" s="3" t="s">
        <v>5</v>
      </c>
      <c r="L9" s="24" t="s">
        <v>11</v>
      </c>
    </row>
    <row r="10" spans="1:14" x14ac:dyDescent="0.3">
      <c r="A10" s="29" t="s">
        <v>15</v>
      </c>
      <c r="B10" s="30"/>
      <c r="G10" s="6">
        <v>1</v>
      </c>
      <c r="H10" s="7">
        <f>H4/B3</f>
        <v>50.857143713710585</v>
      </c>
      <c r="I10" s="7">
        <f>I4/C3</f>
        <v>29.14285724409541</v>
      </c>
      <c r="J10" s="8">
        <v>0</v>
      </c>
      <c r="K10" s="9">
        <v>0</v>
      </c>
      <c r="L10" s="25">
        <f>SUM(H10:K10)</f>
        <v>80.000000957805995</v>
      </c>
    </row>
    <row r="11" spans="1:14" x14ac:dyDescent="0.3">
      <c r="A11" s="31"/>
      <c r="B11" s="32"/>
      <c r="G11" s="6">
        <v>2</v>
      </c>
      <c r="H11" s="8">
        <v>0</v>
      </c>
      <c r="I11" s="7">
        <f>I5/C4</f>
        <v>15.714285629920489</v>
      </c>
      <c r="J11" s="8">
        <v>0</v>
      </c>
      <c r="K11" s="7">
        <f>K5/E4</f>
        <v>34.285714285714285</v>
      </c>
      <c r="L11" s="25">
        <f t="shared" ref="L11:L12" si="1">SUM(H11:K11)</f>
        <v>49.999999915634774</v>
      </c>
    </row>
    <row r="12" spans="1:14" x14ac:dyDescent="0.3">
      <c r="G12" s="11">
        <v>3</v>
      </c>
      <c r="H12" s="12">
        <f>H6/B5</f>
        <v>6.095237857526274</v>
      </c>
      <c r="I12" s="13">
        <v>0</v>
      </c>
      <c r="J12" s="12">
        <f>J6/D5</f>
        <v>30</v>
      </c>
      <c r="K12" s="14">
        <v>0</v>
      </c>
      <c r="L12" s="26">
        <f t="shared" si="1"/>
        <v>36.095237857526271</v>
      </c>
    </row>
  </sheetData>
  <scenarios current="0">
    <scenario name="Макисимальная прибыль" count="6" user="Alex Semyonov" comment="Автор: Alex Semyonov , 8/16/2022">
      <inputCells r="H4" val="101.714285714286"/>
      <inputCells r="I4" val="72.8571428571429"/>
      <inputCells r="I5" val="47.1428571428571"/>
      <inputCells r="H6" val="18.2857142857143"/>
      <inputCells r="J6" val="120"/>
      <inputCells r="K5" val="120"/>
    </scenario>
  </scenarios>
  <mergeCells count="8">
    <mergeCell ref="A9:B9"/>
    <mergeCell ref="A10:B11"/>
    <mergeCell ref="A1:E1"/>
    <mergeCell ref="G2:K2"/>
    <mergeCell ref="A6:B6"/>
    <mergeCell ref="A7:B7"/>
    <mergeCell ref="A8:B8"/>
    <mergeCell ref="G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 результатах 1</vt:lpstr>
      <vt:lpstr>Заготовка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Semyonov</dc:creator>
  <cp:lastModifiedBy>Андрей</cp:lastModifiedBy>
  <dcterms:created xsi:type="dcterms:W3CDTF">2022-08-16T12:40:17Z</dcterms:created>
  <dcterms:modified xsi:type="dcterms:W3CDTF">2023-06-06T03:10:36Z</dcterms:modified>
</cp:coreProperties>
</file>