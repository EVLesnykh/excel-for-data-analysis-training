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1. Семинар №6\"/>
    </mc:Choice>
  </mc:AlternateContent>
  <xr:revisionPtr revIDLastSave="0" documentId="13_ncr:1_{EF5AEEA1-08AF-46F3-9794-A46C273B5B8C}" xr6:coauthVersionLast="47" xr6:coauthVersionMax="47" xr10:uidLastSave="{00000000-0000-0000-0000-000000000000}"/>
  <bookViews>
    <workbookView xWindow="-108" yWindow="-108" windowWidth="23256" windowHeight="12576" xr2:uid="{F66099A6-2A11-4B1B-92C4-0977C82A7404}"/>
  </bookViews>
  <sheets>
    <sheet name="Лист1" sheetId="1" r:id="rId1"/>
    <sheet name="Структура сценария" sheetId="3" r:id="rId2"/>
    <sheet name="Сводная таблица по сценарию" sheetId="4" r:id="rId3"/>
    <sheet name="Лист2" sheetId="2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8" i="2"/>
  <c r="F6" i="1"/>
  <c r="G5" i="1"/>
  <c r="F7" i="1" l="1"/>
  <c r="F8" i="1" s="1"/>
  <c r="F9" i="1" s="1"/>
  <c r="F10" i="1" s="1"/>
  <c r="F11" i="1" s="1"/>
  <c r="F12" i="1" s="1"/>
  <c r="F13" i="1" s="1"/>
  <c r="F14" i="1" s="1"/>
  <c r="F15" i="1" s="1"/>
  <c r="H5" i="1"/>
  <c r="I5" i="1" s="1"/>
  <c r="J5" i="1" s="1"/>
  <c r="K5" i="1" s="1"/>
  <c r="L5" i="1" s="1"/>
  <c r="M5" i="1" s="1"/>
  <c r="N5" i="1" s="1"/>
  <c r="O5" i="1" s="1"/>
  <c r="P5" i="1" s="1"/>
  <c r="F5" i="1"/>
</calcChain>
</file>

<file path=xl/sharedStrings.xml><?xml version="1.0" encoding="utf-8"?>
<sst xmlns="http://schemas.openxmlformats.org/spreadsheetml/2006/main" count="53" uniqueCount="35">
  <si>
    <t>Период (дней)</t>
  </si>
  <si>
    <t>Средний чек (Обед)</t>
  </si>
  <si>
    <t>Коэффициент прибыльности (Обед)</t>
  </si>
  <si>
    <t>Количество столиков</t>
  </si>
  <si>
    <t>Процент занятых мест (Обед)</t>
  </si>
  <si>
    <t>Обед</t>
  </si>
  <si>
    <t>Ужин</t>
  </si>
  <si>
    <t>Средний чек (Ужин)</t>
  </si>
  <si>
    <t>Коэффициент прибыльности (Ужин)</t>
  </si>
  <si>
    <t>Процент занятых мест (Ужин)</t>
  </si>
  <si>
    <t>Постоянные затраты</t>
  </si>
  <si>
    <t>Прибыль</t>
  </si>
  <si>
    <t>Таблица данных</t>
  </si>
  <si>
    <t>Процент занятых мест в Обед</t>
  </si>
  <si>
    <t>Процент занятых мест в Ужин</t>
  </si>
  <si>
    <t>$B$8</t>
  </si>
  <si>
    <t>$B$10</t>
  </si>
  <si>
    <t>$B$13</t>
  </si>
  <si>
    <t>$B$15</t>
  </si>
  <si>
    <t>$B$18</t>
  </si>
  <si>
    <t>Минимальный сред.чек</t>
  </si>
  <si>
    <t xml:space="preserve">
Автор изменений: Андрей , 06.06.2023</t>
  </si>
  <si>
    <t>Средний чек</t>
  </si>
  <si>
    <t>Максимальный средний чек</t>
  </si>
  <si>
    <t>Автор: Андрей , 06.06.2023</t>
  </si>
  <si>
    <t>Структура сценария</t>
  </si>
  <si>
    <t>Изменяемые:</t>
  </si>
  <si>
    <t>Текущие значения:</t>
  </si>
  <si>
    <t>Результат:</t>
  </si>
  <si>
    <t xml:space="preserve">Примечания: столбец ''Текущие значения'' представляет значения изменяемых ячеек в </t>
  </si>
  <si>
    <t>момент создания Итогового отчета по Сценарию. Изменяемые ячейки для каждого</t>
  </si>
  <si>
    <t>сценария выделены серым цветом.</t>
  </si>
  <si>
    <t>Названия строк</t>
  </si>
  <si>
    <t>$B$8;$B$10;$B$13;$B$15 на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</si>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</sst>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indexed="9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0"/>
      <color indexed="9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69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0" fillId="0" borderId="4" xfId="0" applyNumberFormat="1" applyBorder="1"/>
    <xf numFmtId="10" fontId="0" fillId="0" borderId="5" xfId="0" applyNumberFormat="1" applyBorder="1"/>
    <xf numFmtId="0" fontId="0" fillId="5" borderId="11" xfId="0" applyFill="1" applyBorder="1"/>
    <xf numFmtId="0" fontId="0" fillId="5" borderId="9" xfId="0" applyFill="1" applyBorder="1"/>
    <xf numFmtId="0" fontId="0" fillId="4" borderId="3" xfId="0" applyFill="1" applyBorder="1"/>
    <xf numFmtId="0" fontId="0" fillId="4" borderId="5" xfId="0" applyFill="1" applyBorder="1"/>
    <xf numFmtId="164" fontId="0" fillId="4" borderId="3" xfId="0" applyNumberFormat="1" applyFill="1" applyBorder="1"/>
    <xf numFmtId="0" fontId="0" fillId="8" borderId="4" xfId="0" applyFill="1" applyBorder="1"/>
    <xf numFmtId="0" fontId="0" fillId="8" borderId="5" xfId="0" applyFill="1" applyBorder="1"/>
    <xf numFmtId="164" fontId="0" fillId="9" borderId="4" xfId="0" applyNumberFormat="1" applyFill="1" applyBorder="1"/>
    <xf numFmtId="10" fontId="0" fillId="9" borderId="4" xfId="0" applyNumberFormat="1" applyFill="1" applyBorder="1"/>
    <xf numFmtId="10" fontId="0" fillId="9" borderId="5" xfId="0" applyNumberFormat="1" applyFill="1" applyBorder="1"/>
    <xf numFmtId="0" fontId="0" fillId="10" borderId="4" xfId="0" applyFill="1" applyBorder="1"/>
    <xf numFmtId="0" fontId="0" fillId="10" borderId="5" xfId="0" applyFill="1" applyBorder="1"/>
    <xf numFmtId="164" fontId="0" fillId="11" borderId="4" xfId="0" applyNumberFormat="1" applyFill="1" applyBorder="1"/>
    <xf numFmtId="10" fontId="0" fillId="11" borderId="4" xfId="0" applyNumberFormat="1" applyFill="1" applyBorder="1"/>
    <xf numFmtId="10" fontId="0" fillId="11" borderId="5" xfId="0" applyNumberFormat="1" applyFill="1" applyBorder="1"/>
    <xf numFmtId="0" fontId="1" fillId="2" borderId="1" xfId="1"/>
    <xf numFmtId="0" fontId="2" fillId="3" borderId="2" xfId="2"/>
    <xf numFmtId="164" fontId="2" fillId="3" borderId="2" xfId="2" applyNumberFormat="1"/>
    <xf numFmtId="10" fontId="0" fillId="0" borderId="0" xfId="0" applyNumberFormat="1"/>
    <xf numFmtId="10" fontId="0" fillId="0" borderId="11" xfId="0" applyNumberFormat="1" applyBorder="1"/>
    <xf numFmtId="10" fontId="0" fillId="0" borderId="13" xfId="0" applyNumberFormat="1" applyBorder="1"/>
    <xf numFmtId="10" fontId="0" fillId="0" borderId="12" xfId="0" applyNumberFormat="1" applyBorder="1"/>
    <xf numFmtId="10" fontId="0" fillId="0" borderId="6" xfId="0" applyNumberFormat="1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164" fontId="2" fillId="3" borderId="18" xfId="2" applyNumberFormat="1" applyBorder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0" fontId="0" fillId="0" borderId="0" xfId="0" applyNumberFormat="1" applyFill="1" applyBorder="1" applyAlignment="1"/>
    <xf numFmtId="164" fontId="0" fillId="0" borderId="20" xfId="0" applyNumberFormat="1" applyFill="1" applyBorder="1" applyAlignment="1"/>
    <xf numFmtId="0" fontId="3" fillId="13" borderId="17" xfId="0" applyFont="1" applyFill="1" applyBorder="1" applyAlignment="1">
      <alignment horizontal="left"/>
    </xf>
    <xf numFmtId="0" fontId="3" fillId="13" borderId="19" xfId="0" applyFont="1" applyFill="1" applyBorder="1" applyAlignment="1">
      <alignment horizontal="left"/>
    </xf>
    <xf numFmtId="0" fontId="0" fillId="0" borderId="13" xfId="0" applyFill="1" applyBorder="1" applyAlignment="1"/>
    <xf numFmtId="0" fontId="4" fillId="14" borderId="0" xfId="0" applyFont="1" applyFill="1" applyBorder="1" applyAlignment="1">
      <alignment horizontal="left"/>
    </xf>
    <xf numFmtId="0" fontId="5" fillId="14" borderId="13" xfId="0" applyFont="1" applyFill="1" applyBorder="1" applyAlignment="1">
      <alignment horizontal="left"/>
    </xf>
    <xf numFmtId="0" fontId="4" fillId="14" borderId="20" xfId="0" applyFont="1" applyFill="1" applyBorder="1" applyAlignment="1">
      <alignment horizontal="left"/>
    </xf>
    <xf numFmtId="0" fontId="6" fillId="13" borderId="19" xfId="0" applyFont="1" applyFill="1" applyBorder="1" applyAlignment="1">
      <alignment horizontal="right"/>
    </xf>
    <xf numFmtId="0" fontId="6" fillId="13" borderId="17" xfId="0" applyFont="1" applyFill="1" applyBorder="1" applyAlignment="1">
      <alignment horizontal="right"/>
    </xf>
    <xf numFmtId="164" fontId="0" fillId="15" borderId="0" xfId="0" applyNumberFormat="1" applyFill="1" applyBorder="1" applyAlignment="1"/>
    <xf numFmtId="10" fontId="0" fillId="15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0" borderId="6" xfId="0" applyFill="1" applyBorder="1" applyAlignment="1">
      <alignment horizontal="center" textRotation="90"/>
    </xf>
    <xf numFmtId="0" fontId="0" fillId="10" borderId="4" xfId="0" applyFill="1" applyBorder="1" applyAlignment="1">
      <alignment horizontal="center" textRotation="90"/>
    </xf>
    <xf numFmtId="0" fontId="0" fillId="10" borderId="5" xfId="0" applyFill="1" applyBorder="1" applyAlignment="1">
      <alignment horizontal="center" textRotation="90"/>
    </xf>
    <xf numFmtId="0" fontId="0" fillId="12" borderId="1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10" fontId="1" fillId="2" borderId="7" xfId="1" applyNumberFormat="1" applyBorder="1" applyAlignment="1">
      <alignment horizontal="center"/>
    </xf>
    <xf numFmtId="10" fontId="1" fillId="2" borderId="8" xfId="1" applyNumberFormat="1" applyBorder="1" applyAlignment="1">
      <alignment horizontal="center"/>
    </xf>
  </cellXfs>
  <cellStyles count="3">
    <cellStyle name="Вывод" xfId="1" builtinId="21"/>
    <cellStyle name="Контрольная ячейка" xfId="2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ндрей" refreshedDate="45083.499584027777" createdVersion="7" refreshedVersion="7" minRefreshableVersion="3" recordCount="3" xr:uid="{024F9700-D221-4744-9913-B5065181B724}">
  <cacheSource type="scenario"/>
  <cacheFields count="3">
    <cacheField name="$B$8;$B$10;$B$13;$B$15" numFmtId="0">
      <sharedItems containsNonDate="0" count="3">
        <s v="Минимальный сред.чек"/>
        <s v="Средний чек"/>
        <s v="Максимальный средний чек"/>
      </sharedItems>
    </cacheField>
    <cacheField name="$B$8;$B$10;$B$13;$B$15 на" numFmtId="0">
      <sharedItems containsNonDate="0" count="1">
        <s v="Андрей"/>
      </sharedItems>
    </cacheField>
    <cacheField name="рез $B$18" numFmtId="0">
      <sharedItems containsSemiMixedTypes="0" containsNonDate="0" containsString="0" containsNumber="1" containsInteger="1" minValue="5640" maxValue="146400" count="3">
        <n v="5640"/>
        <n v="86640"/>
        <n v="146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D1734-EF84-4F43-BDF6-A02E44F9932D}" name="Сводная таблица1" cacheId="1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fieldListSortAscending="1">
  <location ref="A3:B6" firstHeaderRow="1" firstDataRow="1" firstDataCol="1" rowPageCount="1" colPageCount="1"/>
  <pivotFields count="3">
    <pivotField axis="axisRow" showAll="0" defaultSubtotal="0">
      <items count="3">
        <item x="2"/>
        <item x="0"/>
        <item x="1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$B$18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D420-E551-4AA3-8BB9-639A06417EC8}">
  <dimension ref="A1:P29"/>
  <sheetViews>
    <sheetView tabSelected="1" workbookViewId="0">
      <selection activeCell="J21" sqref="J21"/>
    </sheetView>
  </sheetViews>
  <sheetFormatPr defaultRowHeight="14.4" x14ac:dyDescent="0.3"/>
  <cols>
    <col min="1" max="1" width="35.44140625" customWidth="1"/>
    <col min="2" max="2" width="23.88671875" customWidth="1"/>
    <col min="4" max="4" width="11.33203125" customWidth="1"/>
    <col min="5" max="5" width="4" customWidth="1"/>
    <col min="6" max="6" width="16.6640625" customWidth="1"/>
    <col min="7" max="16" width="14.6640625" customWidth="1"/>
  </cols>
  <sheetData>
    <row r="1" spans="1:16" x14ac:dyDescent="0.3">
      <c r="A1" s="7" t="s">
        <v>0</v>
      </c>
      <c r="B1" s="9">
        <v>30</v>
      </c>
    </row>
    <row r="2" spans="1:16" x14ac:dyDescent="0.3">
      <c r="A2" s="8" t="s">
        <v>3</v>
      </c>
      <c r="B2" s="10">
        <v>6</v>
      </c>
    </row>
    <row r="3" spans="1:16" x14ac:dyDescent="0.3">
      <c r="A3" s="7" t="s">
        <v>10</v>
      </c>
      <c r="B3" s="11">
        <v>30000</v>
      </c>
      <c r="E3" s="64" t="s">
        <v>12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6"/>
    </row>
    <row r="4" spans="1:16" ht="15" thickBot="1" x14ac:dyDescent="0.35">
      <c r="E4" s="67" t="s">
        <v>11</v>
      </c>
      <c r="F4" s="68"/>
      <c r="G4" s="58" t="s">
        <v>13</v>
      </c>
      <c r="H4" s="59"/>
      <c r="I4" s="59"/>
      <c r="J4" s="59"/>
      <c r="K4" s="59"/>
      <c r="L4" s="59"/>
      <c r="M4" s="59"/>
      <c r="N4" s="59"/>
      <c r="O4" s="59"/>
      <c r="P4" s="60"/>
    </row>
    <row r="5" spans="1:16" ht="15.6" thickTop="1" thickBot="1" x14ac:dyDescent="0.35">
      <c r="E5" s="23"/>
      <c r="F5" s="35">
        <f>B18</f>
        <v>-10560</v>
      </c>
      <c r="G5" s="26">
        <f>0.1</f>
        <v>0.1</v>
      </c>
      <c r="H5" s="27">
        <f>G5+0.1</f>
        <v>0.2</v>
      </c>
      <c r="I5" s="27">
        <f t="shared" ref="I5:O5" si="0">H5+0.1</f>
        <v>0.30000000000000004</v>
      </c>
      <c r="J5" s="27">
        <f t="shared" si="0"/>
        <v>0.4</v>
      </c>
      <c r="K5" s="27">
        <f t="shared" si="0"/>
        <v>0.5</v>
      </c>
      <c r="L5" s="27">
        <f t="shared" si="0"/>
        <v>0.6</v>
      </c>
      <c r="M5" s="27">
        <f t="shared" si="0"/>
        <v>0.7</v>
      </c>
      <c r="N5" s="27">
        <f t="shared" si="0"/>
        <v>0.79999999999999993</v>
      </c>
      <c r="O5" s="27">
        <f t="shared" si="0"/>
        <v>0.89999999999999991</v>
      </c>
      <c r="P5" s="28">
        <f>O5+0.1</f>
        <v>0.99999999999999989</v>
      </c>
    </row>
    <row r="6" spans="1:16" ht="15" thickTop="1" x14ac:dyDescent="0.3">
      <c r="E6" s="61" t="s">
        <v>14</v>
      </c>
      <c r="F6" s="29">
        <f>0.1</f>
        <v>0.1</v>
      </c>
      <c r="G6" s="1">
        <f t="dataTable" ref="G6:P15" dt2D="1" dtr="1" r1="B10" r2="B15"/>
        <v>-10560</v>
      </c>
      <c r="H6" s="30">
        <v>-5520</v>
      </c>
      <c r="I6" s="30">
        <v>-480</v>
      </c>
      <c r="J6" s="30">
        <v>4560</v>
      </c>
      <c r="K6" s="30">
        <v>9600</v>
      </c>
      <c r="L6" s="30">
        <v>14640</v>
      </c>
      <c r="M6" s="30">
        <v>19680</v>
      </c>
      <c r="N6" s="30">
        <v>24720</v>
      </c>
      <c r="O6" s="30">
        <v>29760</v>
      </c>
      <c r="P6" s="2">
        <v>34799.999999999993</v>
      </c>
    </row>
    <row r="7" spans="1:16" x14ac:dyDescent="0.3">
      <c r="A7" s="54" t="s">
        <v>5</v>
      </c>
      <c r="B7" s="55"/>
      <c r="E7" s="62"/>
      <c r="F7" s="5">
        <f t="shared" ref="F7:F15" si="1">F6+0.1</f>
        <v>0.2</v>
      </c>
      <c r="G7" s="31">
        <v>3840</v>
      </c>
      <c r="H7" s="32">
        <v>8880</v>
      </c>
      <c r="I7" s="32">
        <v>13920</v>
      </c>
      <c r="J7" s="32">
        <v>18960</v>
      </c>
      <c r="K7" s="32">
        <v>24000</v>
      </c>
      <c r="L7" s="32">
        <v>29040</v>
      </c>
      <c r="M7" s="32">
        <v>34080</v>
      </c>
      <c r="N7" s="32">
        <v>39120</v>
      </c>
      <c r="O7" s="32">
        <v>44160</v>
      </c>
      <c r="P7" s="33">
        <v>49199.999999999985</v>
      </c>
    </row>
    <row r="8" spans="1:16" x14ac:dyDescent="0.3">
      <c r="A8" s="12" t="s">
        <v>1</v>
      </c>
      <c r="B8" s="14">
        <v>700</v>
      </c>
      <c r="E8" s="62"/>
      <c r="F8" s="5">
        <f t="shared" si="1"/>
        <v>0.30000000000000004</v>
      </c>
      <c r="G8" s="31">
        <v>18240</v>
      </c>
      <c r="H8" s="32">
        <v>23280</v>
      </c>
      <c r="I8" s="32">
        <v>28320.000000000007</v>
      </c>
      <c r="J8" s="32">
        <v>33360</v>
      </c>
      <c r="K8" s="32">
        <v>38400</v>
      </c>
      <c r="L8" s="32">
        <v>43440</v>
      </c>
      <c r="M8" s="32">
        <v>48480</v>
      </c>
      <c r="N8" s="32">
        <v>53520</v>
      </c>
      <c r="O8" s="32">
        <v>58560</v>
      </c>
      <c r="P8" s="33">
        <v>63600</v>
      </c>
    </row>
    <row r="9" spans="1:16" x14ac:dyDescent="0.3">
      <c r="A9" s="12" t="s">
        <v>2</v>
      </c>
      <c r="B9" s="15">
        <v>0.4</v>
      </c>
      <c r="E9" s="62"/>
      <c r="F9" s="5">
        <f t="shared" si="1"/>
        <v>0.4</v>
      </c>
      <c r="G9" s="31">
        <v>32640</v>
      </c>
      <c r="H9" s="32">
        <v>37680</v>
      </c>
      <c r="I9" s="32">
        <v>42720</v>
      </c>
      <c r="J9" s="32">
        <v>47760</v>
      </c>
      <c r="K9" s="32">
        <v>52800</v>
      </c>
      <c r="L9" s="32">
        <v>57840</v>
      </c>
      <c r="M9" s="32">
        <v>62880</v>
      </c>
      <c r="N9" s="32">
        <v>67920</v>
      </c>
      <c r="O9" s="32">
        <v>72960</v>
      </c>
      <c r="P9" s="33">
        <v>78000</v>
      </c>
    </row>
    <row r="10" spans="1:16" x14ac:dyDescent="0.3">
      <c r="A10" s="13" t="s">
        <v>4</v>
      </c>
      <c r="B10" s="16">
        <v>0.1</v>
      </c>
      <c r="E10" s="62"/>
      <c r="F10" s="5">
        <f t="shared" si="1"/>
        <v>0.5</v>
      </c>
      <c r="G10" s="31">
        <v>47040</v>
      </c>
      <c r="H10" s="32">
        <v>52080</v>
      </c>
      <c r="I10" s="32">
        <v>57120</v>
      </c>
      <c r="J10" s="32">
        <v>62160</v>
      </c>
      <c r="K10" s="32">
        <v>67200</v>
      </c>
      <c r="L10" s="32">
        <v>72240</v>
      </c>
      <c r="M10" s="32">
        <v>77280</v>
      </c>
      <c r="N10" s="32">
        <v>82320</v>
      </c>
      <c r="O10" s="32">
        <v>87360</v>
      </c>
      <c r="P10" s="33">
        <v>92400</v>
      </c>
    </row>
    <row r="11" spans="1:16" x14ac:dyDescent="0.3">
      <c r="E11" s="62"/>
      <c r="F11" s="5">
        <f t="shared" si="1"/>
        <v>0.6</v>
      </c>
      <c r="G11" s="31">
        <v>61440</v>
      </c>
      <c r="H11" s="32">
        <v>66480</v>
      </c>
      <c r="I11" s="32">
        <v>71520</v>
      </c>
      <c r="J11" s="32">
        <v>76560</v>
      </c>
      <c r="K11" s="32">
        <v>81600</v>
      </c>
      <c r="L11" s="32">
        <v>86640</v>
      </c>
      <c r="M11" s="32">
        <v>91680</v>
      </c>
      <c r="N11" s="32">
        <v>96720</v>
      </c>
      <c r="O11" s="32">
        <v>101760</v>
      </c>
      <c r="P11" s="33">
        <v>106800</v>
      </c>
    </row>
    <row r="12" spans="1:16" x14ac:dyDescent="0.3">
      <c r="A12" s="56" t="s">
        <v>6</v>
      </c>
      <c r="B12" s="57"/>
      <c r="E12" s="62"/>
      <c r="F12" s="5">
        <f t="shared" si="1"/>
        <v>0.7</v>
      </c>
      <c r="G12" s="31">
        <v>75840</v>
      </c>
      <c r="H12" s="32">
        <v>80880</v>
      </c>
      <c r="I12" s="32">
        <v>85920</v>
      </c>
      <c r="J12" s="32">
        <v>90960</v>
      </c>
      <c r="K12" s="32">
        <v>96000</v>
      </c>
      <c r="L12" s="32">
        <v>101040</v>
      </c>
      <c r="M12" s="32">
        <v>106080</v>
      </c>
      <c r="N12" s="32">
        <v>111120</v>
      </c>
      <c r="O12" s="32">
        <v>116160</v>
      </c>
      <c r="P12" s="33">
        <v>121200</v>
      </c>
    </row>
    <row r="13" spans="1:16" x14ac:dyDescent="0.3">
      <c r="A13" s="17" t="s">
        <v>7</v>
      </c>
      <c r="B13" s="19">
        <v>1600</v>
      </c>
      <c r="E13" s="62"/>
      <c r="F13" s="5">
        <f t="shared" si="1"/>
        <v>0.79999999999999993</v>
      </c>
      <c r="G13" s="31">
        <v>90240</v>
      </c>
      <c r="H13" s="32">
        <v>95280</v>
      </c>
      <c r="I13" s="32">
        <v>100320</v>
      </c>
      <c r="J13" s="32">
        <v>105360</v>
      </c>
      <c r="K13" s="32">
        <v>110400</v>
      </c>
      <c r="L13" s="32">
        <v>115440</v>
      </c>
      <c r="M13" s="32">
        <v>120480</v>
      </c>
      <c r="N13" s="32">
        <v>125520</v>
      </c>
      <c r="O13" s="32">
        <v>130560</v>
      </c>
      <c r="P13" s="33">
        <v>135600</v>
      </c>
    </row>
    <row r="14" spans="1:16" x14ac:dyDescent="0.3">
      <c r="A14" s="17" t="s">
        <v>8</v>
      </c>
      <c r="B14" s="20">
        <v>0.5</v>
      </c>
      <c r="E14" s="62"/>
      <c r="F14" s="5">
        <f t="shared" si="1"/>
        <v>0.89999999999999991</v>
      </c>
      <c r="G14" s="31">
        <v>104639.99999999997</v>
      </c>
      <c r="H14" s="32">
        <v>109679.99999999997</v>
      </c>
      <c r="I14" s="32">
        <v>114719.99999999997</v>
      </c>
      <c r="J14" s="32">
        <v>119759.99999999997</v>
      </c>
      <c r="K14" s="32">
        <v>124799.99999999997</v>
      </c>
      <c r="L14" s="32">
        <v>129839.99999999997</v>
      </c>
      <c r="M14" s="32">
        <v>134879.99999999997</v>
      </c>
      <c r="N14" s="32">
        <v>139919.99999999997</v>
      </c>
      <c r="O14" s="32">
        <v>144959.99999999997</v>
      </c>
      <c r="P14" s="33">
        <v>149999.99999999997</v>
      </c>
    </row>
    <row r="15" spans="1:16" x14ac:dyDescent="0.3">
      <c r="A15" s="18" t="s">
        <v>9</v>
      </c>
      <c r="B15" s="21">
        <v>0.1</v>
      </c>
      <c r="E15" s="63"/>
      <c r="F15" s="6">
        <f t="shared" si="1"/>
        <v>0.99999999999999989</v>
      </c>
      <c r="G15" s="3">
        <v>119039.99999999997</v>
      </c>
      <c r="H15" s="34">
        <v>124079.99999999997</v>
      </c>
      <c r="I15" s="34">
        <v>129119.99999999997</v>
      </c>
      <c r="J15" s="34">
        <v>134159.99999999997</v>
      </c>
      <c r="K15" s="34">
        <v>139199.99999999997</v>
      </c>
      <c r="L15" s="34">
        <v>144239.99999999997</v>
      </c>
      <c r="M15" s="34">
        <v>149279.99999999997</v>
      </c>
      <c r="N15" s="34">
        <v>154319.99999999997</v>
      </c>
      <c r="O15" s="34">
        <v>159359.99999999997</v>
      </c>
      <c r="P15" s="4">
        <v>164399.99999999997</v>
      </c>
    </row>
    <row r="17" spans="1:2" ht="15" thickBot="1" x14ac:dyDescent="0.35"/>
    <row r="18" spans="1:2" ht="15.6" thickTop="1" thickBot="1" x14ac:dyDescent="0.35">
      <c r="A18" s="22" t="s">
        <v>11</v>
      </c>
      <c r="B18" s="24">
        <f>B1*B2*(B10*B8*B9+B15*B13*B14)-B3</f>
        <v>-10560</v>
      </c>
    </row>
    <row r="19" spans="1:2" ht="15" thickTop="1" x14ac:dyDescent="0.3"/>
    <row r="28" spans="1:2" x14ac:dyDescent="0.3">
      <c r="B28" s="25"/>
    </row>
    <row r="29" spans="1:2" x14ac:dyDescent="0.3">
      <c r="B29" s="25"/>
    </row>
  </sheetData>
  <mergeCells count="6">
    <mergeCell ref="A7:B7"/>
    <mergeCell ref="A12:B12"/>
    <mergeCell ref="G4:P4"/>
    <mergeCell ref="E6:E15"/>
    <mergeCell ref="E3:P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F44D-A6BF-498F-ADA2-D952400974D9}">
  <sheetPr>
    <outlinePr summaryBelow="0"/>
  </sheetPr>
  <dimension ref="B1:G14"/>
  <sheetViews>
    <sheetView showGridLines="0" workbookViewId="0">
      <selection activeCell="A27" sqref="A27"/>
    </sheetView>
  </sheetViews>
  <sheetFormatPr defaultRowHeight="14.4" outlineLevelRow="1" outlineLevelCol="1" x14ac:dyDescent="0.3"/>
  <cols>
    <col min="3" max="3" width="6.109375" bestFit="1" customWidth="1"/>
    <col min="4" max="7" width="24.109375" bestFit="1" customWidth="1" outlineLevel="1"/>
  </cols>
  <sheetData>
    <row r="1" spans="2:7" ht="15" thickBot="1" x14ac:dyDescent="0.35"/>
    <row r="2" spans="2:7" ht="15.6" x14ac:dyDescent="0.3">
      <c r="B2" s="41" t="s">
        <v>25</v>
      </c>
      <c r="C2" s="41"/>
      <c r="D2" s="46"/>
      <c r="E2" s="46"/>
      <c r="F2" s="46"/>
      <c r="G2" s="46"/>
    </row>
    <row r="3" spans="2:7" ht="15.6" collapsed="1" x14ac:dyDescent="0.3">
      <c r="B3" s="40"/>
      <c r="C3" s="40"/>
      <c r="D3" s="47" t="s">
        <v>27</v>
      </c>
      <c r="E3" s="47" t="s">
        <v>20</v>
      </c>
      <c r="F3" s="47" t="s">
        <v>22</v>
      </c>
      <c r="G3" s="47" t="s">
        <v>23</v>
      </c>
    </row>
    <row r="4" spans="2:7" ht="30.6" hidden="1" outlineLevel="1" x14ac:dyDescent="0.3">
      <c r="B4" s="43"/>
      <c r="C4" s="43"/>
      <c r="D4" s="36"/>
      <c r="E4" s="50" t="s">
        <v>21</v>
      </c>
      <c r="F4" s="50" t="s">
        <v>21</v>
      </c>
      <c r="G4" s="50" t="s">
        <v>24</v>
      </c>
    </row>
    <row r="5" spans="2:7" x14ac:dyDescent="0.3">
      <c r="B5" s="44" t="s">
        <v>26</v>
      </c>
      <c r="C5" s="44"/>
      <c r="D5" s="42"/>
      <c r="E5" s="42"/>
      <c r="F5" s="42"/>
      <c r="G5" s="42"/>
    </row>
    <row r="6" spans="2:7" outlineLevel="1" x14ac:dyDescent="0.3">
      <c r="B6" s="43"/>
      <c r="C6" s="43" t="s">
        <v>15</v>
      </c>
      <c r="D6" s="37">
        <v>700</v>
      </c>
      <c r="E6" s="48">
        <v>400</v>
      </c>
      <c r="F6" s="48">
        <v>700</v>
      </c>
      <c r="G6" s="48">
        <v>1000</v>
      </c>
    </row>
    <row r="7" spans="2:7" outlineLevel="1" x14ac:dyDescent="0.3">
      <c r="B7" s="43"/>
      <c r="C7" s="43" t="s">
        <v>16</v>
      </c>
      <c r="D7" s="38">
        <v>0.1</v>
      </c>
      <c r="E7" s="49">
        <v>0.3</v>
      </c>
      <c r="F7" s="49">
        <v>0.6</v>
      </c>
      <c r="G7" s="49">
        <v>0.7</v>
      </c>
    </row>
    <row r="8" spans="2:7" outlineLevel="1" x14ac:dyDescent="0.3">
      <c r="B8" s="43"/>
      <c r="C8" s="43" t="s">
        <v>17</v>
      </c>
      <c r="D8" s="37">
        <v>1600</v>
      </c>
      <c r="E8" s="48">
        <v>1000</v>
      </c>
      <c r="F8" s="48">
        <v>1600</v>
      </c>
      <c r="G8" s="48">
        <v>2000</v>
      </c>
    </row>
    <row r="9" spans="2:7" outlineLevel="1" x14ac:dyDescent="0.3">
      <c r="B9" s="43"/>
      <c r="C9" s="43" t="s">
        <v>18</v>
      </c>
      <c r="D9" s="38">
        <v>0.1</v>
      </c>
      <c r="E9" s="49">
        <v>0.3</v>
      </c>
      <c r="F9" s="49">
        <v>0.6</v>
      </c>
      <c r="G9" s="49">
        <v>0.7</v>
      </c>
    </row>
    <row r="10" spans="2:7" x14ac:dyDescent="0.3">
      <c r="B10" s="44" t="s">
        <v>28</v>
      </c>
      <c r="C10" s="44"/>
      <c r="D10" s="42"/>
      <c r="E10" s="42"/>
      <c r="F10" s="42"/>
      <c r="G10" s="42"/>
    </row>
    <row r="11" spans="2:7" ht="15" outlineLevel="1" thickBot="1" x14ac:dyDescent="0.35">
      <c r="B11" s="45"/>
      <c r="C11" s="45" t="s">
        <v>19</v>
      </c>
      <c r="D11" s="39">
        <v>-10560</v>
      </c>
      <c r="E11" s="39">
        <v>5640</v>
      </c>
      <c r="F11" s="39">
        <v>86640</v>
      </c>
      <c r="G11" s="39">
        <v>146400</v>
      </c>
    </row>
    <row r="12" spans="2:7" x14ac:dyDescent="0.3">
      <c r="B12" t="s">
        <v>29</v>
      </c>
    </row>
    <row r="13" spans="2:7" x14ac:dyDescent="0.3">
      <c r="B13" t="s">
        <v>30</v>
      </c>
    </row>
    <row r="14" spans="2:7" x14ac:dyDescent="0.3">
      <c r="B1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2304-036D-4B35-97CD-05D8C0416576}">
  <dimension ref="A1:B6"/>
  <sheetViews>
    <sheetView workbookViewId="0">
      <selection activeCell="L15" sqref="L15"/>
    </sheetView>
  </sheetViews>
  <sheetFormatPr defaultRowHeight="14.4" x14ac:dyDescent="0.3"/>
  <cols>
    <col min="1" max="1" width="25.77734375" bestFit="1" customWidth="1"/>
    <col min="2" max="2" width="7.33203125" bestFit="1" customWidth="1"/>
  </cols>
  <sheetData>
    <row r="1" spans="1:2" x14ac:dyDescent="0.3">
      <c r="A1" s="51" t="s">
        <v>33</v>
      </c>
      <c r="B1" t="s">
        <v>34</v>
      </c>
    </row>
    <row r="3" spans="1:2" x14ac:dyDescent="0.3">
      <c r="A3" s="51" t="s">
        <v>32</v>
      </c>
      <c r="B3" t="s">
        <v>19</v>
      </c>
    </row>
    <row r="4" spans="1:2" x14ac:dyDescent="0.3">
      <c r="A4" s="52" t="s">
        <v>23</v>
      </c>
      <c r="B4" s="53">
        <v>146400</v>
      </c>
    </row>
    <row r="5" spans="1:2" x14ac:dyDescent="0.3">
      <c r="A5" s="52" t="s">
        <v>20</v>
      </c>
      <c r="B5" s="53">
        <v>5640</v>
      </c>
    </row>
    <row r="6" spans="1:2" x14ac:dyDescent="0.3">
      <c r="A6" s="52" t="s">
        <v>22</v>
      </c>
      <c r="B6" s="53">
        <v>86640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BEC2-FE10-4C85-88C7-96264F793F04}">
  <dimension ref="A1:B19"/>
  <sheetViews>
    <sheetView workbookViewId="0">
      <selection activeCell="B14" sqref="B14"/>
    </sheetView>
  </sheetViews>
  <sheetFormatPr defaultRowHeight="14.4" x14ac:dyDescent="0.3"/>
  <cols>
    <col min="1" max="1" width="23.109375" customWidth="1"/>
    <col min="2" max="2" width="19.33203125" customWidth="1"/>
  </cols>
  <sheetData>
    <row r="1" spans="1:2" x14ac:dyDescent="0.3">
      <c r="A1" s="7" t="s">
        <v>0</v>
      </c>
      <c r="B1" s="9">
        <v>30</v>
      </c>
    </row>
    <row r="2" spans="1:2" x14ac:dyDescent="0.3">
      <c r="A2" s="8" t="s">
        <v>3</v>
      </c>
      <c r="B2" s="10">
        <v>6</v>
      </c>
    </row>
    <row r="3" spans="1:2" x14ac:dyDescent="0.3">
      <c r="A3" s="7" t="s">
        <v>10</v>
      </c>
      <c r="B3" s="11">
        <v>30000</v>
      </c>
    </row>
    <row r="7" spans="1:2" x14ac:dyDescent="0.3">
      <c r="A7" s="54" t="s">
        <v>5</v>
      </c>
      <c r="B7" s="55"/>
    </row>
    <row r="8" spans="1:2" x14ac:dyDescent="0.3">
      <c r="A8" s="12" t="s">
        <v>1</v>
      </c>
      <c r="B8" s="14">
        <v>400</v>
      </c>
    </row>
    <row r="9" spans="1:2" x14ac:dyDescent="0.3">
      <c r="A9" s="12" t="s">
        <v>2</v>
      </c>
      <c r="B9" s="15">
        <v>0.4</v>
      </c>
    </row>
    <row r="10" spans="1:2" x14ac:dyDescent="0.3">
      <c r="A10" s="13" t="s">
        <v>4</v>
      </c>
      <c r="B10" s="16">
        <v>0.3</v>
      </c>
    </row>
    <row r="12" spans="1:2" x14ac:dyDescent="0.3">
      <c r="A12" s="56" t="s">
        <v>6</v>
      </c>
      <c r="B12" s="57"/>
    </row>
    <row r="13" spans="1:2" x14ac:dyDescent="0.3">
      <c r="A13" s="17" t="s">
        <v>7</v>
      </c>
      <c r="B13" s="19">
        <v>1000</v>
      </c>
    </row>
    <row r="14" spans="1:2" x14ac:dyDescent="0.3">
      <c r="A14" s="17" t="s">
        <v>8</v>
      </c>
      <c r="B14" s="20">
        <v>0.5</v>
      </c>
    </row>
    <row r="15" spans="1:2" x14ac:dyDescent="0.3">
      <c r="A15" s="18" t="s">
        <v>9</v>
      </c>
      <c r="B15" s="21">
        <v>0.3</v>
      </c>
    </row>
    <row r="17" spans="1:2" ht="15" thickBot="1" x14ac:dyDescent="0.35"/>
    <row r="18" spans="1:2" ht="15.6" thickTop="1" thickBot="1" x14ac:dyDescent="0.35">
      <c r="A18" s="22" t="s">
        <v>11</v>
      </c>
      <c r="B18" s="24">
        <f>B1*B2*(B10*B8*B9+B15*B13*B14)-B3</f>
        <v>5640</v>
      </c>
    </row>
    <row r="19" spans="1:2" ht="15" thickTop="1" x14ac:dyDescent="0.3"/>
  </sheetData>
  <scenarios current="0" show="0" sqref="B18">
    <scenario name="Минимальный сред.чек" locked="1" count="4" user="Андрей" comment="_x000a_Автор изменений: Андрей , 06.06.2023">
      <inputCells r="B8" val="400" numFmtId="164"/>
      <inputCells r="B10" val="0,3" numFmtId="10"/>
      <inputCells r="B13" val="1000" numFmtId="164"/>
      <inputCells r="B15" val="0,3" numFmtId="10"/>
    </scenario>
    <scenario name="Средний чек" locked="1" count="4" user="Андрей" comment="_x000a_Автор изменений: Андрей , 06.06.2023">
      <inputCells r="B8" val="700" numFmtId="164"/>
      <inputCells r="B10" val="0,6" numFmtId="10"/>
      <inputCells r="B13" val="1600" numFmtId="164"/>
      <inputCells r="B15" val="0,6" numFmtId="10"/>
    </scenario>
    <scenario name="Максимальный средний чек" locked="1" count="4" user="Андрей" comment="Автор: Андрей , 06.06.2023">
      <inputCells r="B8" val="1000" numFmtId="164"/>
      <inputCells r="B10" val="0,7" numFmtId="10"/>
      <inputCells r="B13" val="2000" numFmtId="164"/>
      <inputCells r="B15" val="0,7" numFmtId="10"/>
    </scenario>
  </scenarios>
  <mergeCells count="2">
    <mergeCell ref="A7:B7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Структура сценария</vt:lpstr>
      <vt:lpstr>Сводная таблица по сценарию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Semyonov</dc:creator>
  <cp:lastModifiedBy>Андрей</cp:lastModifiedBy>
  <dcterms:created xsi:type="dcterms:W3CDTF">2022-08-16T03:23:07Z</dcterms:created>
  <dcterms:modified xsi:type="dcterms:W3CDTF">2023-06-06T04:50:00Z</dcterms:modified>
</cp:coreProperties>
</file>