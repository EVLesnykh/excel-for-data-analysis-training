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Расходы" sheetId="1" r:id="rId1"/>
    <sheet name="Доходы" sheetId="2" r:id="rId2"/>
    <sheet name="План_год" sheetId="3" r:id="rId3"/>
    <sheet name="План_доход" sheetId="11" r:id="rId4"/>
    <sheet name="Диаграммы" sheetId="9" r:id="rId5"/>
    <sheet name="Сводная таблица" sheetId="10" r:id="rId6"/>
  </sheets>
  <externalReferences>
    <externalReference r:id="rId7"/>
  </externalReferences>
  <definedNames>
    <definedName name="Category">[1]Расходы!$L$6:$L$14</definedName>
    <definedName name="dochod">Доходы!$H$10:$H$15</definedName>
    <definedName name="fff">Доходы!$H$11:$H$15</definedName>
    <definedName name="head">Расходы!$A$1:$D$1</definedName>
    <definedName name="head1">Доходы!$A$1:$D$1</definedName>
    <definedName name="heed">Доходы!$A$1:$D$1</definedName>
    <definedName name="Виды_дохода">Доходы!$H$10:$H$15</definedName>
  </definedNames>
  <calcPr calcId="162913"/>
  <pivotCaches>
    <pivotCache cacheId="24" r:id="rId8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D14" i="1"/>
</calcChain>
</file>

<file path=xl/sharedStrings.xml><?xml version="1.0" encoding="utf-8"?>
<sst xmlns="http://schemas.openxmlformats.org/spreadsheetml/2006/main" count="112" uniqueCount="53">
  <si>
    <t>Дата</t>
  </si>
  <si>
    <t>Категория</t>
  </si>
  <si>
    <t>Наименование</t>
  </si>
  <si>
    <t>Сумма</t>
  </si>
  <si>
    <t>Категории расходов</t>
  </si>
  <si>
    <t>Жилье</t>
  </si>
  <si>
    <t>Транспорт</t>
  </si>
  <si>
    <t>Кредиты</t>
  </si>
  <si>
    <t>Развлечения</t>
  </si>
  <si>
    <t>Налоги</t>
  </si>
  <si>
    <t>Еда</t>
  </si>
  <si>
    <t>Домашние животные</t>
  </si>
  <si>
    <t>Сбережения</t>
  </si>
  <si>
    <t>Другое</t>
  </si>
  <si>
    <t>Аренда</t>
  </si>
  <si>
    <t>Кредит телефон</t>
  </si>
  <si>
    <t>Проездной</t>
  </si>
  <si>
    <t>Налог на собственность</t>
  </si>
  <si>
    <t>Корм коту на месяц</t>
  </si>
  <si>
    <t>Пополнение запасов</t>
  </si>
  <si>
    <t>Кинотеатр</t>
  </si>
  <si>
    <t>Такси</t>
  </si>
  <si>
    <t>Аптека</t>
  </si>
  <si>
    <t>Пополнение вклада</t>
  </si>
  <si>
    <t>Первый взнос телевизор</t>
  </si>
  <si>
    <t>Абнемент литературный клуб</t>
  </si>
  <si>
    <t>Вид дохода</t>
  </si>
  <si>
    <t>Источник дохода</t>
  </si>
  <si>
    <t>Виды дохода</t>
  </si>
  <si>
    <t>Заработная плата</t>
  </si>
  <si>
    <t>Сдача в аренду</t>
  </si>
  <si>
    <t>Подработка</t>
  </si>
  <si>
    <t>Продажа</t>
  </si>
  <si>
    <t>Процент по вкладу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</si>
  <si>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</si>
  <si>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</si>
  <si>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</si>
  <si>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</si>
  <si>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</si>
  <si>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</si>
  <si>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</si>
  <si>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</si>
  <si>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</si>
  <si>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</si>
  <si>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</si>
  <si>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</si>
  <si>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Среднее</t>
  </si>
  <si>
    <t>Максимум</t>
  </si>
  <si>
    <t>Минимум</t>
  </si>
  <si>
    <t>С нарастающим итогом</t>
  </si>
  <si>
    <t>Количество</t>
  </si>
  <si>
    <t>Сумма по полю Сумма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</si>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</sst>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4" borderId="2" applyNumberFormat="0" applyAlignment="0" applyProtection="0"/>
  </cellStyleXfs>
  <cellXfs count="22">
    <xf numFmtId="0" fontId="0" fillId="0" borderId="0" xfId="0"/>
    <xf numFmtId="49" fontId="0" fillId="2" borderId="0" xfId="0" applyNumberFormat="1" applyFont="1" applyFill="1"/>
    <xf numFmtId="164" fontId="0" fillId="2" borderId="0" xfId="0" applyNumberFormat="1" applyFont="1" applyFill="1"/>
    <xf numFmtId="14" fontId="0" fillId="0" borderId="0" xfId="0" applyNumberFormat="1"/>
    <xf numFmtId="2" fontId="0" fillId="2" borderId="0" xfId="0" applyNumberFormat="1" applyFont="1" applyFill="1"/>
    <xf numFmtId="2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0" fillId="3" borderId="1" xfId="0" applyFill="1" applyBorder="1"/>
    <xf numFmtId="0" fontId="1" fillId="0" borderId="1" xfId="0" applyFont="1" applyBorder="1"/>
    <xf numFmtId="164" fontId="1" fillId="0" borderId="0" xfId="0" applyNumberFormat="1" applyFont="1"/>
    <xf numFmtId="0" fontId="0" fillId="5" borderId="1" xfId="0" applyFill="1" applyBorder="1"/>
    <xf numFmtId="0" fontId="0" fillId="0" borderId="1" xfId="0" applyBorder="1"/>
    <xf numFmtId="2" fontId="0" fillId="5" borderId="1" xfId="0" applyNumberFormat="1" applyFill="1" applyBorder="1"/>
    <xf numFmtId="49" fontId="0" fillId="5" borderId="1" xfId="0" applyNumberFormat="1" applyFill="1" applyBorder="1"/>
    <xf numFmtId="164" fontId="0" fillId="5" borderId="1" xfId="0" applyNumberFormat="1" applyFill="1" applyBorder="1"/>
    <xf numFmtId="0" fontId="1" fillId="0" borderId="0" xfId="0" applyFont="1"/>
    <xf numFmtId="0" fontId="2" fillId="4" borderId="2" xfId="1"/>
    <xf numFmtId="164" fontId="2" fillId="4" borderId="2" xfId="1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Расходы!$D$1</c:f>
              <c:strCache>
                <c:ptCount val="1"/>
                <c:pt idx="0">
                  <c:v>Сумма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Расходы!$A$2:$C$13</c15:sqref>
                  </c15:fullRef>
                  <c15:levelRef>
                    <c15:sqref>Расходы!$C$2:$C$13</c15:sqref>
                  </c15:levelRef>
                </c:ext>
              </c:extLst>
              <c:f>Расходы!$C$2:$C$13</c:f>
              <c:strCache>
                <c:ptCount val="12"/>
                <c:pt idx="0">
                  <c:v>Аренда</c:v>
                </c:pt>
                <c:pt idx="1">
                  <c:v>Кредит телефон</c:v>
                </c:pt>
                <c:pt idx="2">
                  <c:v>Проездной</c:v>
                </c:pt>
                <c:pt idx="3">
                  <c:v>Налог на собственность</c:v>
                </c:pt>
                <c:pt idx="4">
                  <c:v>Корм коту на месяц</c:v>
                </c:pt>
                <c:pt idx="5">
                  <c:v>Пополнение запасов</c:v>
                </c:pt>
                <c:pt idx="6">
                  <c:v>Кинотеатр</c:v>
                </c:pt>
                <c:pt idx="7">
                  <c:v>Такси</c:v>
                </c:pt>
                <c:pt idx="8">
                  <c:v>Аптека</c:v>
                </c:pt>
                <c:pt idx="9">
                  <c:v>Пополнение вклада</c:v>
                </c:pt>
                <c:pt idx="10">
                  <c:v>Первый взнос телевизор</c:v>
                </c:pt>
                <c:pt idx="11">
                  <c:v>Абнемент литературный клуб</c:v>
                </c:pt>
              </c:strCache>
            </c:strRef>
          </c:cat>
          <c:val>
            <c:numRef>
              <c:f>Расходы!$D$2:$D$13</c:f>
              <c:numCache>
                <c:formatCode>#\ ##0.00\ "₽"</c:formatCode>
                <c:ptCount val="12"/>
                <c:pt idx="0">
                  <c:v>35000</c:v>
                </c:pt>
                <c:pt idx="1">
                  <c:v>10000</c:v>
                </c:pt>
                <c:pt idx="2">
                  <c:v>2500</c:v>
                </c:pt>
                <c:pt idx="3">
                  <c:v>2000</c:v>
                </c:pt>
                <c:pt idx="4">
                  <c:v>4000</c:v>
                </c:pt>
                <c:pt idx="5">
                  <c:v>10000</c:v>
                </c:pt>
                <c:pt idx="6">
                  <c:v>1500</c:v>
                </c:pt>
                <c:pt idx="7">
                  <c:v>500</c:v>
                </c:pt>
                <c:pt idx="8">
                  <c:v>2000</c:v>
                </c:pt>
                <c:pt idx="9">
                  <c:v>20000</c:v>
                </c:pt>
                <c:pt idx="10">
                  <c:v>15000</c:v>
                </c:pt>
                <c:pt idx="1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F-43C7-9223-898D37B8E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1478671"/>
        <c:axId val="1741479919"/>
      </c:barChart>
      <c:catAx>
        <c:axId val="1741478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1479919"/>
        <c:crosses val="autoZero"/>
        <c:auto val="1"/>
        <c:lblAlgn val="ctr"/>
        <c:lblOffset val="100"/>
        <c:noMultiLvlLbl val="0"/>
      </c:catAx>
      <c:valAx>
        <c:axId val="174147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147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[Практика на лекции №1 (Автосохраненный).xlsx]Сводная таблица!Сводная таблица11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'Сводная таблица'!$B$3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'Сводная таблица'!$A$4:$A$13</c:f>
              <c:strCache>
                <c:ptCount val="9"/>
                <c:pt idx="0">
                  <c:v>Домашние животные</c:v>
                </c:pt>
                <c:pt idx="1">
                  <c:v>Другое</c:v>
                </c:pt>
                <c:pt idx="2">
                  <c:v>Еда</c:v>
                </c:pt>
                <c:pt idx="3">
                  <c:v>Жилье</c:v>
                </c:pt>
                <c:pt idx="4">
                  <c:v>Кредиты</c:v>
                </c:pt>
                <c:pt idx="5">
                  <c:v>Налоги</c:v>
                </c:pt>
                <c:pt idx="6">
                  <c:v>Развлечения</c:v>
                </c:pt>
                <c:pt idx="7">
                  <c:v>Сбережения</c:v>
                </c:pt>
                <c:pt idx="8">
                  <c:v>Транспорт</c:v>
                </c:pt>
              </c:strCache>
            </c:strRef>
          </c:cat>
          <c:val>
            <c:numRef>
              <c:f>'Сводная таблица'!$B$4:$B$13</c:f>
              <c:numCache>
                <c:formatCode>General</c:formatCode>
                <c:ptCount val="9"/>
                <c:pt idx="0">
                  <c:v>4000</c:v>
                </c:pt>
                <c:pt idx="1">
                  <c:v>2000</c:v>
                </c:pt>
                <c:pt idx="2">
                  <c:v>10000</c:v>
                </c:pt>
                <c:pt idx="3">
                  <c:v>35000</c:v>
                </c:pt>
                <c:pt idx="4">
                  <c:v>25000</c:v>
                </c:pt>
                <c:pt idx="5">
                  <c:v>2000</c:v>
                </c:pt>
                <c:pt idx="6">
                  <c:v>6500</c:v>
                </c:pt>
                <c:pt idx="7">
                  <c:v>20000</c:v>
                </c:pt>
                <c:pt idx="8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8-48E4-9BBE-E9BC8A9C2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9686879"/>
        <c:axId val="1859683135"/>
      </c:barChart>
      <c:catAx>
        <c:axId val="1859686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9683135"/>
        <c:crosses val="autoZero"/>
        <c:auto val="1"/>
        <c:lblAlgn val="ctr"/>
        <c:lblOffset val="100"/>
        <c:noMultiLvlLbl val="0"/>
      </c:catAx>
      <c:valAx>
        <c:axId val="185968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968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472440</xdr:colOff>
      <xdr:row>2</xdr:row>
      <xdr:rowOff>45720</xdr:rowOff>
    </xdr:from>
    <xdr:to>
      <xdr:col>19</xdr:col>
      <xdr:colOff>373380</xdr:colOff>
      <xdr:row>20</xdr:row>
      <xdr:rowOff>137160</xdr:rowOff>
    </xdr:to>
    <xdr:graphicFrame macro="">
      <xdr:nvGraphicFramePr>
        <xdr:cNvPr id="2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605790</xdr:colOff>
      <xdr:row>2</xdr:row>
      <xdr:rowOff>175260</xdr:rowOff>
    </xdr:from>
    <xdr:to>
      <xdr:col>12</xdr:col>
      <xdr:colOff>388620</xdr:colOff>
      <xdr:row>17</xdr:row>
      <xdr:rowOff>175260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dcff737e3582b761a5d4d4861ad08d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сходы"/>
      <sheetName val="Доходы"/>
      <sheetName val="План_год"/>
      <sheetName val="План_доход"/>
      <sheetName val="Диаграмма"/>
      <sheetName val="Св_таблица"/>
    </sheetNames>
    <sheetDataSet>
      <sheetData sheetId="0">
        <row r="6">
          <cell r="L6" t="str">
            <v>Жилье</v>
          </cell>
        </row>
        <row r="7">
          <cell r="L7" t="str">
            <v>Транспорт</v>
          </cell>
        </row>
        <row r="8">
          <cell r="L8" t="str">
            <v>Кредиты</v>
          </cell>
        </row>
        <row r="9">
          <cell r="L9" t="str">
            <v>Развлечения</v>
          </cell>
        </row>
        <row r="10">
          <cell r="L10" t="str">
            <v>Налоги</v>
          </cell>
        </row>
        <row r="11">
          <cell r="L11" t="str">
            <v>Еда</v>
          </cell>
        </row>
        <row r="12">
          <cell r="L12" t="str">
            <v>Домашние животные</v>
          </cell>
        </row>
        <row r="13">
          <cell r="L13" t="str">
            <v>Сбережения</v>
          </cell>
        </row>
        <row r="14">
          <cell r="L14" t="str">
            <v>Другое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5065.84426435185" createdVersion="6" refreshedVersion="6" minRefreshableVersion="3" recordCount="13">
  <cacheSource type="worksheet">
    <worksheetSource ref="A1:D14" sheet="Расходы"/>
  </cacheSource>
  <cacheFields count="4">
    <cacheField name="Дата" numFmtId="14">
      <sharedItems containsNonDate="0" containsDate="1" containsString="0" containsBlank="1" minDate="2022-04-01T00:00:00" maxDate="2022-04-13T00:00:00"/>
    </cacheField>
    <cacheField name="Категория" numFmtId="0">
      <sharedItems containsBlank="1" count="10">
        <s v="Жилье"/>
        <s v="Кредиты"/>
        <s v="Транспорт"/>
        <s v="Налоги"/>
        <s v="Домашние животные"/>
        <s v="Еда"/>
        <s v="Развлечения"/>
        <s v="Другое"/>
        <s v="Сбережения"/>
        <m/>
      </sharedItems>
    </cacheField>
    <cacheField name="Наименование" numFmtId="0">
      <sharedItems containsBlank="1"/>
    </cacheField>
    <cacheField name="Сумма" numFmtId="164">
      <sharedItems containsSemiMixedTypes="0" containsString="0" containsNumber="1" containsInteger="1" minValue="500" maxValue="107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d v="2022-04-01T00:00:00"/>
    <x v="0"/>
    <s v="Аренда"/>
    <n v="35000"/>
  </r>
  <r>
    <d v="2022-04-03T00:00:00"/>
    <x v="1"/>
    <s v="Кредит телефон"/>
    <n v="10000"/>
  </r>
  <r>
    <d v="2022-04-03T00:00:00"/>
    <x v="2"/>
    <s v="Проездной"/>
    <n v="2500"/>
  </r>
  <r>
    <d v="2022-04-05T00:00:00"/>
    <x v="3"/>
    <s v="Налог на собственность"/>
    <n v="2000"/>
  </r>
  <r>
    <d v="2022-04-06T00:00:00"/>
    <x v="4"/>
    <s v="Корм коту на месяц"/>
    <n v="4000"/>
  </r>
  <r>
    <d v="2022-04-07T00:00:00"/>
    <x v="5"/>
    <s v="Пополнение запасов"/>
    <n v="10000"/>
  </r>
  <r>
    <d v="2022-04-07T00:00:00"/>
    <x v="6"/>
    <s v="Кинотеатр"/>
    <n v="1500"/>
  </r>
  <r>
    <d v="2022-04-07T00:00:00"/>
    <x v="2"/>
    <s v="Такси"/>
    <n v="500"/>
  </r>
  <r>
    <d v="2022-04-08T00:00:00"/>
    <x v="7"/>
    <s v="Аптека"/>
    <n v="2000"/>
  </r>
  <r>
    <d v="2022-04-09T00:00:00"/>
    <x v="8"/>
    <s v="Пополнение вклада"/>
    <n v="20000"/>
  </r>
  <r>
    <d v="2022-04-10T00:00:00"/>
    <x v="1"/>
    <s v="Первый взнос телевизор"/>
    <n v="15000"/>
  </r>
  <r>
    <d v="2022-04-12T00:00:00"/>
    <x v="6"/>
    <s v="Абнемент литературный клуб"/>
    <n v="5000"/>
  </r>
  <r>
    <m/>
    <x v="9"/>
    <m/>
    <n v="10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1" cacheId="2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 rowHeaderCaption="Категория">
  <location ref="A3:B13" firstHeaderRow="1" firstDataRow="1" firstDataCol="1"/>
  <pivotFields count="4">
    <pivotField showAll="0"/>
    <pivotField axis="axisRow" showAll="0">
      <items count="11">
        <item x="4"/>
        <item x="7"/>
        <item x="5"/>
        <item x="0"/>
        <item x="1"/>
        <item x="3"/>
        <item x="6"/>
        <item x="8"/>
        <item x="2"/>
        <item h="1" x="9"/>
        <item t="default"/>
      </items>
    </pivotField>
    <pivotField showAll="0"/>
    <pivotField dataField="1" numFmtId="164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Сумма по полю Сумма" fld="3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pane ySplit="1" topLeftCell="A2" activePane="bottomLeft" state="frozen"/>
      <selection pane="bottomLeft" activeCell="L7" sqref="L7:L15"/>
    </sheetView>
  </sheetViews>
  <sheetFormatPr defaultRowHeight="14.4" x14ac:dyDescent="0.3"/>
  <cols>
    <col min="1" max="1" width="12.88671875" style="5" customWidth="1"/>
    <col min="2" max="2" width="26.33203125" style="6" customWidth="1"/>
    <col min="3" max="3" width="30.109375" customWidth="1"/>
    <col min="4" max="4" width="12.21875" style="7" customWidth="1"/>
    <col min="5" max="5" width="11.88671875" customWidth="1"/>
    <col min="6" max="6" width="11.6640625" customWidth="1"/>
    <col min="12" max="12" width="25.33203125" customWidth="1"/>
  </cols>
  <sheetData>
    <row r="1" spans="1:12" x14ac:dyDescent="0.3">
      <c r="A1" s="4" t="s">
        <v>0</v>
      </c>
      <c r="B1" s="1" t="s">
        <v>1</v>
      </c>
      <c r="C1" s="1" t="s">
        <v>2</v>
      </c>
      <c r="D1" s="2" t="s">
        <v>3</v>
      </c>
    </row>
    <row r="2" spans="1:12" x14ac:dyDescent="0.3">
      <c r="A2" s="3">
        <v>44652</v>
      </c>
      <c r="B2" t="s">
        <v>5</v>
      </c>
      <c r="C2" s="6" t="s">
        <v>14</v>
      </c>
      <c r="D2" s="7">
        <v>35000</v>
      </c>
    </row>
    <row r="3" spans="1:12" x14ac:dyDescent="0.3">
      <c r="A3" s="3">
        <v>44654</v>
      </c>
      <c r="B3" t="s">
        <v>7</v>
      </c>
      <c r="C3" s="6" t="s">
        <v>15</v>
      </c>
      <c r="D3" s="7">
        <v>10000</v>
      </c>
    </row>
    <row r="4" spans="1:12" x14ac:dyDescent="0.3">
      <c r="A4" s="3">
        <v>44654</v>
      </c>
      <c r="B4" t="s">
        <v>6</v>
      </c>
      <c r="C4" s="6" t="s">
        <v>16</v>
      </c>
      <c r="D4" s="7">
        <v>2500</v>
      </c>
    </row>
    <row r="5" spans="1:12" x14ac:dyDescent="0.3">
      <c r="A5" s="3">
        <v>44656</v>
      </c>
      <c r="B5" t="s">
        <v>9</v>
      </c>
      <c r="C5" s="6" t="s">
        <v>17</v>
      </c>
      <c r="D5" s="7">
        <v>2000</v>
      </c>
    </row>
    <row r="6" spans="1:12" x14ac:dyDescent="0.3">
      <c r="A6" s="3">
        <v>44657</v>
      </c>
      <c r="B6" t="s">
        <v>11</v>
      </c>
      <c r="C6" s="6" t="s">
        <v>18</v>
      </c>
      <c r="D6" s="7">
        <v>4000</v>
      </c>
      <c r="E6" s="17" t="s">
        <v>46</v>
      </c>
      <c r="F6" s="18">
        <f>AVERAGE(D2:D13)</f>
        <v>8958.3333333333339</v>
      </c>
      <c r="L6" s="8" t="s">
        <v>4</v>
      </c>
    </row>
    <row r="7" spans="1:12" x14ac:dyDescent="0.3">
      <c r="A7" s="3">
        <v>44658</v>
      </c>
      <c r="B7" t="s">
        <v>10</v>
      </c>
      <c r="C7" s="6" t="s">
        <v>19</v>
      </c>
      <c r="D7" s="7">
        <v>10000</v>
      </c>
      <c r="E7" s="17" t="s">
        <v>47</v>
      </c>
      <c r="F7" s="18">
        <f>MAX(D2:D13)</f>
        <v>35000</v>
      </c>
      <c r="L7" s="9" t="s">
        <v>5</v>
      </c>
    </row>
    <row r="8" spans="1:12" x14ac:dyDescent="0.3">
      <c r="A8" s="3">
        <v>44658</v>
      </c>
      <c r="B8" t="s">
        <v>8</v>
      </c>
      <c r="C8" s="6" t="s">
        <v>20</v>
      </c>
      <c r="D8" s="7">
        <v>1500</v>
      </c>
      <c r="E8" s="17" t="s">
        <v>48</v>
      </c>
      <c r="F8" s="18">
        <f>MIN(D2:D13)</f>
        <v>500</v>
      </c>
      <c r="L8" s="9" t="s">
        <v>6</v>
      </c>
    </row>
    <row r="9" spans="1:12" x14ac:dyDescent="0.3">
      <c r="A9" s="3">
        <v>44658</v>
      </c>
      <c r="B9" t="s">
        <v>6</v>
      </c>
      <c r="C9" s="6" t="s">
        <v>21</v>
      </c>
      <c r="D9" s="7">
        <v>500</v>
      </c>
      <c r="E9" s="17" t="s">
        <v>3</v>
      </c>
      <c r="F9" s="18">
        <f>SUM(D2:D13)</f>
        <v>107500</v>
      </c>
      <c r="L9" s="9" t="s">
        <v>7</v>
      </c>
    </row>
    <row r="10" spans="1:12" x14ac:dyDescent="0.3">
      <c r="A10" s="3">
        <v>44659</v>
      </c>
      <c r="B10" t="s">
        <v>13</v>
      </c>
      <c r="C10" s="6" t="s">
        <v>22</v>
      </c>
      <c r="D10" s="7">
        <v>2000</v>
      </c>
      <c r="L10" s="9" t="s">
        <v>8</v>
      </c>
    </row>
    <row r="11" spans="1:12" x14ac:dyDescent="0.3">
      <c r="A11" s="3">
        <v>44660</v>
      </c>
      <c r="B11" t="s">
        <v>12</v>
      </c>
      <c r="C11" s="6" t="s">
        <v>23</v>
      </c>
      <c r="D11" s="7">
        <v>20000</v>
      </c>
      <c r="L11" s="9" t="s">
        <v>9</v>
      </c>
    </row>
    <row r="12" spans="1:12" x14ac:dyDescent="0.3">
      <c r="A12" s="3">
        <v>44661</v>
      </c>
      <c r="B12" t="s">
        <v>7</v>
      </c>
      <c r="C12" s="6" t="s">
        <v>24</v>
      </c>
      <c r="D12" s="7">
        <v>15000</v>
      </c>
      <c r="L12" s="9" t="s">
        <v>10</v>
      </c>
    </row>
    <row r="13" spans="1:12" x14ac:dyDescent="0.3">
      <c r="A13" s="3">
        <v>44663</v>
      </c>
      <c r="B13" t="s">
        <v>8</v>
      </c>
      <c r="C13" s="6" t="s">
        <v>25</v>
      </c>
      <c r="D13" s="7">
        <v>5000</v>
      </c>
      <c r="L13" s="9" t="s">
        <v>11</v>
      </c>
    </row>
    <row r="14" spans="1:12" x14ac:dyDescent="0.3">
      <c r="A14" s="3"/>
      <c r="B14"/>
      <c r="D14" s="10">
        <f>SUM(D2:D13)</f>
        <v>107500</v>
      </c>
      <c r="L14" s="9" t="s">
        <v>12</v>
      </c>
    </row>
    <row r="15" spans="1:12" x14ac:dyDescent="0.3">
      <c r="L15" s="9" t="s">
        <v>13</v>
      </c>
    </row>
  </sheetData>
  <dataValidations count="1">
    <dataValidation type="list" allowBlank="1" showInputMessage="1" showErrorMessage="1" sqref="B1:B14">
      <formula1>Category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2" max="2" width="14.77734375" customWidth="1"/>
    <col min="3" max="3" width="18.77734375" customWidth="1"/>
    <col min="4" max="4" width="11" customWidth="1"/>
    <col min="8" max="8" width="27" customWidth="1"/>
  </cols>
  <sheetData>
    <row r="1" spans="1:8" x14ac:dyDescent="0.3">
      <c r="A1" s="13" t="s">
        <v>0</v>
      </c>
      <c r="B1" s="14" t="s">
        <v>26</v>
      </c>
      <c r="C1" s="14" t="s">
        <v>27</v>
      </c>
      <c r="D1" s="15" t="s">
        <v>3</v>
      </c>
    </row>
    <row r="10" spans="1:8" x14ac:dyDescent="0.3">
      <c r="H10" s="11" t="s">
        <v>28</v>
      </c>
    </row>
    <row r="11" spans="1:8" x14ac:dyDescent="0.3">
      <c r="H11" s="12" t="s">
        <v>29</v>
      </c>
    </row>
    <row r="12" spans="1:8" x14ac:dyDescent="0.3">
      <c r="H12" s="12" t="s">
        <v>30</v>
      </c>
    </row>
    <row r="13" spans="1:8" x14ac:dyDescent="0.3">
      <c r="H13" s="12" t="s">
        <v>31</v>
      </c>
    </row>
    <row r="14" spans="1:8" x14ac:dyDescent="0.3">
      <c r="H14" s="12" t="s">
        <v>32</v>
      </c>
    </row>
    <row r="15" spans="1:8" x14ac:dyDescent="0.3">
      <c r="H15" s="12" t="s">
        <v>33</v>
      </c>
    </row>
  </sheetData>
  <dataConsolidate/>
  <dataValidations count="1">
    <dataValidation type="list" allowBlank="1" showInputMessage="1" showErrorMessage="1" sqref="B1:B1048576">
      <formula1>fff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D19" sqref="D19"/>
    </sheetView>
  </sheetViews>
  <sheetFormatPr defaultRowHeight="14.4" x14ac:dyDescent="0.3"/>
  <cols>
    <col min="2" max="2" width="13.88671875" customWidth="1"/>
    <col min="3" max="3" width="13.5546875" customWidth="1"/>
    <col min="4" max="4" width="12.6640625" customWidth="1"/>
    <col min="5" max="5" width="12.77734375" customWidth="1"/>
    <col min="6" max="6" width="14.44140625" customWidth="1"/>
    <col min="7" max="7" width="13.33203125" customWidth="1"/>
    <col min="8" max="8" width="13.44140625" customWidth="1"/>
    <col min="9" max="9" width="14.44140625" customWidth="1"/>
    <col min="10" max="10" width="14.77734375" customWidth="1"/>
    <col min="11" max="11" width="13.88671875" customWidth="1"/>
    <col min="12" max="12" width="12.21875" customWidth="1"/>
    <col min="13" max="13" width="15.21875" customWidth="1"/>
  </cols>
  <sheetData>
    <row r="1" spans="1:13" x14ac:dyDescent="0.3">
      <c r="B1" s="16" t="s">
        <v>34</v>
      </c>
      <c r="C1" s="16" t="s">
        <v>35</v>
      </c>
      <c r="D1" s="16" t="s">
        <v>36</v>
      </c>
      <c r="E1" s="16" t="s">
        <v>37</v>
      </c>
      <c r="F1" s="16" t="s">
        <v>38</v>
      </c>
      <c r="G1" s="16" t="s">
        <v>39</v>
      </c>
      <c r="H1" s="16" t="s">
        <v>40</v>
      </c>
      <c r="I1" s="16" t="s">
        <v>41</v>
      </c>
      <c r="J1" s="16" t="s">
        <v>42</v>
      </c>
      <c r="K1" s="16" t="s">
        <v>43</v>
      </c>
      <c r="L1" s="16" t="s">
        <v>44</v>
      </c>
      <c r="M1" s="16" t="s">
        <v>45</v>
      </c>
    </row>
    <row r="2" spans="1:13" x14ac:dyDescent="0.3">
      <c r="A2" s="16">
        <v>2023</v>
      </c>
      <c r="B2" s="7">
        <v>100000</v>
      </c>
      <c r="C2" s="7">
        <v>110000</v>
      </c>
      <c r="D2" s="7">
        <v>90000</v>
      </c>
      <c r="E2" s="7">
        <v>95000</v>
      </c>
      <c r="F2" s="7">
        <v>100000</v>
      </c>
      <c r="G2" s="7">
        <v>90000</v>
      </c>
      <c r="H2" s="7">
        <v>115000</v>
      </c>
      <c r="I2" s="7">
        <v>90000</v>
      </c>
      <c r="J2" s="7">
        <v>110000</v>
      </c>
      <c r="K2" s="7">
        <v>110000</v>
      </c>
      <c r="L2" s="7">
        <v>90000</v>
      </c>
      <c r="M2" s="7">
        <v>120000</v>
      </c>
    </row>
    <row r="3" spans="1:13" x14ac:dyDescent="0.3">
      <c r="A3" s="16">
        <v>2024</v>
      </c>
    </row>
    <row r="4" spans="1:13" x14ac:dyDescent="0.3">
      <c r="A4" s="16">
        <v>2025</v>
      </c>
    </row>
    <row r="5" spans="1:13" x14ac:dyDescent="0.3">
      <c r="A5" s="16">
        <v>2026</v>
      </c>
    </row>
    <row r="6" spans="1:13" x14ac:dyDescent="0.3">
      <c r="A6" s="16">
        <v>2027</v>
      </c>
    </row>
    <row r="7" spans="1:13" x14ac:dyDescent="0.3">
      <c r="A7" s="16">
        <v>2028</v>
      </c>
    </row>
    <row r="8" spans="1:13" x14ac:dyDescent="0.3">
      <c r="A8" s="16">
        <v>2029</v>
      </c>
    </row>
    <row r="9" spans="1:13" x14ac:dyDescent="0.3">
      <c r="A9" s="16">
        <v>2030</v>
      </c>
    </row>
    <row r="10" spans="1:13" x14ac:dyDescent="0.3">
      <c r="A10" s="16">
        <v>2031</v>
      </c>
    </row>
    <row r="11" spans="1:13" x14ac:dyDescent="0.3">
      <c r="A11" s="16">
        <v>2032</v>
      </c>
    </row>
    <row r="12" spans="1:13" x14ac:dyDescent="0.3">
      <c r="A12" s="16">
        <v>2033</v>
      </c>
    </row>
    <row r="13" spans="1:13" x14ac:dyDescent="0.3">
      <c r="A13" s="16">
        <v>2034</v>
      </c>
    </row>
    <row r="14" spans="1:13" x14ac:dyDescent="0.3">
      <c r="A14" s="16">
        <v>2035</v>
      </c>
    </row>
  </sheetData>
  <conditionalFormatting sqref="B2:M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 activeCell="F15" sqref="F15"/>
    </sheetView>
  </sheetViews>
  <sheetFormatPr defaultRowHeight="14.4" x14ac:dyDescent="0.3"/>
  <cols>
    <col min="2" max="2" width="13.88671875" customWidth="1"/>
    <col min="3" max="3" width="13.5546875" customWidth="1"/>
    <col min="4" max="4" width="12.6640625" customWidth="1"/>
    <col min="5" max="5" width="12.77734375" customWidth="1"/>
    <col min="6" max="6" width="14.44140625" customWidth="1"/>
    <col min="7" max="7" width="13.33203125" customWidth="1"/>
    <col min="8" max="8" width="13.44140625" customWidth="1"/>
    <col min="9" max="9" width="14.44140625" customWidth="1"/>
    <col min="10" max="10" width="14.77734375" customWidth="1"/>
    <col min="11" max="11" width="13.88671875" customWidth="1"/>
    <col min="12" max="12" width="12.21875" customWidth="1"/>
    <col min="13" max="13" width="15.21875" customWidth="1"/>
  </cols>
  <sheetData>
    <row r="1" spans="1:13" x14ac:dyDescent="0.3">
      <c r="B1" s="16" t="s">
        <v>34</v>
      </c>
      <c r="C1" s="16" t="s">
        <v>35</v>
      </c>
      <c r="D1" s="16" t="s">
        <v>36</v>
      </c>
      <c r="E1" s="16" t="s">
        <v>37</v>
      </c>
      <c r="F1" s="16" t="s">
        <v>38</v>
      </c>
      <c r="G1" s="16" t="s">
        <v>39</v>
      </c>
      <c r="H1" s="16" t="s">
        <v>40</v>
      </c>
      <c r="I1" s="16" t="s">
        <v>41</v>
      </c>
      <c r="J1" s="16" t="s">
        <v>42</v>
      </c>
      <c r="K1" s="16" t="s">
        <v>43</v>
      </c>
      <c r="L1" s="16" t="s">
        <v>44</v>
      </c>
      <c r="M1" s="16" t="s">
        <v>45</v>
      </c>
    </row>
    <row r="2" spans="1:13" x14ac:dyDescent="0.3">
      <c r="A2" s="16">
        <v>2023</v>
      </c>
      <c r="B2" s="7">
        <v>100000</v>
      </c>
      <c r="C2" s="7">
        <v>110000</v>
      </c>
      <c r="D2" s="7">
        <v>90000</v>
      </c>
      <c r="E2" s="7">
        <v>95000</v>
      </c>
      <c r="F2" s="7">
        <v>100000</v>
      </c>
      <c r="G2" s="7">
        <v>90000</v>
      </c>
      <c r="H2" s="7">
        <v>115000</v>
      </c>
      <c r="I2" s="7">
        <v>90000</v>
      </c>
      <c r="J2" s="7">
        <v>110000</v>
      </c>
      <c r="K2" s="7">
        <v>110000</v>
      </c>
      <c r="L2" s="7">
        <v>90000</v>
      </c>
      <c r="M2" s="7">
        <v>120000</v>
      </c>
    </row>
    <row r="3" spans="1:13" x14ac:dyDescent="0.3">
      <c r="A3" s="16">
        <v>2024</v>
      </c>
    </row>
    <row r="4" spans="1:13" x14ac:dyDescent="0.3">
      <c r="A4" s="16">
        <v>2025</v>
      </c>
    </row>
    <row r="5" spans="1:13" x14ac:dyDescent="0.3">
      <c r="A5" s="16">
        <v>2026</v>
      </c>
    </row>
    <row r="6" spans="1:13" x14ac:dyDescent="0.3">
      <c r="A6" s="16">
        <v>2027</v>
      </c>
    </row>
    <row r="7" spans="1:13" x14ac:dyDescent="0.3">
      <c r="A7" s="16">
        <v>2028</v>
      </c>
    </row>
    <row r="8" spans="1:13" x14ac:dyDescent="0.3">
      <c r="A8" s="16">
        <v>2029</v>
      </c>
    </row>
    <row r="9" spans="1:13" x14ac:dyDescent="0.3">
      <c r="A9" s="16">
        <v>2030</v>
      </c>
    </row>
    <row r="10" spans="1:13" x14ac:dyDescent="0.3">
      <c r="A10" s="16">
        <v>2031</v>
      </c>
    </row>
    <row r="11" spans="1:13" x14ac:dyDescent="0.3">
      <c r="A11" s="16">
        <v>2032</v>
      </c>
    </row>
    <row r="12" spans="1:13" x14ac:dyDescent="0.3">
      <c r="A12" s="16">
        <v>2033</v>
      </c>
    </row>
    <row r="13" spans="1:13" x14ac:dyDescent="0.3">
      <c r="A13" s="16">
        <v>2034</v>
      </c>
    </row>
    <row r="14" spans="1:13" x14ac:dyDescent="0.3">
      <c r="A14" s="16">
        <v>2035</v>
      </c>
    </row>
  </sheetData>
  <conditionalFormatting sqref="B2:M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7" sqref="D2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workbookViewId="0">
      <selection activeCell="M22" sqref="M21:M22"/>
    </sheetView>
  </sheetViews>
  <sheetFormatPr defaultRowHeight="14.4" x14ac:dyDescent="0.3"/>
  <cols>
    <col min="1" max="1" width="19.88671875" bestFit="1" customWidth="1"/>
    <col min="2" max="2" width="21.6640625" bestFit="1" customWidth="1"/>
  </cols>
  <sheetData>
    <row r="3" spans="1:2" x14ac:dyDescent="0.3">
      <c r="A3" s="19" t="s">
        <v>1</v>
      </c>
      <c r="B3" t="s">
        <v>51</v>
      </c>
    </row>
    <row r="4" spans="1:2" x14ac:dyDescent="0.3">
      <c r="A4" s="20" t="s">
        <v>11</v>
      </c>
      <c r="B4" s="21">
        <v>4000</v>
      </c>
    </row>
    <row r="5" spans="1:2" x14ac:dyDescent="0.3">
      <c r="A5" s="20" t="s">
        <v>13</v>
      </c>
      <c r="B5" s="21">
        <v>2000</v>
      </c>
    </row>
    <row r="6" spans="1:2" x14ac:dyDescent="0.3">
      <c r="A6" s="20" t="s">
        <v>10</v>
      </c>
      <c r="B6" s="21">
        <v>10000</v>
      </c>
    </row>
    <row r="7" spans="1:2" x14ac:dyDescent="0.3">
      <c r="A7" s="20" t="s">
        <v>5</v>
      </c>
      <c r="B7" s="21">
        <v>35000</v>
      </c>
    </row>
    <row r="8" spans="1:2" x14ac:dyDescent="0.3">
      <c r="A8" s="20" t="s">
        <v>7</v>
      </c>
      <c r="B8" s="21">
        <v>25000</v>
      </c>
    </row>
    <row r="9" spans="1:2" x14ac:dyDescent="0.3">
      <c r="A9" s="20" t="s">
        <v>9</v>
      </c>
      <c r="B9" s="21">
        <v>2000</v>
      </c>
    </row>
    <row r="10" spans="1:2" x14ac:dyDescent="0.3">
      <c r="A10" s="20" t="s">
        <v>8</v>
      </c>
      <c r="B10" s="21">
        <v>6500</v>
      </c>
    </row>
    <row r="11" spans="1:2" x14ac:dyDescent="0.3">
      <c r="A11" s="20" t="s">
        <v>12</v>
      </c>
      <c r="B11" s="21">
        <v>20000</v>
      </c>
    </row>
    <row r="12" spans="1:2" x14ac:dyDescent="0.3">
      <c r="A12" s="20" t="s">
        <v>6</v>
      </c>
      <c r="B12" s="21">
        <v>3000</v>
      </c>
    </row>
    <row r="13" spans="1:2" x14ac:dyDescent="0.3">
      <c r="A13" s="20" t="s">
        <v>52</v>
      </c>
      <c r="B13" s="21">
        <v>107500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Расходы</vt:lpstr>
      <vt:lpstr>Доходы</vt:lpstr>
      <vt:lpstr>План_год</vt:lpstr>
      <vt:lpstr>План_доход</vt:lpstr>
      <vt:lpstr>Диаграммы</vt:lpstr>
      <vt:lpstr>Сводная таблица</vt:lpstr>
      <vt:lpstr>dochod</vt:lpstr>
      <vt:lpstr>fff</vt:lpstr>
      <vt:lpstr>head</vt:lpstr>
      <vt:lpstr>head1</vt:lpstr>
      <vt:lpstr>heed</vt:lpstr>
      <vt:lpstr>Виды_дохода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2023-05-19T11:14:27Z</dcterms:modified>
</cp:coreProperties>
</file>