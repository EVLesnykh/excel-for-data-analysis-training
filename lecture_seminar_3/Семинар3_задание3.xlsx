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3.1. Семинар №3\"/>
    </mc:Choice>
  </mc:AlternateContent>
  <xr:revisionPtr revIDLastSave="0" documentId="13_ncr:1_{82DB29D5-CF88-4045-8286-24EEAD696F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2" r:id="rId1"/>
    <sheet name="Данные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2" l="1"/>
  <c r="H2" i="2"/>
  <c r="H3" i="2"/>
  <c r="C30" i="2"/>
  <c r="H4" i="2"/>
  <c r="H5" i="2"/>
  <c r="C32" i="2"/>
  <c r="H6" i="2"/>
  <c r="C29" i="2"/>
  <c r="C31" i="2"/>
  <c r="C33" i="2"/>
  <c r="H7" i="2"/>
  <c r="C34" i="2"/>
  <c r="H8" i="2"/>
  <c r="C35" i="2"/>
  <c r="D35" i="2"/>
  <c r="D29" i="2"/>
  <c r="E29" i="2"/>
  <c r="E32" i="2"/>
  <c r="E33" i="2"/>
  <c r="D31" i="2"/>
  <c r="E28" i="2"/>
  <c r="E35" i="2"/>
  <c r="D32" i="2"/>
  <c r="D30" i="2"/>
  <c r="E30" i="2"/>
  <c r="D28" i="2"/>
  <c r="D34" i="2"/>
  <c r="E34" i="2"/>
  <c r="E31" i="2"/>
  <c r="D33" i="2"/>
</calcChain>
</file>

<file path=xl/sharedStrings.xml><?xml version="1.0" encoding="utf-8"?>
<sst xmlns="http://schemas.openxmlformats.org/spreadsheetml/2006/main" count="17" uniqueCount="17">
  <si>
    <t>Дата</t>
  </si>
  <si>
    <t>Индекс Доу-Джонса</t>
  </si>
  <si>
    <t>Итог</t>
  </si>
  <si>
    <t>Временная шкала</t>
  </si>
  <si>
    <t>Значения</t>
  </si>
  <si>
    <t>Прогноз</t>
  </si>
  <si>
    <t>Привязка низкой вероятности</t>
  </si>
  <si>
    <t>Привязка высокой вероятности</t>
  </si>
  <si>
    <t>Статистика</t>
  </si>
  <si>
    <t>Значение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</si>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</sst>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₽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33" borderId="0" xfId="0" applyFont="1" applyFill="1"/>
    <xf numFmtId="165" fontId="0" fillId="0" borderId="0" xfId="0" applyNumberFormat="1"/>
    <xf numFmtId="0" fontId="18" fillId="34" borderId="0" xfId="0" applyFont="1" applyFill="1"/>
    <xf numFmtId="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5">
    <dxf>
      <numFmt numFmtId="4" formatCode="#,##0.00"/>
    </dxf>
    <dxf>
      <numFmt numFmtId="165" formatCode="#,##0.00\ &quot;₽&quot;"/>
    </dxf>
    <dxf>
      <numFmt numFmtId="165" formatCode="#,##0.00\ &quot;₽&quot;"/>
    </dxf>
    <dxf>
      <numFmt numFmtId="165" formatCode="#,##0.00\ &quot;₽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Значения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Лист1!$B$2:$B$35</c:f>
              <c:numCache>
                <c:formatCode>#\ ##0.00\ "₽"</c:formatCode>
                <c:ptCount val="34"/>
                <c:pt idx="0">
                  <c:v>10583.96</c:v>
                </c:pt>
                <c:pt idx="1">
                  <c:v>10572.02</c:v>
                </c:pt>
                <c:pt idx="2">
                  <c:v>10573.68</c:v>
                </c:pt>
                <c:pt idx="3">
                  <c:v>10606.86</c:v>
                </c:pt>
                <c:pt idx="4">
                  <c:v>10618.19</c:v>
                </c:pt>
                <c:pt idx="5">
                  <c:v>10633.456666666667</c:v>
                </c:pt>
                <c:pt idx="6">
                  <c:v>10648.723333333333</c:v>
                </c:pt>
                <c:pt idx="7">
                  <c:v>10663.99</c:v>
                </c:pt>
                <c:pt idx="8">
                  <c:v>10627.26</c:v>
                </c:pt>
                <c:pt idx="9">
                  <c:v>10680.77</c:v>
                </c:pt>
                <c:pt idx="10">
                  <c:v>10710.55</c:v>
                </c:pt>
                <c:pt idx="11">
                  <c:v>10609.65</c:v>
                </c:pt>
                <c:pt idx="12">
                  <c:v>10638.594999999999</c:v>
                </c:pt>
                <c:pt idx="13">
                  <c:v>10667.54</c:v>
                </c:pt>
                <c:pt idx="14">
                  <c:v>10696.485000000001</c:v>
                </c:pt>
                <c:pt idx="15">
                  <c:v>10725.43</c:v>
                </c:pt>
                <c:pt idx="16">
                  <c:v>10603.15</c:v>
                </c:pt>
                <c:pt idx="17">
                  <c:v>10389.879999999999</c:v>
                </c:pt>
                <c:pt idx="18">
                  <c:v>10172.98</c:v>
                </c:pt>
                <c:pt idx="19">
                  <c:v>10180.94</c:v>
                </c:pt>
                <c:pt idx="20">
                  <c:v>10188.9</c:v>
                </c:pt>
                <c:pt idx="21">
                  <c:v>10196.86</c:v>
                </c:pt>
                <c:pt idx="22">
                  <c:v>10194.290000000001</c:v>
                </c:pt>
                <c:pt idx="23">
                  <c:v>10236.16</c:v>
                </c:pt>
                <c:pt idx="24">
                  <c:v>10120.459999999999</c:v>
                </c:pt>
                <c:pt idx="25">
                  <c:v>10067.33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0-4B37-BA12-197A14D30700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Прогноз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Лист1!$A$2:$A$35</c:f>
              <c:numCache>
                <c:formatCode>m/d/yyyy</c:formatCode>
                <c:ptCount val="34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40187</c:v>
                </c:pt>
                <c:pt idx="6">
                  <c:v>40188</c:v>
                </c:pt>
                <c:pt idx="7">
                  <c:v>40189</c:v>
                </c:pt>
                <c:pt idx="8">
                  <c:v>40190</c:v>
                </c:pt>
                <c:pt idx="9">
                  <c:v>40191</c:v>
                </c:pt>
                <c:pt idx="10">
                  <c:v>40192</c:v>
                </c:pt>
                <c:pt idx="11">
                  <c:v>40193</c:v>
                </c:pt>
                <c:pt idx="12">
                  <c:v>40194</c:v>
                </c:pt>
                <c:pt idx="13">
                  <c:v>40195</c:v>
                </c:pt>
                <c:pt idx="14">
                  <c:v>40196</c:v>
                </c:pt>
                <c:pt idx="15">
                  <c:v>40197</c:v>
                </c:pt>
                <c:pt idx="16">
                  <c:v>40198</c:v>
                </c:pt>
                <c:pt idx="17">
                  <c:v>40199</c:v>
                </c:pt>
                <c:pt idx="18">
                  <c:v>40200</c:v>
                </c:pt>
                <c:pt idx="19">
                  <c:v>40201</c:v>
                </c:pt>
                <c:pt idx="20">
                  <c:v>40202</c:v>
                </c:pt>
                <c:pt idx="21">
                  <c:v>40203</c:v>
                </c:pt>
                <c:pt idx="22">
                  <c:v>40204</c:v>
                </c:pt>
                <c:pt idx="23">
                  <c:v>40205</c:v>
                </c:pt>
                <c:pt idx="24">
                  <c:v>40206</c:v>
                </c:pt>
                <c:pt idx="25">
                  <c:v>40207</c:v>
                </c:pt>
                <c:pt idx="26">
                  <c:v>40208</c:v>
                </c:pt>
                <c:pt idx="27">
                  <c:v>40209</c:v>
                </c:pt>
                <c:pt idx="28">
                  <c:v>40210</c:v>
                </c:pt>
                <c:pt idx="29">
                  <c:v>40211</c:v>
                </c:pt>
                <c:pt idx="30">
                  <c:v>40212</c:v>
                </c:pt>
                <c:pt idx="31">
                  <c:v>40213</c:v>
                </c:pt>
                <c:pt idx="32">
                  <c:v>40214</c:v>
                </c:pt>
                <c:pt idx="33">
                  <c:v>40215</c:v>
                </c:pt>
              </c:numCache>
            </c:numRef>
          </c:cat>
          <c:val>
            <c:numRef>
              <c:f>Лист1!$C$2:$C$35</c:f>
              <c:numCache>
                <c:formatCode>General</c:formatCode>
                <c:ptCount val="34"/>
                <c:pt idx="25" formatCode="#\ ##0.00\ &quot;₽&quot;">
                  <c:v>10067.33</c:v>
                </c:pt>
                <c:pt idx="26" formatCode="#\ ##0.00\ &quot;₽&quot;">
                  <c:v>10158.362123408933</c:v>
                </c:pt>
                <c:pt idx="27" formatCode="#\ ##0.00\ &quot;₽&quot;">
                  <c:v>10125.844357715141</c:v>
                </c:pt>
                <c:pt idx="28" formatCode="#\ ##0.00\ &quot;₽&quot;">
                  <c:v>10120.089249873536</c:v>
                </c:pt>
                <c:pt idx="29" formatCode="#\ ##0.00\ &quot;₽&quot;">
                  <c:v>10080.286552318776</c:v>
                </c:pt>
                <c:pt idx="30" formatCode="#\ ##0.00\ &quot;₽&quot;">
                  <c:v>10072.776919465883</c:v>
                </c:pt>
                <c:pt idx="31" formatCode="#\ ##0.00\ &quot;₽&quot;">
                  <c:v>10040.259153772089</c:v>
                </c:pt>
                <c:pt idx="32" formatCode="#\ ##0.00\ &quot;₽&quot;">
                  <c:v>10034.504045930486</c:v>
                </c:pt>
                <c:pt idx="33" formatCode="#\ ##0.00\ &quot;₽&quot;">
                  <c:v>9994.7013483757237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0-4B37-BA12-197A14D30700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Привязка низкой вероятности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Лист1!$A$2:$A$35</c:f>
              <c:numCache>
                <c:formatCode>m/d/yyyy</c:formatCode>
                <c:ptCount val="34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40187</c:v>
                </c:pt>
                <c:pt idx="6">
                  <c:v>40188</c:v>
                </c:pt>
                <c:pt idx="7">
                  <c:v>40189</c:v>
                </c:pt>
                <c:pt idx="8">
                  <c:v>40190</c:v>
                </c:pt>
                <c:pt idx="9">
                  <c:v>40191</c:v>
                </c:pt>
                <c:pt idx="10">
                  <c:v>40192</c:v>
                </c:pt>
                <c:pt idx="11">
                  <c:v>40193</c:v>
                </c:pt>
                <c:pt idx="12">
                  <c:v>40194</c:v>
                </c:pt>
                <c:pt idx="13">
                  <c:v>40195</c:v>
                </c:pt>
                <c:pt idx="14">
                  <c:v>40196</c:v>
                </c:pt>
                <c:pt idx="15">
                  <c:v>40197</c:v>
                </c:pt>
                <c:pt idx="16">
                  <c:v>40198</c:v>
                </c:pt>
                <c:pt idx="17">
                  <c:v>40199</c:v>
                </c:pt>
                <c:pt idx="18">
                  <c:v>40200</c:v>
                </c:pt>
                <c:pt idx="19">
                  <c:v>40201</c:v>
                </c:pt>
                <c:pt idx="20">
                  <c:v>40202</c:v>
                </c:pt>
                <c:pt idx="21">
                  <c:v>40203</c:v>
                </c:pt>
                <c:pt idx="22">
                  <c:v>40204</c:v>
                </c:pt>
                <c:pt idx="23">
                  <c:v>40205</c:v>
                </c:pt>
                <c:pt idx="24">
                  <c:v>40206</c:v>
                </c:pt>
                <c:pt idx="25">
                  <c:v>40207</c:v>
                </c:pt>
                <c:pt idx="26">
                  <c:v>40208</c:v>
                </c:pt>
                <c:pt idx="27">
                  <c:v>40209</c:v>
                </c:pt>
                <c:pt idx="28">
                  <c:v>40210</c:v>
                </c:pt>
                <c:pt idx="29">
                  <c:v>40211</c:v>
                </c:pt>
                <c:pt idx="30">
                  <c:v>40212</c:v>
                </c:pt>
                <c:pt idx="31">
                  <c:v>40213</c:v>
                </c:pt>
                <c:pt idx="32">
                  <c:v>40214</c:v>
                </c:pt>
                <c:pt idx="33">
                  <c:v>40215</c:v>
                </c:pt>
              </c:numCache>
            </c:numRef>
          </c:cat>
          <c:val>
            <c:numRef>
              <c:f>Лист1!$D$2:$D$35</c:f>
              <c:numCache>
                <c:formatCode>General</c:formatCode>
                <c:ptCount val="34"/>
                <c:pt idx="25" formatCode="#\ ##0.00\ &quot;₽&quot;">
                  <c:v>10067.33</c:v>
                </c:pt>
                <c:pt idx="26" formatCode="#\ ##0.00\ &quot;₽&quot;">
                  <c:v>9567.7393617886974</c:v>
                </c:pt>
                <c:pt idx="27" formatCode="#\ ##0.00\ &quot;₽&quot;">
                  <c:v>9530.4775714099087</c:v>
                </c:pt>
                <c:pt idx="28" formatCode="#\ ##0.00\ &quot;₽&quot;">
                  <c:v>9519.9418288886627</c:v>
                </c:pt>
                <c:pt idx="29" formatCode="#\ ##0.00\ &quot;₽&quot;">
                  <c:v>9475.3221779523737</c:v>
                </c:pt>
                <c:pt idx="30" formatCode="#\ ##0.00\ &quot;₽&quot;">
                  <c:v>9462.8849159779929</c:v>
                </c:pt>
                <c:pt idx="31" formatCode="#\ ##0.00\ &quot;₽&quot;">
                  <c:v>9425.4790161745786</c:v>
                </c:pt>
                <c:pt idx="32" formatCode="#\ ##0.00\ &quot;₽&quot;">
                  <c:v>9414.8003079070695</c:v>
                </c:pt>
                <c:pt idx="33" formatCode="#\ ##0.00\ &quot;₽&quot;">
                  <c:v>9370.0388238104115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0-4B37-BA12-197A14D30700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Привязка высокой вероятности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Лист1!$A$2:$A$35</c:f>
              <c:numCache>
                <c:formatCode>m/d/yyyy</c:formatCode>
                <c:ptCount val="34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40187</c:v>
                </c:pt>
                <c:pt idx="6">
                  <c:v>40188</c:v>
                </c:pt>
                <c:pt idx="7">
                  <c:v>40189</c:v>
                </c:pt>
                <c:pt idx="8">
                  <c:v>40190</c:v>
                </c:pt>
                <c:pt idx="9">
                  <c:v>40191</c:v>
                </c:pt>
                <c:pt idx="10">
                  <c:v>40192</c:v>
                </c:pt>
                <c:pt idx="11">
                  <c:v>40193</c:v>
                </c:pt>
                <c:pt idx="12">
                  <c:v>40194</c:v>
                </c:pt>
                <c:pt idx="13">
                  <c:v>40195</c:v>
                </c:pt>
                <c:pt idx="14">
                  <c:v>40196</c:v>
                </c:pt>
                <c:pt idx="15">
                  <c:v>40197</c:v>
                </c:pt>
                <c:pt idx="16">
                  <c:v>40198</c:v>
                </c:pt>
                <c:pt idx="17">
                  <c:v>40199</c:v>
                </c:pt>
                <c:pt idx="18">
                  <c:v>40200</c:v>
                </c:pt>
                <c:pt idx="19">
                  <c:v>40201</c:v>
                </c:pt>
                <c:pt idx="20">
                  <c:v>40202</c:v>
                </c:pt>
                <c:pt idx="21">
                  <c:v>40203</c:v>
                </c:pt>
                <c:pt idx="22">
                  <c:v>40204</c:v>
                </c:pt>
                <c:pt idx="23">
                  <c:v>40205</c:v>
                </c:pt>
                <c:pt idx="24">
                  <c:v>40206</c:v>
                </c:pt>
                <c:pt idx="25">
                  <c:v>40207</c:v>
                </c:pt>
                <c:pt idx="26">
                  <c:v>40208</c:v>
                </c:pt>
                <c:pt idx="27">
                  <c:v>40209</c:v>
                </c:pt>
                <c:pt idx="28">
                  <c:v>40210</c:v>
                </c:pt>
                <c:pt idx="29">
                  <c:v>40211</c:v>
                </c:pt>
                <c:pt idx="30">
                  <c:v>40212</c:v>
                </c:pt>
                <c:pt idx="31">
                  <c:v>40213</c:v>
                </c:pt>
                <c:pt idx="32">
                  <c:v>40214</c:v>
                </c:pt>
                <c:pt idx="33">
                  <c:v>40215</c:v>
                </c:pt>
              </c:numCache>
            </c:numRef>
          </c:cat>
          <c:val>
            <c:numRef>
              <c:f>Лист1!$E$2:$E$35</c:f>
              <c:numCache>
                <c:formatCode>General</c:formatCode>
                <c:ptCount val="34"/>
                <c:pt idx="25" formatCode="#\ ##0.00\ &quot;₽&quot;">
                  <c:v>10067.33</c:v>
                </c:pt>
                <c:pt idx="26" formatCode="#\ ##0.00\ &quot;₽&quot;">
                  <c:v>10748.984885029169</c:v>
                </c:pt>
                <c:pt idx="27" formatCode="#\ ##0.00\ &quot;₽&quot;">
                  <c:v>10721.211144020373</c:v>
                </c:pt>
                <c:pt idx="28" formatCode="#\ ##0.00\ &quot;₽&quot;">
                  <c:v>10720.236670858409</c:v>
                </c:pt>
                <c:pt idx="29" formatCode="#\ ##0.00\ &quot;₽&quot;">
                  <c:v>10685.250926685178</c:v>
                </c:pt>
                <c:pt idx="30" formatCode="#\ ##0.00\ &quot;₽&quot;">
                  <c:v>10682.668922953773</c:v>
                </c:pt>
                <c:pt idx="31" formatCode="#\ ##0.00\ &quot;₽&quot;">
                  <c:v>10655.0392913696</c:v>
                </c:pt>
                <c:pt idx="32" formatCode="#\ ##0.00\ &quot;₽&quot;">
                  <c:v>10654.207783953902</c:v>
                </c:pt>
                <c:pt idx="33" formatCode="#\ ##0.00\ &quot;₽&quot;">
                  <c:v>10619.363872941036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0-4B37-BA12-197A14D30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293583"/>
        <c:axId val="1150294415"/>
      </c:lineChart>
      <c:catAx>
        <c:axId val="115029358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0294415"/>
        <c:crosses val="autoZero"/>
        <c:auto val="1"/>
        <c:lblAlgn val="ctr"/>
        <c:lblOffset val="100"/>
        <c:noMultiLvlLbl val="0"/>
      </c:catAx>
      <c:valAx>
        <c:axId val="11502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029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Изменение индекса Доу-Джонса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960489619371243"/>
          <c:y val="0.13577878103837474"/>
          <c:w val="0.83619309646268136"/>
          <c:h val="0.67616140251091639"/>
        </c:manualLayout>
      </c:layout>
      <c:lineChart>
        <c:grouping val="standard"/>
        <c:varyColors val="0"/>
        <c:ser>
          <c:idx val="0"/>
          <c:order val="0"/>
          <c:tx>
            <c:strRef>
              <c:f>Данные!$B$1</c:f>
              <c:strCache>
                <c:ptCount val="1"/>
                <c:pt idx="0">
                  <c:v>Индекс Доу-Джонса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6"/>
            <c:forward val="7"/>
            <c:dispRSqr val="1"/>
            <c:dispEq val="1"/>
            <c:trendlineLbl>
              <c:layout>
                <c:manualLayout>
                  <c:x val="4.7014478470504092E-2"/>
                  <c:y val="-0.2146842395264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Данные!$A$2:$A$153</c:f>
              <c:numCache>
                <c:formatCode>m/d/yyyy</c:formatCode>
                <c:ptCount val="152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40189</c:v>
                </c:pt>
                <c:pt idx="6">
                  <c:v>40190</c:v>
                </c:pt>
                <c:pt idx="7">
                  <c:v>40191</c:v>
                </c:pt>
                <c:pt idx="8">
                  <c:v>40192</c:v>
                </c:pt>
                <c:pt idx="9">
                  <c:v>40193</c:v>
                </c:pt>
                <c:pt idx="10">
                  <c:v>40197</c:v>
                </c:pt>
                <c:pt idx="11">
                  <c:v>40198</c:v>
                </c:pt>
                <c:pt idx="12">
                  <c:v>40199</c:v>
                </c:pt>
                <c:pt idx="13">
                  <c:v>40200</c:v>
                </c:pt>
                <c:pt idx="14">
                  <c:v>40203</c:v>
                </c:pt>
                <c:pt idx="15">
                  <c:v>40204</c:v>
                </c:pt>
                <c:pt idx="16">
                  <c:v>40205</c:v>
                </c:pt>
                <c:pt idx="17">
                  <c:v>40206</c:v>
                </c:pt>
                <c:pt idx="18">
                  <c:v>40207</c:v>
                </c:pt>
                <c:pt idx="19">
                  <c:v>40210</c:v>
                </c:pt>
                <c:pt idx="20">
                  <c:v>40211</c:v>
                </c:pt>
                <c:pt idx="21">
                  <c:v>40212</c:v>
                </c:pt>
                <c:pt idx="22">
                  <c:v>40213</c:v>
                </c:pt>
                <c:pt idx="23">
                  <c:v>40214</c:v>
                </c:pt>
                <c:pt idx="24">
                  <c:v>40217</c:v>
                </c:pt>
                <c:pt idx="25">
                  <c:v>40218</c:v>
                </c:pt>
                <c:pt idx="26">
                  <c:v>40219</c:v>
                </c:pt>
                <c:pt idx="27">
                  <c:v>40220</c:v>
                </c:pt>
                <c:pt idx="28">
                  <c:v>40221</c:v>
                </c:pt>
                <c:pt idx="29">
                  <c:v>40225</c:v>
                </c:pt>
                <c:pt idx="30">
                  <c:v>40226</c:v>
                </c:pt>
                <c:pt idx="31">
                  <c:v>40227</c:v>
                </c:pt>
                <c:pt idx="32">
                  <c:v>40228</c:v>
                </c:pt>
                <c:pt idx="33">
                  <c:v>40231</c:v>
                </c:pt>
                <c:pt idx="34">
                  <c:v>40232</c:v>
                </c:pt>
                <c:pt idx="35">
                  <c:v>40233</c:v>
                </c:pt>
                <c:pt idx="36">
                  <c:v>40234</c:v>
                </c:pt>
                <c:pt idx="37">
                  <c:v>40235</c:v>
                </c:pt>
                <c:pt idx="38">
                  <c:v>40238</c:v>
                </c:pt>
                <c:pt idx="39">
                  <c:v>40239</c:v>
                </c:pt>
                <c:pt idx="40">
                  <c:v>40240</c:v>
                </c:pt>
                <c:pt idx="41">
                  <c:v>40241</c:v>
                </c:pt>
                <c:pt idx="42">
                  <c:v>40242</c:v>
                </c:pt>
                <c:pt idx="43">
                  <c:v>40245</c:v>
                </c:pt>
                <c:pt idx="44">
                  <c:v>40246</c:v>
                </c:pt>
                <c:pt idx="45">
                  <c:v>40247</c:v>
                </c:pt>
                <c:pt idx="46">
                  <c:v>40248</c:v>
                </c:pt>
                <c:pt idx="47">
                  <c:v>40249</c:v>
                </c:pt>
                <c:pt idx="48">
                  <c:v>40252</c:v>
                </c:pt>
                <c:pt idx="49">
                  <c:v>40253</c:v>
                </c:pt>
                <c:pt idx="50">
                  <c:v>40254</c:v>
                </c:pt>
                <c:pt idx="51">
                  <c:v>40255</c:v>
                </c:pt>
                <c:pt idx="52">
                  <c:v>40256</c:v>
                </c:pt>
                <c:pt idx="53">
                  <c:v>40259</c:v>
                </c:pt>
                <c:pt idx="54">
                  <c:v>40260</c:v>
                </c:pt>
                <c:pt idx="55">
                  <c:v>40261</c:v>
                </c:pt>
                <c:pt idx="56">
                  <c:v>40262</c:v>
                </c:pt>
                <c:pt idx="57">
                  <c:v>40263</c:v>
                </c:pt>
                <c:pt idx="58">
                  <c:v>40266</c:v>
                </c:pt>
                <c:pt idx="59">
                  <c:v>40267</c:v>
                </c:pt>
                <c:pt idx="60">
                  <c:v>40268</c:v>
                </c:pt>
                <c:pt idx="61">
                  <c:v>40269</c:v>
                </c:pt>
                <c:pt idx="62">
                  <c:v>40273</c:v>
                </c:pt>
                <c:pt idx="63">
                  <c:v>40274</c:v>
                </c:pt>
                <c:pt idx="64">
                  <c:v>40275</c:v>
                </c:pt>
                <c:pt idx="65">
                  <c:v>40276</c:v>
                </c:pt>
                <c:pt idx="66">
                  <c:v>40277</c:v>
                </c:pt>
                <c:pt idx="67">
                  <c:v>40280</c:v>
                </c:pt>
                <c:pt idx="68">
                  <c:v>40281</c:v>
                </c:pt>
                <c:pt idx="69">
                  <c:v>40282</c:v>
                </c:pt>
                <c:pt idx="70">
                  <c:v>40283</c:v>
                </c:pt>
                <c:pt idx="71">
                  <c:v>40284</c:v>
                </c:pt>
                <c:pt idx="72">
                  <c:v>40287</c:v>
                </c:pt>
                <c:pt idx="73">
                  <c:v>40288</c:v>
                </c:pt>
                <c:pt idx="74">
                  <c:v>40289</c:v>
                </c:pt>
                <c:pt idx="75">
                  <c:v>40290</c:v>
                </c:pt>
                <c:pt idx="76">
                  <c:v>40291</c:v>
                </c:pt>
                <c:pt idx="77">
                  <c:v>40294</c:v>
                </c:pt>
                <c:pt idx="78">
                  <c:v>40295</c:v>
                </c:pt>
                <c:pt idx="79">
                  <c:v>40296</c:v>
                </c:pt>
                <c:pt idx="80">
                  <c:v>40297</c:v>
                </c:pt>
                <c:pt idx="81">
                  <c:v>40298</c:v>
                </c:pt>
                <c:pt idx="82">
                  <c:v>40301</c:v>
                </c:pt>
                <c:pt idx="83">
                  <c:v>40302</c:v>
                </c:pt>
                <c:pt idx="84">
                  <c:v>40303</c:v>
                </c:pt>
                <c:pt idx="85">
                  <c:v>40304</c:v>
                </c:pt>
                <c:pt idx="86">
                  <c:v>40305</c:v>
                </c:pt>
                <c:pt idx="87">
                  <c:v>40308</c:v>
                </c:pt>
                <c:pt idx="88">
                  <c:v>40309</c:v>
                </c:pt>
                <c:pt idx="89">
                  <c:v>40310</c:v>
                </c:pt>
                <c:pt idx="90">
                  <c:v>40311</c:v>
                </c:pt>
                <c:pt idx="91">
                  <c:v>40312</c:v>
                </c:pt>
                <c:pt idx="92">
                  <c:v>40315</c:v>
                </c:pt>
                <c:pt idx="93">
                  <c:v>40316</c:v>
                </c:pt>
                <c:pt idx="94">
                  <c:v>40317</c:v>
                </c:pt>
                <c:pt idx="95">
                  <c:v>40318</c:v>
                </c:pt>
                <c:pt idx="96">
                  <c:v>40319</c:v>
                </c:pt>
                <c:pt idx="97">
                  <c:v>40322</c:v>
                </c:pt>
                <c:pt idx="98">
                  <c:v>40323</c:v>
                </c:pt>
                <c:pt idx="99">
                  <c:v>40324</c:v>
                </c:pt>
                <c:pt idx="100">
                  <c:v>40325</c:v>
                </c:pt>
                <c:pt idx="101">
                  <c:v>40326</c:v>
                </c:pt>
                <c:pt idx="102">
                  <c:v>40330</c:v>
                </c:pt>
                <c:pt idx="103">
                  <c:v>40331</c:v>
                </c:pt>
                <c:pt idx="104">
                  <c:v>40332</c:v>
                </c:pt>
                <c:pt idx="105">
                  <c:v>40333</c:v>
                </c:pt>
                <c:pt idx="106">
                  <c:v>40336</c:v>
                </c:pt>
                <c:pt idx="107">
                  <c:v>40337</c:v>
                </c:pt>
                <c:pt idx="108">
                  <c:v>40338</c:v>
                </c:pt>
                <c:pt idx="109">
                  <c:v>40339</c:v>
                </c:pt>
                <c:pt idx="110">
                  <c:v>40340</c:v>
                </c:pt>
                <c:pt idx="111">
                  <c:v>40343</c:v>
                </c:pt>
                <c:pt idx="112">
                  <c:v>40344</c:v>
                </c:pt>
                <c:pt idx="113">
                  <c:v>40345</c:v>
                </c:pt>
                <c:pt idx="114">
                  <c:v>40346</c:v>
                </c:pt>
                <c:pt idx="115">
                  <c:v>40347</c:v>
                </c:pt>
                <c:pt idx="116">
                  <c:v>40350</c:v>
                </c:pt>
                <c:pt idx="117">
                  <c:v>40351</c:v>
                </c:pt>
                <c:pt idx="118">
                  <c:v>40352</c:v>
                </c:pt>
                <c:pt idx="119">
                  <c:v>40353</c:v>
                </c:pt>
                <c:pt idx="120">
                  <c:v>40354</c:v>
                </c:pt>
                <c:pt idx="121">
                  <c:v>40357</c:v>
                </c:pt>
                <c:pt idx="122">
                  <c:v>40358</c:v>
                </c:pt>
                <c:pt idx="123">
                  <c:v>40359</c:v>
                </c:pt>
                <c:pt idx="124">
                  <c:v>40360</c:v>
                </c:pt>
                <c:pt idx="125">
                  <c:v>40361</c:v>
                </c:pt>
                <c:pt idx="126">
                  <c:v>40365</c:v>
                </c:pt>
                <c:pt idx="127">
                  <c:v>40366</c:v>
                </c:pt>
                <c:pt idx="128">
                  <c:v>40367</c:v>
                </c:pt>
                <c:pt idx="129">
                  <c:v>40368</c:v>
                </c:pt>
                <c:pt idx="130">
                  <c:v>40371</c:v>
                </c:pt>
                <c:pt idx="131">
                  <c:v>40372</c:v>
                </c:pt>
                <c:pt idx="132">
                  <c:v>40373</c:v>
                </c:pt>
                <c:pt idx="133">
                  <c:v>40374</c:v>
                </c:pt>
                <c:pt idx="134">
                  <c:v>40375</c:v>
                </c:pt>
                <c:pt idx="135">
                  <c:v>40378</c:v>
                </c:pt>
                <c:pt idx="136">
                  <c:v>40379</c:v>
                </c:pt>
                <c:pt idx="137">
                  <c:v>40380</c:v>
                </c:pt>
                <c:pt idx="138">
                  <c:v>40381</c:v>
                </c:pt>
                <c:pt idx="139">
                  <c:v>40382</c:v>
                </c:pt>
                <c:pt idx="140">
                  <c:v>40385</c:v>
                </c:pt>
                <c:pt idx="141">
                  <c:v>40386</c:v>
                </c:pt>
                <c:pt idx="142">
                  <c:v>40387</c:v>
                </c:pt>
                <c:pt idx="143">
                  <c:v>40388</c:v>
                </c:pt>
                <c:pt idx="144">
                  <c:v>40389</c:v>
                </c:pt>
                <c:pt idx="145">
                  <c:v>40392</c:v>
                </c:pt>
                <c:pt idx="146">
                  <c:v>40393</c:v>
                </c:pt>
                <c:pt idx="147">
                  <c:v>40394</c:v>
                </c:pt>
                <c:pt idx="148">
                  <c:v>40395</c:v>
                </c:pt>
                <c:pt idx="149">
                  <c:v>40396</c:v>
                </c:pt>
                <c:pt idx="150">
                  <c:v>40399</c:v>
                </c:pt>
                <c:pt idx="151">
                  <c:v>40400</c:v>
                </c:pt>
              </c:numCache>
            </c:numRef>
          </c:cat>
          <c:val>
            <c:numRef>
              <c:f>Данные!$B$2:$B$153</c:f>
              <c:numCache>
                <c:formatCode>#\ ##0.00\ "₽"</c:formatCode>
                <c:ptCount val="152"/>
                <c:pt idx="0">
                  <c:v>10583.96</c:v>
                </c:pt>
                <c:pt idx="1">
                  <c:v>10572.02</c:v>
                </c:pt>
                <c:pt idx="2">
                  <c:v>10573.68</c:v>
                </c:pt>
                <c:pt idx="3">
                  <c:v>10606.86</c:v>
                </c:pt>
                <c:pt idx="4">
                  <c:v>10618.19</c:v>
                </c:pt>
                <c:pt idx="5">
                  <c:v>10663.99</c:v>
                </c:pt>
                <c:pt idx="6">
                  <c:v>10627.26</c:v>
                </c:pt>
                <c:pt idx="7">
                  <c:v>10680.77</c:v>
                </c:pt>
                <c:pt idx="8">
                  <c:v>10710.55</c:v>
                </c:pt>
                <c:pt idx="9">
                  <c:v>10609.65</c:v>
                </c:pt>
                <c:pt idx="10">
                  <c:v>10725.43</c:v>
                </c:pt>
                <c:pt idx="11">
                  <c:v>10603.15</c:v>
                </c:pt>
                <c:pt idx="12">
                  <c:v>10389.879999999999</c:v>
                </c:pt>
                <c:pt idx="13">
                  <c:v>10172.98</c:v>
                </c:pt>
                <c:pt idx="14">
                  <c:v>10196.86</c:v>
                </c:pt>
                <c:pt idx="15">
                  <c:v>10194.290000000001</c:v>
                </c:pt>
                <c:pt idx="16">
                  <c:v>10236.16</c:v>
                </c:pt>
                <c:pt idx="17">
                  <c:v>10120.459999999999</c:v>
                </c:pt>
                <c:pt idx="18">
                  <c:v>10067.33</c:v>
                </c:pt>
                <c:pt idx="19">
                  <c:v>10185.530000000001</c:v>
                </c:pt>
                <c:pt idx="20">
                  <c:v>10296.85</c:v>
                </c:pt>
                <c:pt idx="21">
                  <c:v>10270.549999999999</c:v>
                </c:pt>
                <c:pt idx="22">
                  <c:v>10002.18</c:v>
                </c:pt>
                <c:pt idx="23">
                  <c:v>10012.23</c:v>
                </c:pt>
                <c:pt idx="24">
                  <c:v>9908.39</c:v>
                </c:pt>
                <c:pt idx="25">
                  <c:v>10058.64</c:v>
                </c:pt>
                <c:pt idx="26">
                  <c:v>10038.379999999999</c:v>
                </c:pt>
                <c:pt idx="27">
                  <c:v>10144.19</c:v>
                </c:pt>
                <c:pt idx="28">
                  <c:v>10099.14</c:v>
                </c:pt>
                <c:pt idx="29">
                  <c:v>10268.81</c:v>
                </c:pt>
                <c:pt idx="30">
                  <c:v>10309.24</c:v>
                </c:pt>
                <c:pt idx="31">
                  <c:v>10392.9</c:v>
                </c:pt>
                <c:pt idx="32">
                  <c:v>10402.35</c:v>
                </c:pt>
                <c:pt idx="33">
                  <c:v>10383.379999999999</c:v>
                </c:pt>
                <c:pt idx="34">
                  <c:v>10282.41</c:v>
                </c:pt>
                <c:pt idx="35">
                  <c:v>10374.16</c:v>
                </c:pt>
                <c:pt idx="36">
                  <c:v>10321.030000000001</c:v>
                </c:pt>
                <c:pt idx="37">
                  <c:v>10325.26</c:v>
                </c:pt>
                <c:pt idx="38">
                  <c:v>10403.790000000001</c:v>
                </c:pt>
                <c:pt idx="39">
                  <c:v>10405.98</c:v>
                </c:pt>
                <c:pt idx="40">
                  <c:v>10396.76</c:v>
                </c:pt>
                <c:pt idx="41">
                  <c:v>10444.14</c:v>
                </c:pt>
                <c:pt idx="42">
                  <c:v>10566.2</c:v>
                </c:pt>
                <c:pt idx="43">
                  <c:v>10552.52</c:v>
                </c:pt>
                <c:pt idx="44">
                  <c:v>10564.38</c:v>
                </c:pt>
                <c:pt idx="45">
                  <c:v>10567.33</c:v>
                </c:pt>
                <c:pt idx="46">
                  <c:v>10611.84</c:v>
                </c:pt>
                <c:pt idx="47">
                  <c:v>10624.69</c:v>
                </c:pt>
                <c:pt idx="48">
                  <c:v>10642.15</c:v>
                </c:pt>
                <c:pt idx="49">
                  <c:v>10685.98</c:v>
                </c:pt>
                <c:pt idx="50">
                  <c:v>10733.67</c:v>
                </c:pt>
                <c:pt idx="51">
                  <c:v>10779.17</c:v>
                </c:pt>
                <c:pt idx="52">
                  <c:v>10741.98</c:v>
                </c:pt>
                <c:pt idx="53">
                  <c:v>10785.89</c:v>
                </c:pt>
                <c:pt idx="54">
                  <c:v>10888.83</c:v>
                </c:pt>
                <c:pt idx="55">
                  <c:v>10836.15</c:v>
                </c:pt>
                <c:pt idx="56">
                  <c:v>10841.21</c:v>
                </c:pt>
                <c:pt idx="57">
                  <c:v>10850.36</c:v>
                </c:pt>
                <c:pt idx="58">
                  <c:v>10895.86</c:v>
                </c:pt>
                <c:pt idx="59">
                  <c:v>10907.42</c:v>
                </c:pt>
                <c:pt idx="60">
                  <c:v>10856.63</c:v>
                </c:pt>
                <c:pt idx="61">
                  <c:v>10927.07</c:v>
                </c:pt>
                <c:pt idx="62">
                  <c:v>10973.55</c:v>
                </c:pt>
                <c:pt idx="63">
                  <c:v>10969.99</c:v>
                </c:pt>
                <c:pt idx="64">
                  <c:v>10897.52</c:v>
                </c:pt>
                <c:pt idx="65">
                  <c:v>10927.07</c:v>
                </c:pt>
                <c:pt idx="66">
                  <c:v>10997.35</c:v>
                </c:pt>
                <c:pt idx="67">
                  <c:v>11005.97</c:v>
                </c:pt>
                <c:pt idx="68">
                  <c:v>11019.42</c:v>
                </c:pt>
                <c:pt idx="69">
                  <c:v>11123.11</c:v>
                </c:pt>
                <c:pt idx="70">
                  <c:v>11144.57</c:v>
                </c:pt>
                <c:pt idx="71">
                  <c:v>11018.66</c:v>
                </c:pt>
                <c:pt idx="72">
                  <c:v>11092.05</c:v>
                </c:pt>
                <c:pt idx="73">
                  <c:v>11117.06</c:v>
                </c:pt>
                <c:pt idx="74">
                  <c:v>11124.92</c:v>
                </c:pt>
                <c:pt idx="75">
                  <c:v>11134.29</c:v>
                </c:pt>
                <c:pt idx="76">
                  <c:v>11204.28</c:v>
                </c:pt>
                <c:pt idx="77">
                  <c:v>11205.03</c:v>
                </c:pt>
                <c:pt idx="78">
                  <c:v>10991.99</c:v>
                </c:pt>
                <c:pt idx="79">
                  <c:v>11045.27</c:v>
                </c:pt>
                <c:pt idx="80">
                  <c:v>11167.32</c:v>
                </c:pt>
                <c:pt idx="81">
                  <c:v>11008.61</c:v>
                </c:pt>
                <c:pt idx="82">
                  <c:v>11151.83</c:v>
                </c:pt>
                <c:pt idx="83">
                  <c:v>10926.77</c:v>
                </c:pt>
                <c:pt idx="84">
                  <c:v>10868.12</c:v>
                </c:pt>
                <c:pt idx="85">
                  <c:v>10520.32</c:v>
                </c:pt>
                <c:pt idx="86">
                  <c:v>10380.43</c:v>
                </c:pt>
                <c:pt idx="87">
                  <c:v>10785.14</c:v>
                </c:pt>
                <c:pt idx="88">
                  <c:v>10748.26</c:v>
                </c:pt>
                <c:pt idx="89">
                  <c:v>10896.91</c:v>
                </c:pt>
                <c:pt idx="90">
                  <c:v>10782.95</c:v>
                </c:pt>
                <c:pt idx="91">
                  <c:v>10620.16</c:v>
                </c:pt>
                <c:pt idx="92">
                  <c:v>10625.83</c:v>
                </c:pt>
                <c:pt idx="93">
                  <c:v>10510.95</c:v>
                </c:pt>
                <c:pt idx="94">
                  <c:v>10444.370000000001</c:v>
                </c:pt>
                <c:pt idx="95">
                  <c:v>10068.01</c:v>
                </c:pt>
                <c:pt idx="96">
                  <c:v>10193.39</c:v>
                </c:pt>
                <c:pt idx="97">
                  <c:v>10066.57</c:v>
                </c:pt>
                <c:pt idx="98">
                  <c:v>10043.75</c:v>
                </c:pt>
                <c:pt idx="99">
                  <c:v>9974.4500000000007</c:v>
                </c:pt>
                <c:pt idx="100">
                  <c:v>10258.99</c:v>
                </c:pt>
                <c:pt idx="101">
                  <c:v>10136.629999999999</c:v>
                </c:pt>
                <c:pt idx="102">
                  <c:v>10024.02</c:v>
                </c:pt>
                <c:pt idx="103">
                  <c:v>10249.540000000001</c:v>
                </c:pt>
                <c:pt idx="104">
                  <c:v>10255.280000000001</c:v>
                </c:pt>
                <c:pt idx="105">
                  <c:v>9931.9699999999993</c:v>
                </c:pt>
                <c:pt idx="106">
                  <c:v>9816.49</c:v>
                </c:pt>
                <c:pt idx="107">
                  <c:v>9939.98</c:v>
                </c:pt>
                <c:pt idx="108">
                  <c:v>9899.25</c:v>
                </c:pt>
                <c:pt idx="109">
                  <c:v>10172.530000000001</c:v>
                </c:pt>
                <c:pt idx="110">
                  <c:v>10211.07</c:v>
                </c:pt>
                <c:pt idx="111">
                  <c:v>10190.89</c:v>
                </c:pt>
                <c:pt idx="112">
                  <c:v>10404.77</c:v>
                </c:pt>
                <c:pt idx="113">
                  <c:v>10409.459999999999</c:v>
                </c:pt>
                <c:pt idx="114">
                  <c:v>10434.17</c:v>
                </c:pt>
                <c:pt idx="115">
                  <c:v>10450.64</c:v>
                </c:pt>
                <c:pt idx="116">
                  <c:v>10442.41</c:v>
                </c:pt>
                <c:pt idx="117">
                  <c:v>10293.52</c:v>
                </c:pt>
                <c:pt idx="118">
                  <c:v>10298.44</c:v>
                </c:pt>
                <c:pt idx="119">
                  <c:v>10152.799999999999</c:v>
                </c:pt>
                <c:pt idx="120">
                  <c:v>10143.81</c:v>
                </c:pt>
                <c:pt idx="121">
                  <c:v>10138.52</c:v>
                </c:pt>
                <c:pt idx="122">
                  <c:v>9870.2999999999993</c:v>
                </c:pt>
                <c:pt idx="123">
                  <c:v>9774.02</c:v>
                </c:pt>
                <c:pt idx="124">
                  <c:v>9732.5300000000007</c:v>
                </c:pt>
                <c:pt idx="125">
                  <c:v>9686.48</c:v>
                </c:pt>
                <c:pt idx="126">
                  <c:v>9743.6200000000008</c:v>
                </c:pt>
                <c:pt idx="127">
                  <c:v>10018.280000000001</c:v>
                </c:pt>
                <c:pt idx="128">
                  <c:v>10138.99</c:v>
                </c:pt>
                <c:pt idx="129">
                  <c:v>10198.030000000001</c:v>
                </c:pt>
                <c:pt idx="130">
                  <c:v>10216.27</c:v>
                </c:pt>
                <c:pt idx="131">
                  <c:v>10363.02</c:v>
                </c:pt>
                <c:pt idx="132">
                  <c:v>10366.719999999999</c:v>
                </c:pt>
                <c:pt idx="133">
                  <c:v>10359.31</c:v>
                </c:pt>
                <c:pt idx="134">
                  <c:v>10097.9</c:v>
                </c:pt>
                <c:pt idx="135">
                  <c:v>10154.43</c:v>
                </c:pt>
                <c:pt idx="136">
                  <c:v>10229.959999999999</c:v>
                </c:pt>
                <c:pt idx="137">
                  <c:v>10120.530000000001</c:v>
                </c:pt>
                <c:pt idx="138">
                  <c:v>10322.299999999999</c:v>
                </c:pt>
                <c:pt idx="139">
                  <c:v>10424.620000000001</c:v>
                </c:pt>
                <c:pt idx="140">
                  <c:v>10525.43</c:v>
                </c:pt>
                <c:pt idx="141">
                  <c:v>10537.69</c:v>
                </c:pt>
                <c:pt idx="142">
                  <c:v>10497.88</c:v>
                </c:pt>
                <c:pt idx="143">
                  <c:v>10467.16</c:v>
                </c:pt>
                <c:pt idx="144">
                  <c:v>10465.94</c:v>
                </c:pt>
                <c:pt idx="145">
                  <c:v>10674.38</c:v>
                </c:pt>
                <c:pt idx="146">
                  <c:v>10636.38</c:v>
                </c:pt>
                <c:pt idx="147">
                  <c:v>10680.43</c:v>
                </c:pt>
                <c:pt idx="148">
                  <c:v>10674.98</c:v>
                </c:pt>
                <c:pt idx="149">
                  <c:v>10653.56</c:v>
                </c:pt>
                <c:pt idx="150">
                  <c:v>10698.75</c:v>
                </c:pt>
                <c:pt idx="151">
                  <c:v>10644.25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5-4BC8-BA99-C540EECC2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227951"/>
        <c:axId val="1702229199"/>
      </c:lineChart>
      <c:dateAx>
        <c:axId val="17022279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2229199"/>
        <c:crosses val="autoZero"/>
        <c:auto val="1"/>
        <c:lblOffset val="100"/>
        <c:baseTimeUnit val="days"/>
      </c:dateAx>
      <c:valAx>
        <c:axId val="170222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222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10</xdr:row>
      <xdr:rowOff>53340</xdr:rowOff>
    </xdr:from>
    <xdr:to>
      <xdr:col>14</xdr:col>
      <xdr:colOff>588645</xdr:colOff>
      <xdr:row>32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C4848C-F85D-4556-BA75-C9DF0896B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5</xdr:row>
      <xdr:rowOff>60960</xdr:rowOff>
    </xdr:from>
    <xdr:to>
      <xdr:col>13</xdr:col>
      <xdr:colOff>266700</xdr:colOff>
      <xdr:row>23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41F361-91CF-416A-B056-AA49B59B2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F034E-D104-4020-BA37-E00ABFA432BA}" name="Таблица1" displayName="Таблица1" ref="A1:E35" totalsRowShown="0">
  <autoFilter ref="A1:E35" xr:uid="{789F034E-D104-4020-BA37-E00ABFA432BA}"/>
  <tableColumns count="5">
    <tableColumn id="1" xr3:uid="{382981E4-2CD3-4076-912D-3951AE8D9B0D}" name="Временная шкала" dataDxfId="4"/>
    <tableColumn id="2" xr3:uid="{DE3A20E3-4C4F-45DC-827C-3B2A219FE68A}" name="Значения"/>
    <tableColumn id="3" xr3:uid="{B813300B-4A0B-482F-8180-71761A2A1CB2}" name="Прогноз" dataDxfId="3">
      <calculatedColumnFormula>_xlfn.FORECAST.ETS(A2,$B$2:$B$27,$A$2:$A$27,4,1)</calculatedColumnFormula>
    </tableColumn>
    <tableColumn id="4" xr3:uid="{EFDD3FF9-2525-4181-9E88-AE30FAE8B0C6}" name="Привязка низкой вероятности" dataDxfId="2">
      <calculatedColumnFormula>C2-_xlfn.FORECAST.ETS.CONFINT(A2,$B$2:$B$27,$A$2:$A$27,0.9999,4,1)</calculatedColumnFormula>
    </tableColumn>
    <tableColumn id="5" xr3:uid="{9D0B6FF4-2C11-4089-88D4-B8F8188C121A}" name="Привязка высокой вероятности" dataDxfId="1">
      <calculatedColumnFormula>C2+_xlfn.FORECAST.ETS.CONFINT(A2,$B$2:$B$27,$A$2:$A$27,0.9999,4,1)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847C7-406B-4CF9-A94E-68626F456651}" name="Таблица2" displayName="Таблица2" ref="G1:H8" totalsRowShown="0">
  <autoFilter ref="G1:H8" xr:uid="{B75847C7-406B-4CF9-A94E-68626F456651}"/>
  <tableColumns count="2">
    <tableColumn id="1" xr3:uid="{2129F590-8F3B-40BD-9BE0-1D65B4CBD6C3}" name="Статистика"/>
    <tableColumn id="2" xr3:uid="{F7FCE312-6DBC-493D-B981-4E73071223BB}" name="Знач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EA13-88EC-4004-B335-D90E8A710E02}">
  <dimension ref="A1:H35"/>
  <sheetViews>
    <sheetView tabSelected="1" topLeftCell="A16" workbookViewId="0">
      <selection activeCell="P24" sqref="P24"/>
    </sheetView>
  </sheetViews>
  <sheetFormatPr defaultRowHeight="14.4" x14ac:dyDescent="0.3"/>
  <cols>
    <col min="1" max="1" width="18.77734375" customWidth="1"/>
    <col min="2" max="2" width="11.21875" customWidth="1"/>
    <col min="3" max="3" width="10.33203125" bestFit="1" customWidth="1"/>
    <col min="4" max="4" width="29.44140625" customWidth="1"/>
    <col min="5" max="5" width="30.77734375" customWidth="1"/>
    <col min="7" max="7" width="12.44140625" customWidth="1"/>
    <col min="8" max="8" width="11.21875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G1" t="s">
        <v>8</v>
      </c>
      <c r="H1" t="s">
        <v>9</v>
      </c>
    </row>
    <row r="2" spans="1:8" x14ac:dyDescent="0.3">
      <c r="A2" s="1">
        <v>40182</v>
      </c>
      <c r="B2" s="3">
        <v>10583.96</v>
      </c>
      <c r="G2" t="s">
        <v>10</v>
      </c>
      <c r="H2" s="5">
        <f>_xlfn.FORECAST.ETS.STAT($B$2:$B$27,$A$2:$A$27,1,4,1)</f>
        <v>0.126</v>
      </c>
    </row>
    <row r="3" spans="1:8" x14ac:dyDescent="0.3">
      <c r="A3" s="1">
        <v>40183</v>
      </c>
      <c r="B3" s="3">
        <v>10572.02</v>
      </c>
      <c r="G3" t="s">
        <v>11</v>
      </c>
      <c r="H3" s="5">
        <f>_xlfn.FORECAST.ETS.STAT($B$2:$B$27,$A$2:$A$27,2,4,1)</f>
        <v>1E-3</v>
      </c>
    </row>
    <row r="4" spans="1:8" x14ac:dyDescent="0.3">
      <c r="A4" s="1">
        <v>40184</v>
      </c>
      <c r="B4" s="3">
        <v>10573.68</v>
      </c>
      <c r="G4" t="s">
        <v>12</v>
      </c>
      <c r="H4" s="5">
        <f>_xlfn.FORECAST.ETS.STAT($B$2:$B$27,$A$2:$A$27,3,4,1)</f>
        <v>1E-3</v>
      </c>
    </row>
    <row r="5" spans="1:8" x14ac:dyDescent="0.3">
      <c r="A5" s="1">
        <v>40185</v>
      </c>
      <c r="B5" s="3">
        <v>10606.86</v>
      </c>
      <c r="G5" t="s">
        <v>13</v>
      </c>
      <c r="H5" s="5">
        <f>_xlfn.FORECAST.ETS.STAT($B$2:$B$27,$A$2:$A$27,4,4,1)</f>
        <v>4.4429591244412174</v>
      </c>
    </row>
    <row r="6" spans="1:8" x14ac:dyDescent="0.3">
      <c r="A6" s="1">
        <v>40186</v>
      </c>
      <c r="B6" s="3">
        <v>10618.19</v>
      </c>
      <c r="G6" t="s">
        <v>14</v>
      </c>
      <c r="H6" s="5">
        <f>_xlfn.FORECAST.ETS.STAT($B$2:$B$27,$A$2:$A$27,5,4,1)</f>
        <v>1.2679866762893599E-2</v>
      </c>
    </row>
    <row r="7" spans="1:8" x14ac:dyDescent="0.3">
      <c r="A7" s="1">
        <v>40187</v>
      </c>
      <c r="B7" s="3">
        <v>10633.456666666667</v>
      </c>
      <c r="G7" t="s">
        <v>15</v>
      </c>
      <c r="H7" s="5">
        <f>_xlfn.FORECAST.ETS.STAT($B$2:$B$27,$A$2:$A$27,6,4,1)</f>
        <v>130.5074813213354</v>
      </c>
    </row>
    <row r="8" spans="1:8" x14ac:dyDescent="0.3">
      <c r="A8" s="1">
        <v>40188</v>
      </c>
      <c r="B8" s="3">
        <v>10648.723333333333</v>
      </c>
      <c r="G8" t="s">
        <v>16</v>
      </c>
      <c r="H8" s="5">
        <f>_xlfn.FORECAST.ETS.STAT($B$2:$B$27,$A$2:$A$27,7,4,1)</f>
        <v>151.32026677392824</v>
      </c>
    </row>
    <row r="9" spans="1:8" x14ac:dyDescent="0.3">
      <c r="A9" s="1">
        <v>40189</v>
      </c>
      <c r="B9" s="3">
        <v>10663.99</v>
      </c>
    </row>
    <row r="10" spans="1:8" x14ac:dyDescent="0.3">
      <c r="A10" s="1">
        <v>40190</v>
      </c>
      <c r="B10" s="3">
        <v>10627.26</v>
      </c>
    </row>
    <row r="11" spans="1:8" x14ac:dyDescent="0.3">
      <c r="A11" s="1">
        <v>40191</v>
      </c>
      <c r="B11" s="3">
        <v>10680.77</v>
      </c>
    </row>
    <row r="12" spans="1:8" x14ac:dyDescent="0.3">
      <c r="A12" s="1">
        <v>40192</v>
      </c>
      <c r="B12" s="3">
        <v>10710.55</v>
      </c>
    </row>
    <row r="13" spans="1:8" x14ac:dyDescent="0.3">
      <c r="A13" s="1">
        <v>40193</v>
      </c>
      <c r="B13" s="3">
        <v>10609.65</v>
      </c>
    </row>
    <row r="14" spans="1:8" x14ac:dyDescent="0.3">
      <c r="A14" s="1">
        <v>40194</v>
      </c>
      <c r="B14" s="3">
        <v>10638.594999999999</v>
      </c>
    </row>
    <row r="15" spans="1:8" x14ac:dyDescent="0.3">
      <c r="A15" s="1">
        <v>40195</v>
      </c>
      <c r="B15" s="3">
        <v>10667.54</v>
      </c>
    </row>
    <row r="16" spans="1:8" x14ac:dyDescent="0.3">
      <c r="A16" s="1">
        <v>40196</v>
      </c>
      <c r="B16" s="3">
        <v>10696.485000000001</v>
      </c>
    </row>
    <row r="17" spans="1:5" x14ac:dyDescent="0.3">
      <c r="A17" s="1">
        <v>40197</v>
      </c>
      <c r="B17" s="3">
        <v>10725.43</v>
      </c>
    </row>
    <row r="18" spans="1:5" x14ac:dyDescent="0.3">
      <c r="A18" s="1">
        <v>40198</v>
      </c>
      <c r="B18" s="3">
        <v>10603.15</v>
      </c>
    </row>
    <row r="19" spans="1:5" x14ac:dyDescent="0.3">
      <c r="A19" s="1">
        <v>40199</v>
      </c>
      <c r="B19" s="3">
        <v>10389.879999999999</v>
      </c>
    </row>
    <row r="20" spans="1:5" x14ac:dyDescent="0.3">
      <c r="A20" s="1">
        <v>40200</v>
      </c>
      <c r="B20" s="3">
        <v>10172.98</v>
      </c>
    </row>
    <row r="21" spans="1:5" x14ac:dyDescent="0.3">
      <c r="A21" s="1">
        <v>40201</v>
      </c>
      <c r="B21" s="3">
        <v>10180.94</v>
      </c>
    </row>
    <row r="22" spans="1:5" x14ac:dyDescent="0.3">
      <c r="A22" s="1">
        <v>40202</v>
      </c>
      <c r="B22" s="3">
        <v>10188.9</v>
      </c>
    </row>
    <row r="23" spans="1:5" x14ac:dyDescent="0.3">
      <c r="A23" s="1">
        <v>40203</v>
      </c>
      <c r="B23" s="3">
        <v>10196.86</v>
      </c>
    </row>
    <row r="24" spans="1:5" x14ac:dyDescent="0.3">
      <c r="A24" s="1">
        <v>40204</v>
      </c>
      <c r="B24" s="3">
        <v>10194.290000000001</v>
      </c>
    </row>
    <row r="25" spans="1:5" x14ac:dyDescent="0.3">
      <c r="A25" s="1">
        <v>40205</v>
      </c>
      <c r="B25" s="3">
        <v>10236.16</v>
      </c>
    </row>
    <row r="26" spans="1:5" x14ac:dyDescent="0.3">
      <c r="A26" s="1">
        <v>40206</v>
      </c>
      <c r="B26" s="3">
        <v>10120.459999999999</v>
      </c>
    </row>
    <row r="27" spans="1:5" x14ac:dyDescent="0.3">
      <c r="A27" s="1">
        <v>40207</v>
      </c>
      <c r="B27" s="3">
        <v>10067.33</v>
      </c>
      <c r="C27" s="3">
        <v>10067.33</v>
      </c>
      <c r="D27" s="3">
        <v>10067.33</v>
      </c>
      <c r="E27" s="3">
        <v>10067.33</v>
      </c>
    </row>
    <row r="28" spans="1:5" x14ac:dyDescent="0.3">
      <c r="A28" s="1">
        <v>40208</v>
      </c>
      <c r="C28" s="3">
        <f>_xlfn.FORECAST.ETS(A28,$B$2:$B$27,$A$2:$A$27,4,1)</f>
        <v>10158.362123408933</v>
      </c>
      <c r="D28" s="3">
        <f>C28-_xlfn.FORECAST.ETS.CONFINT(A28,$B$2:$B$27,$A$2:$A$27,0.9999,4,1)</f>
        <v>9567.7393617886974</v>
      </c>
      <c r="E28" s="3">
        <f>C28+_xlfn.FORECAST.ETS.CONFINT(A28,$B$2:$B$27,$A$2:$A$27,0.9999,4,1)</f>
        <v>10748.984885029169</v>
      </c>
    </row>
    <row r="29" spans="1:5" x14ac:dyDescent="0.3">
      <c r="A29" s="1">
        <v>40209</v>
      </c>
      <c r="C29" s="3">
        <f>_xlfn.FORECAST.ETS(A29,$B$2:$B$27,$A$2:$A$27,4,1)</f>
        <v>10125.844357715141</v>
      </c>
      <c r="D29" s="3">
        <f>C29-_xlfn.FORECAST.ETS.CONFINT(A29,$B$2:$B$27,$A$2:$A$27,0.9999,4,1)</f>
        <v>9530.4775714099087</v>
      </c>
      <c r="E29" s="3">
        <f>C29+_xlfn.FORECAST.ETS.CONFINT(A29,$B$2:$B$27,$A$2:$A$27,0.9999,4,1)</f>
        <v>10721.211144020373</v>
      </c>
    </row>
    <row r="30" spans="1:5" x14ac:dyDescent="0.3">
      <c r="A30" s="1">
        <v>40210</v>
      </c>
      <c r="C30" s="3">
        <f>_xlfn.FORECAST.ETS(A30,$B$2:$B$27,$A$2:$A$27,4,1)</f>
        <v>10120.089249873536</v>
      </c>
      <c r="D30" s="3">
        <f>C30-_xlfn.FORECAST.ETS.CONFINT(A30,$B$2:$B$27,$A$2:$A$27,0.9999,4,1)</f>
        <v>9519.9418288886627</v>
      </c>
      <c r="E30" s="3">
        <f>C30+_xlfn.FORECAST.ETS.CONFINT(A30,$B$2:$B$27,$A$2:$A$27,0.9999,4,1)</f>
        <v>10720.236670858409</v>
      </c>
    </row>
    <row r="31" spans="1:5" x14ac:dyDescent="0.3">
      <c r="A31" s="1">
        <v>40211</v>
      </c>
      <c r="C31" s="3">
        <f>_xlfn.FORECAST.ETS(A31,$B$2:$B$27,$A$2:$A$27,4,1)</f>
        <v>10080.286552318776</v>
      </c>
      <c r="D31" s="3">
        <f>C31-_xlfn.FORECAST.ETS.CONFINT(A31,$B$2:$B$27,$A$2:$A$27,0.9999,4,1)</f>
        <v>9475.3221779523737</v>
      </c>
      <c r="E31" s="3">
        <f>C31+_xlfn.FORECAST.ETS.CONFINT(A31,$B$2:$B$27,$A$2:$A$27,0.9999,4,1)</f>
        <v>10685.250926685178</v>
      </c>
    </row>
    <row r="32" spans="1:5" x14ac:dyDescent="0.3">
      <c r="A32" s="1">
        <v>40212</v>
      </c>
      <c r="C32" s="3">
        <f>_xlfn.FORECAST.ETS(A32,$B$2:$B$27,$A$2:$A$27,4,1)</f>
        <v>10072.776919465883</v>
      </c>
      <c r="D32" s="3">
        <f>C32-_xlfn.FORECAST.ETS.CONFINT(A32,$B$2:$B$27,$A$2:$A$27,0.9999,4,1)</f>
        <v>9462.8849159779929</v>
      </c>
      <c r="E32" s="3">
        <f>C32+_xlfn.FORECAST.ETS.CONFINT(A32,$B$2:$B$27,$A$2:$A$27,0.9999,4,1)</f>
        <v>10682.668922953773</v>
      </c>
    </row>
    <row r="33" spans="1:5" x14ac:dyDescent="0.3">
      <c r="A33" s="1">
        <v>40213</v>
      </c>
      <c r="C33" s="3">
        <f>_xlfn.FORECAST.ETS(A33,$B$2:$B$27,$A$2:$A$27,4,1)</f>
        <v>10040.259153772089</v>
      </c>
      <c r="D33" s="3">
        <f>C33-_xlfn.FORECAST.ETS.CONFINT(A33,$B$2:$B$27,$A$2:$A$27,0.9999,4,1)</f>
        <v>9425.4790161745786</v>
      </c>
      <c r="E33" s="3">
        <f>C33+_xlfn.FORECAST.ETS.CONFINT(A33,$B$2:$B$27,$A$2:$A$27,0.9999,4,1)</f>
        <v>10655.0392913696</v>
      </c>
    </row>
    <row r="34" spans="1:5" x14ac:dyDescent="0.3">
      <c r="A34" s="1">
        <v>40214</v>
      </c>
      <c r="C34" s="3">
        <f>_xlfn.FORECAST.ETS(A34,$B$2:$B$27,$A$2:$A$27,4,1)</f>
        <v>10034.504045930486</v>
      </c>
      <c r="D34" s="3">
        <f>C34-_xlfn.FORECAST.ETS.CONFINT(A34,$B$2:$B$27,$A$2:$A$27,0.9999,4,1)</f>
        <v>9414.8003079070695</v>
      </c>
      <c r="E34" s="3">
        <f>C34+_xlfn.FORECAST.ETS.CONFINT(A34,$B$2:$B$27,$A$2:$A$27,0.9999,4,1)</f>
        <v>10654.207783953902</v>
      </c>
    </row>
    <row r="35" spans="1:5" x14ac:dyDescent="0.3">
      <c r="A35" s="1">
        <v>40215</v>
      </c>
      <c r="C35" s="3">
        <f>_xlfn.FORECAST.ETS(A35,$B$2:$B$27,$A$2:$A$27,4,1)</f>
        <v>9994.7013483757237</v>
      </c>
      <c r="D35" s="3">
        <f>C35-_xlfn.FORECAST.ETS.CONFINT(A35,$B$2:$B$27,$A$2:$A$27,0.9999,4,1)</f>
        <v>9370.0388238104115</v>
      </c>
      <c r="E35" s="3">
        <f>C35+_xlfn.FORECAST.ETS.CONFINT(A35,$B$2:$B$27,$A$2:$A$27,0.9999,4,1)</f>
        <v>10619.363872941036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57"/>
  <sheetViews>
    <sheetView topLeftCell="A2" workbookViewId="0">
      <selection activeCell="A2" sqref="A2:B153"/>
    </sheetView>
  </sheetViews>
  <sheetFormatPr defaultRowHeight="14.4" x14ac:dyDescent="0.3"/>
  <cols>
    <col min="1" max="1" width="10.6640625" customWidth="1"/>
    <col min="2" max="2" width="24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40182</v>
      </c>
      <c r="B2" s="3">
        <v>10583.96</v>
      </c>
    </row>
    <row r="3" spans="1:2" x14ac:dyDescent="0.3">
      <c r="A3" s="1">
        <v>40183</v>
      </c>
      <c r="B3" s="3">
        <v>10572.02</v>
      </c>
    </row>
    <row r="4" spans="1:2" x14ac:dyDescent="0.3">
      <c r="A4" s="1">
        <v>40184</v>
      </c>
      <c r="B4" s="3">
        <v>10573.68</v>
      </c>
    </row>
    <row r="5" spans="1:2" x14ac:dyDescent="0.3">
      <c r="A5" s="1">
        <v>40185</v>
      </c>
      <c r="B5" s="3">
        <v>10606.86</v>
      </c>
    </row>
    <row r="6" spans="1:2" x14ac:dyDescent="0.3">
      <c r="A6" s="1">
        <v>40186</v>
      </c>
      <c r="B6" s="3">
        <v>10618.19</v>
      </c>
    </row>
    <row r="7" spans="1:2" x14ac:dyDescent="0.3">
      <c r="A7" s="1">
        <v>40189</v>
      </c>
      <c r="B7" s="3">
        <v>10663.99</v>
      </c>
    </row>
    <row r="8" spans="1:2" x14ac:dyDescent="0.3">
      <c r="A8" s="1">
        <v>40190</v>
      </c>
      <c r="B8" s="3">
        <v>10627.26</v>
      </c>
    </row>
    <row r="9" spans="1:2" x14ac:dyDescent="0.3">
      <c r="A9" s="1">
        <v>40191</v>
      </c>
      <c r="B9" s="3">
        <v>10680.77</v>
      </c>
    </row>
    <row r="10" spans="1:2" x14ac:dyDescent="0.3">
      <c r="A10" s="1">
        <v>40192</v>
      </c>
      <c r="B10" s="3">
        <v>10710.55</v>
      </c>
    </row>
    <row r="11" spans="1:2" x14ac:dyDescent="0.3">
      <c r="A11" s="1">
        <v>40193</v>
      </c>
      <c r="B11" s="3">
        <v>10609.65</v>
      </c>
    </row>
    <row r="12" spans="1:2" x14ac:dyDescent="0.3">
      <c r="A12" s="1">
        <v>40197</v>
      </c>
      <c r="B12" s="3">
        <v>10725.43</v>
      </c>
    </row>
    <row r="13" spans="1:2" x14ac:dyDescent="0.3">
      <c r="A13" s="1">
        <v>40198</v>
      </c>
      <c r="B13" s="3">
        <v>10603.15</v>
      </c>
    </row>
    <row r="14" spans="1:2" x14ac:dyDescent="0.3">
      <c r="A14" s="1">
        <v>40199</v>
      </c>
      <c r="B14" s="3">
        <v>10389.879999999999</v>
      </c>
    </row>
    <row r="15" spans="1:2" x14ac:dyDescent="0.3">
      <c r="A15" s="1">
        <v>40200</v>
      </c>
      <c r="B15" s="3">
        <v>10172.98</v>
      </c>
    </row>
    <row r="16" spans="1:2" x14ac:dyDescent="0.3">
      <c r="A16" s="1">
        <v>40203</v>
      </c>
      <c r="B16" s="3">
        <v>10196.86</v>
      </c>
    </row>
    <row r="17" spans="1:2" x14ac:dyDescent="0.3">
      <c r="A17" s="1">
        <v>40204</v>
      </c>
      <c r="B17" s="3">
        <v>10194.290000000001</v>
      </c>
    </row>
    <row r="18" spans="1:2" x14ac:dyDescent="0.3">
      <c r="A18" s="1">
        <v>40205</v>
      </c>
      <c r="B18" s="3">
        <v>10236.16</v>
      </c>
    </row>
    <row r="19" spans="1:2" x14ac:dyDescent="0.3">
      <c r="A19" s="1">
        <v>40206</v>
      </c>
      <c r="B19" s="3">
        <v>10120.459999999999</v>
      </c>
    </row>
    <row r="20" spans="1:2" x14ac:dyDescent="0.3">
      <c r="A20" s="1">
        <v>40207</v>
      </c>
      <c r="B20" s="3">
        <v>10067.33</v>
      </c>
    </row>
    <row r="21" spans="1:2" x14ac:dyDescent="0.3">
      <c r="A21" s="1">
        <v>40210</v>
      </c>
      <c r="B21" s="3">
        <v>10185.530000000001</v>
      </c>
    </row>
    <row r="22" spans="1:2" x14ac:dyDescent="0.3">
      <c r="A22" s="1">
        <v>40211</v>
      </c>
      <c r="B22" s="3">
        <v>10296.85</v>
      </c>
    </row>
    <row r="23" spans="1:2" x14ac:dyDescent="0.3">
      <c r="A23" s="1">
        <v>40212</v>
      </c>
      <c r="B23" s="3">
        <v>10270.549999999999</v>
      </c>
    </row>
    <row r="24" spans="1:2" x14ac:dyDescent="0.3">
      <c r="A24" s="1">
        <v>40213</v>
      </c>
      <c r="B24" s="3">
        <v>10002.18</v>
      </c>
    </row>
    <row r="25" spans="1:2" x14ac:dyDescent="0.3">
      <c r="A25" s="1">
        <v>40214</v>
      </c>
      <c r="B25" s="3">
        <v>10012.23</v>
      </c>
    </row>
    <row r="26" spans="1:2" x14ac:dyDescent="0.3">
      <c r="A26" s="1">
        <v>40217</v>
      </c>
      <c r="B26" s="3">
        <v>9908.39</v>
      </c>
    </row>
    <row r="27" spans="1:2" x14ac:dyDescent="0.3">
      <c r="A27" s="1">
        <v>40218</v>
      </c>
      <c r="B27" s="3">
        <v>10058.64</v>
      </c>
    </row>
    <row r="28" spans="1:2" x14ac:dyDescent="0.3">
      <c r="A28" s="1">
        <v>40219</v>
      </c>
      <c r="B28" s="3">
        <v>10038.379999999999</v>
      </c>
    </row>
    <row r="29" spans="1:2" x14ac:dyDescent="0.3">
      <c r="A29" s="1">
        <v>40220</v>
      </c>
      <c r="B29" s="3">
        <v>10144.19</v>
      </c>
    </row>
    <row r="30" spans="1:2" x14ac:dyDescent="0.3">
      <c r="A30" s="1">
        <v>40221</v>
      </c>
      <c r="B30" s="3">
        <v>10099.14</v>
      </c>
    </row>
    <row r="31" spans="1:2" x14ac:dyDescent="0.3">
      <c r="A31" s="1">
        <v>40225</v>
      </c>
      <c r="B31" s="3">
        <v>10268.81</v>
      </c>
    </row>
    <row r="32" spans="1:2" x14ac:dyDescent="0.3">
      <c r="A32" s="1">
        <v>40226</v>
      </c>
      <c r="B32" s="3">
        <v>10309.24</v>
      </c>
    </row>
    <row r="33" spans="1:2" x14ac:dyDescent="0.3">
      <c r="A33" s="1">
        <v>40227</v>
      </c>
      <c r="B33" s="3">
        <v>10392.9</v>
      </c>
    </row>
    <row r="34" spans="1:2" x14ac:dyDescent="0.3">
      <c r="A34" s="1">
        <v>40228</v>
      </c>
      <c r="B34" s="3">
        <v>10402.35</v>
      </c>
    </row>
    <row r="35" spans="1:2" x14ac:dyDescent="0.3">
      <c r="A35" s="1">
        <v>40231</v>
      </c>
      <c r="B35" s="3">
        <v>10383.379999999999</v>
      </c>
    </row>
    <row r="36" spans="1:2" x14ac:dyDescent="0.3">
      <c r="A36" s="1">
        <v>40232</v>
      </c>
      <c r="B36" s="3">
        <v>10282.41</v>
      </c>
    </row>
    <row r="37" spans="1:2" x14ac:dyDescent="0.3">
      <c r="A37" s="1">
        <v>40233</v>
      </c>
      <c r="B37" s="3">
        <v>10374.16</v>
      </c>
    </row>
    <row r="38" spans="1:2" x14ac:dyDescent="0.3">
      <c r="A38" s="1">
        <v>40234</v>
      </c>
      <c r="B38" s="3">
        <v>10321.030000000001</v>
      </c>
    </row>
    <row r="39" spans="1:2" x14ac:dyDescent="0.3">
      <c r="A39" s="1">
        <v>40235</v>
      </c>
      <c r="B39" s="3">
        <v>10325.26</v>
      </c>
    </row>
    <row r="40" spans="1:2" x14ac:dyDescent="0.3">
      <c r="A40" s="1">
        <v>40238</v>
      </c>
      <c r="B40" s="3">
        <v>10403.790000000001</v>
      </c>
    </row>
    <row r="41" spans="1:2" x14ac:dyDescent="0.3">
      <c r="A41" s="1">
        <v>40239</v>
      </c>
      <c r="B41" s="3">
        <v>10405.98</v>
      </c>
    </row>
    <row r="42" spans="1:2" x14ac:dyDescent="0.3">
      <c r="A42" s="1">
        <v>40240</v>
      </c>
      <c r="B42" s="3">
        <v>10396.76</v>
      </c>
    </row>
    <row r="43" spans="1:2" x14ac:dyDescent="0.3">
      <c r="A43" s="1">
        <v>40241</v>
      </c>
      <c r="B43" s="3">
        <v>10444.14</v>
      </c>
    </row>
    <row r="44" spans="1:2" x14ac:dyDescent="0.3">
      <c r="A44" s="1">
        <v>40242</v>
      </c>
      <c r="B44" s="3">
        <v>10566.2</v>
      </c>
    </row>
    <row r="45" spans="1:2" x14ac:dyDescent="0.3">
      <c r="A45" s="1">
        <v>40245</v>
      </c>
      <c r="B45" s="3">
        <v>10552.52</v>
      </c>
    </row>
    <row r="46" spans="1:2" x14ac:dyDescent="0.3">
      <c r="A46" s="1">
        <v>40246</v>
      </c>
      <c r="B46" s="3">
        <v>10564.38</v>
      </c>
    </row>
    <row r="47" spans="1:2" x14ac:dyDescent="0.3">
      <c r="A47" s="1">
        <v>40247</v>
      </c>
      <c r="B47" s="3">
        <v>10567.33</v>
      </c>
    </row>
    <row r="48" spans="1:2" x14ac:dyDescent="0.3">
      <c r="A48" s="1">
        <v>40248</v>
      </c>
      <c r="B48" s="3">
        <v>10611.84</v>
      </c>
    </row>
    <row r="49" spans="1:2" x14ac:dyDescent="0.3">
      <c r="A49" s="1">
        <v>40249</v>
      </c>
      <c r="B49" s="3">
        <v>10624.69</v>
      </c>
    </row>
    <row r="50" spans="1:2" x14ac:dyDescent="0.3">
      <c r="A50" s="1">
        <v>40252</v>
      </c>
      <c r="B50" s="3">
        <v>10642.15</v>
      </c>
    </row>
    <row r="51" spans="1:2" x14ac:dyDescent="0.3">
      <c r="A51" s="1">
        <v>40253</v>
      </c>
      <c r="B51" s="3">
        <v>10685.98</v>
      </c>
    </row>
    <row r="52" spans="1:2" x14ac:dyDescent="0.3">
      <c r="A52" s="1">
        <v>40254</v>
      </c>
      <c r="B52" s="3">
        <v>10733.67</v>
      </c>
    </row>
    <row r="53" spans="1:2" x14ac:dyDescent="0.3">
      <c r="A53" s="1">
        <v>40255</v>
      </c>
      <c r="B53" s="3">
        <v>10779.17</v>
      </c>
    </row>
    <row r="54" spans="1:2" x14ac:dyDescent="0.3">
      <c r="A54" s="1">
        <v>40256</v>
      </c>
      <c r="B54" s="3">
        <v>10741.98</v>
      </c>
    </row>
    <row r="55" spans="1:2" x14ac:dyDescent="0.3">
      <c r="A55" s="1">
        <v>40259</v>
      </c>
      <c r="B55" s="3">
        <v>10785.89</v>
      </c>
    </row>
    <row r="56" spans="1:2" x14ac:dyDescent="0.3">
      <c r="A56" s="1">
        <v>40260</v>
      </c>
      <c r="B56" s="3">
        <v>10888.83</v>
      </c>
    </row>
    <row r="57" spans="1:2" x14ac:dyDescent="0.3">
      <c r="A57" s="1">
        <v>40261</v>
      </c>
      <c r="B57" s="3">
        <v>10836.15</v>
      </c>
    </row>
    <row r="58" spans="1:2" x14ac:dyDescent="0.3">
      <c r="A58" s="1">
        <v>40262</v>
      </c>
      <c r="B58" s="3">
        <v>10841.21</v>
      </c>
    </row>
    <row r="59" spans="1:2" x14ac:dyDescent="0.3">
      <c r="A59" s="1">
        <v>40263</v>
      </c>
      <c r="B59" s="3">
        <v>10850.36</v>
      </c>
    </row>
    <row r="60" spans="1:2" x14ac:dyDescent="0.3">
      <c r="A60" s="1">
        <v>40266</v>
      </c>
      <c r="B60" s="3">
        <v>10895.86</v>
      </c>
    </row>
    <row r="61" spans="1:2" x14ac:dyDescent="0.3">
      <c r="A61" s="1">
        <v>40267</v>
      </c>
      <c r="B61" s="3">
        <v>10907.42</v>
      </c>
    </row>
    <row r="62" spans="1:2" x14ac:dyDescent="0.3">
      <c r="A62" s="1">
        <v>40268</v>
      </c>
      <c r="B62" s="3">
        <v>10856.63</v>
      </c>
    </row>
    <row r="63" spans="1:2" x14ac:dyDescent="0.3">
      <c r="A63" s="1">
        <v>40269</v>
      </c>
      <c r="B63" s="3">
        <v>10927.07</v>
      </c>
    </row>
    <row r="64" spans="1:2" x14ac:dyDescent="0.3">
      <c r="A64" s="1">
        <v>40273</v>
      </c>
      <c r="B64" s="3">
        <v>10973.55</v>
      </c>
    </row>
    <row r="65" spans="1:2" x14ac:dyDescent="0.3">
      <c r="A65" s="1">
        <v>40274</v>
      </c>
      <c r="B65" s="3">
        <v>10969.99</v>
      </c>
    </row>
    <row r="66" spans="1:2" x14ac:dyDescent="0.3">
      <c r="A66" s="1">
        <v>40275</v>
      </c>
      <c r="B66" s="3">
        <v>10897.52</v>
      </c>
    </row>
    <row r="67" spans="1:2" x14ac:dyDescent="0.3">
      <c r="A67" s="1">
        <v>40276</v>
      </c>
      <c r="B67" s="3">
        <v>10927.07</v>
      </c>
    </row>
    <row r="68" spans="1:2" x14ac:dyDescent="0.3">
      <c r="A68" s="1">
        <v>40277</v>
      </c>
      <c r="B68" s="3">
        <v>10997.35</v>
      </c>
    </row>
    <row r="69" spans="1:2" x14ac:dyDescent="0.3">
      <c r="A69" s="1">
        <v>40280</v>
      </c>
      <c r="B69" s="3">
        <v>11005.97</v>
      </c>
    </row>
    <row r="70" spans="1:2" x14ac:dyDescent="0.3">
      <c r="A70" s="1">
        <v>40281</v>
      </c>
      <c r="B70" s="3">
        <v>11019.42</v>
      </c>
    </row>
    <row r="71" spans="1:2" x14ac:dyDescent="0.3">
      <c r="A71" s="1">
        <v>40282</v>
      </c>
      <c r="B71" s="3">
        <v>11123.11</v>
      </c>
    </row>
    <row r="72" spans="1:2" x14ac:dyDescent="0.3">
      <c r="A72" s="1">
        <v>40283</v>
      </c>
      <c r="B72" s="3">
        <v>11144.57</v>
      </c>
    </row>
    <row r="73" spans="1:2" x14ac:dyDescent="0.3">
      <c r="A73" s="1">
        <v>40284</v>
      </c>
      <c r="B73" s="3">
        <v>11018.66</v>
      </c>
    </row>
    <row r="74" spans="1:2" x14ac:dyDescent="0.3">
      <c r="A74" s="1">
        <v>40287</v>
      </c>
      <c r="B74" s="3">
        <v>11092.05</v>
      </c>
    </row>
    <row r="75" spans="1:2" x14ac:dyDescent="0.3">
      <c r="A75" s="1">
        <v>40288</v>
      </c>
      <c r="B75" s="3">
        <v>11117.06</v>
      </c>
    </row>
    <row r="76" spans="1:2" x14ac:dyDescent="0.3">
      <c r="A76" s="1">
        <v>40289</v>
      </c>
      <c r="B76" s="3">
        <v>11124.92</v>
      </c>
    </row>
    <row r="77" spans="1:2" x14ac:dyDescent="0.3">
      <c r="A77" s="1">
        <v>40290</v>
      </c>
      <c r="B77" s="3">
        <v>11134.29</v>
      </c>
    </row>
    <row r="78" spans="1:2" x14ac:dyDescent="0.3">
      <c r="A78" s="1">
        <v>40291</v>
      </c>
      <c r="B78" s="3">
        <v>11204.28</v>
      </c>
    </row>
    <row r="79" spans="1:2" x14ac:dyDescent="0.3">
      <c r="A79" s="1">
        <v>40294</v>
      </c>
      <c r="B79" s="3">
        <v>11205.03</v>
      </c>
    </row>
    <row r="80" spans="1:2" x14ac:dyDescent="0.3">
      <c r="A80" s="1">
        <v>40295</v>
      </c>
      <c r="B80" s="3">
        <v>10991.99</v>
      </c>
    </row>
    <row r="81" spans="1:2" x14ac:dyDescent="0.3">
      <c r="A81" s="1">
        <v>40296</v>
      </c>
      <c r="B81" s="3">
        <v>11045.27</v>
      </c>
    </row>
    <row r="82" spans="1:2" x14ac:dyDescent="0.3">
      <c r="A82" s="1">
        <v>40297</v>
      </c>
      <c r="B82" s="3">
        <v>11167.32</v>
      </c>
    </row>
    <row r="83" spans="1:2" x14ac:dyDescent="0.3">
      <c r="A83" s="1">
        <v>40298</v>
      </c>
      <c r="B83" s="3">
        <v>11008.61</v>
      </c>
    </row>
    <row r="84" spans="1:2" x14ac:dyDescent="0.3">
      <c r="A84" s="1">
        <v>40301</v>
      </c>
      <c r="B84" s="3">
        <v>11151.83</v>
      </c>
    </row>
    <row r="85" spans="1:2" x14ac:dyDescent="0.3">
      <c r="A85" s="1">
        <v>40302</v>
      </c>
      <c r="B85" s="3">
        <v>10926.77</v>
      </c>
    </row>
    <row r="86" spans="1:2" x14ac:dyDescent="0.3">
      <c r="A86" s="1">
        <v>40303</v>
      </c>
      <c r="B86" s="3">
        <v>10868.12</v>
      </c>
    </row>
    <row r="87" spans="1:2" x14ac:dyDescent="0.3">
      <c r="A87" s="1">
        <v>40304</v>
      </c>
      <c r="B87" s="3">
        <v>10520.32</v>
      </c>
    </row>
    <row r="88" spans="1:2" x14ac:dyDescent="0.3">
      <c r="A88" s="1">
        <v>40305</v>
      </c>
      <c r="B88" s="3">
        <v>10380.43</v>
      </c>
    </row>
    <row r="89" spans="1:2" x14ac:dyDescent="0.3">
      <c r="A89" s="1">
        <v>40308</v>
      </c>
      <c r="B89" s="3">
        <v>10785.14</v>
      </c>
    </row>
    <row r="90" spans="1:2" x14ac:dyDescent="0.3">
      <c r="A90" s="1">
        <v>40309</v>
      </c>
      <c r="B90" s="3">
        <v>10748.26</v>
      </c>
    </row>
    <row r="91" spans="1:2" x14ac:dyDescent="0.3">
      <c r="A91" s="1">
        <v>40310</v>
      </c>
      <c r="B91" s="3">
        <v>10896.91</v>
      </c>
    </row>
    <row r="92" spans="1:2" x14ac:dyDescent="0.3">
      <c r="A92" s="1">
        <v>40311</v>
      </c>
      <c r="B92" s="3">
        <v>10782.95</v>
      </c>
    </row>
    <row r="93" spans="1:2" x14ac:dyDescent="0.3">
      <c r="A93" s="1">
        <v>40312</v>
      </c>
      <c r="B93" s="3">
        <v>10620.16</v>
      </c>
    </row>
    <row r="94" spans="1:2" x14ac:dyDescent="0.3">
      <c r="A94" s="1">
        <v>40315</v>
      </c>
      <c r="B94" s="3">
        <v>10625.83</v>
      </c>
    </row>
    <row r="95" spans="1:2" x14ac:dyDescent="0.3">
      <c r="A95" s="1">
        <v>40316</v>
      </c>
      <c r="B95" s="3">
        <v>10510.95</v>
      </c>
    </row>
    <row r="96" spans="1:2" x14ac:dyDescent="0.3">
      <c r="A96" s="1">
        <v>40317</v>
      </c>
      <c r="B96" s="3">
        <v>10444.370000000001</v>
      </c>
    </row>
    <row r="97" spans="1:2" x14ac:dyDescent="0.3">
      <c r="A97" s="1">
        <v>40318</v>
      </c>
      <c r="B97" s="3">
        <v>10068.01</v>
      </c>
    </row>
    <row r="98" spans="1:2" x14ac:dyDescent="0.3">
      <c r="A98" s="1">
        <v>40319</v>
      </c>
      <c r="B98" s="3">
        <v>10193.39</v>
      </c>
    </row>
    <row r="99" spans="1:2" x14ac:dyDescent="0.3">
      <c r="A99" s="1">
        <v>40322</v>
      </c>
      <c r="B99" s="3">
        <v>10066.57</v>
      </c>
    </row>
    <row r="100" spans="1:2" x14ac:dyDescent="0.3">
      <c r="A100" s="1">
        <v>40323</v>
      </c>
      <c r="B100" s="3">
        <v>10043.75</v>
      </c>
    </row>
    <row r="101" spans="1:2" x14ac:dyDescent="0.3">
      <c r="A101" s="1">
        <v>40324</v>
      </c>
      <c r="B101" s="3">
        <v>9974.4500000000007</v>
      </c>
    </row>
    <row r="102" spans="1:2" x14ac:dyDescent="0.3">
      <c r="A102" s="1">
        <v>40325</v>
      </c>
      <c r="B102" s="3">
        <v>10258.99</v>
      </c>
    </row>
    <row r="103" spans="1:2" x14ac:dyDescent="0.3">
      <c r="A103" s="1">
        <v>40326</v>
      </c>
      <c r="B103" s="3">
        <v>10136.629999999999</v>
      </c>
    </row>
    <row r="104" spans="1:2" x14ac:dyDescent="0.3">
      <c r="A104" s="1">
        <v>40330</v>
      </c>
      <c r="B104" s="3">
        <v>10024.02</v>
      </c>
    </row>
    <row r="105" spans="1:2" x14ac:dyDescent="0.3">
      <c r="A105" s="1">
        <v>40331</v>
      </c>
      <c r="B105" s="3">
        <v>10249.540000000001</v>
      </c>
    </row>
    <row r="106" spans="1:2" x14ac:dyDescent="0.3">
      <c r="A106" s="1">
        <v>40332</v>
      </c>
      <c r="B106" s="3">
        <v>10255.280000000001</v>
      </c>
    </row>
    <row r="107" spans="1:2" x14ac:dyDescent="0.3">
      <c r="A107" s="1">
        <v>40333</v>
      </c>
      <c r="B107" s="3">
        <v>9931.9699999999993</v>
      </c>
    </row>
    <row r="108" spans="1:2" x14ac:dyDescent="0.3">
      <c r="A108" s="1">
        <v>40336</v>
      </c>
      <c r="B108" s="3">
        <v>9816.49</v>
      </c>
    </row>
    <row r="109" spans="1:2" x14ac:dyDescent="0.3">
      <c r="A109" s="1">
        <v>40337</v>
      </c>
      <c r="B109" s="3">
        <v>9939.98</v>
      </c>
    </row>
    <row r="110" spans="1:2" x14ac:dyDescent="0.3">
      <c r="A110" s="1">
        <v>40338</v>
      </c>
      <c r="B110" s="3">
        <v>9899.25</v>
      </c>
    </row>
    <row r="111" spans="1:2" x14ac:dyDescent="0.3">
      <c r="A111" s="1">
        <v>40339</v>
      </c>
      <c r="B111" s="3">
        <v>10172.530000000001</v>
      </c>
    </row>
    <row r="112" spans="1:2" x14ac:dyDescent="0.3">
      <c r="A112" s="1">
        <v>40340</v>
      </c>
      <c r="B112" s="3">
        <v>10211.07</v>
      </c>
    </row>
    <row r="113" spans="1:2" x14ac:dyDescent="0.3">
      <c r="A113" s="1">
        <v>40343</v>
      </c>
      <c r="B113" s="3">
        <v>10190.89</v>
      </c>
    </row>
    <row r="114" spans="1:2" x14ac:dyDescent="0.3">
      <c r="A114" s="1">
        <v>40344</v>
      </c>
      <c r="B114" s="3">
        <v>10404.77</v>
      </c>
    </row>
    <row r="115" spans="1:2" x14ac:dyDescent="0.3">
      <c r="A115" s="1">
        <v>40345</v>
      </c>
      <c r="B115" s="3">
        <v>10409.459999999999</v>
      </c>
    </row>
    <row r="116" spans="1:2" x14ac:dyDescent="0.3">
      <c r="A116" s="1">
        <v>40346</v>
      </c>
      <c r="B116" s="3">
        <v>10434.17</v>
      </c>
    </row>
    <row r="117" spans="1:2" x14ac:dyDescent="0.3">
      <c r="A117" s="1">
        <v>40347</v>
      </c>
      <c r="B117" s="3">
        <v>10450.64</v>
      </c>
    </row>
    <row r="118" spans="1:2" x14ac:dyDescent="0.3">
      <c r="A118" s="1">
        <v>40350</v>
      </c>
      <c r="B118" s="3">
        <v>10442.41</v>
      </c>
    </row>
    <row r="119" spans="1:2" x14ac:dyDescent="0.3">
      <c r="A119" s="1">
        <v>40351</v>
      </c>
      <c r="B119" s="3">
        <v>10293.52</v>
      </c>
    </row>
    <row r="120" spans="1:2" x14ac:dyDescent="0.3">
      <c r="A120" s="1">
        <v>40352</v>
      </c>
      <c r="B120" s="3">
        <v>10298.44</v>
      </c>
    </row>
    <row r="121" spans="1:2" x14ac:dyDescent="0.3">
      <c r="A121" s="1">
        <v>40353</v>
      </c>
      <c r="B121" s="3">
        <v>10152.799999999999</v>
      </c>
    </row>
    <row r="122" spans="1:2" x14ac:dyDescent="0.3">
      <c r="A122" s="1">
        <v>40354</v>
      </c>
      <c r="B122" s="3">
        <v>10143.81</v>
      </c>
    </row>
    <row r="123" spans="1:2" x14ac:dyDescent="0.3">
      <c r="A123" s="1">
        <v>40357</v>
      </c>
      <c r="B123" s="3">
        <v>10138.52</v>
      </c>
    </row>
    <row r="124" spans="1:2" x14ac:dyDescent="0.3">
      <c r="A124" s="1">
        <v>40358</v>
      </c>
      <c r="B124" s="3">
        <v>9870.2999999999993</v>
      </c>
    </row>
    <row r="125" spans="1:2" x14ac:dyDescent="0.3">
      <c r="A125" s="1">
        <v>40359</v>
      </c>
      <c r="B125" s="3">
        <v>9774.02</v>
      </c>
    </row>
    <row r="126" spans="1:2" x14ac:dyDescent="0.3">
      <c r="A126" s="1">
        <v>40360</v>
      </c>
      <c r="B126" s="3">
        <v>9732.5300000000007</v>
      </c>
    </row>
    <row r="127" spans="1:2" x14ac:dyDescent="0.3">
      <c r="A127" s="1">
        <v>40361</v>
      </c>
      <c r="B127" s="3">
        <v>9686.48</v>
      </c>
    </row>
    <row r="128" spans="1:2" x14ac:dyDescent="0.3">
      <c r="A128" s="1">
        <v>40365</v>
      </c>
      <c r="B128" s="3">
        <v>9743.6200000000008</v>
      </c>
    </row>
    <row r="129" spans="1:2" x14ac:dyDescent="0.3">
      <c r="A129" s="1">
        <v>40366</v>
      </c>
      <c r="B129" s="3">
        <v>10018.280000000001</v>
      </c>
    </row>
    <row r="130" spans="1:2" x14ac:dyDescent="0.3">
      <c r="A130" s="1">
        <v>40367</v>
      </c>
      <c r="B130" s="3">
        <v>10138.99</v>
      </c>
    </row>
    <row r="131" spans="1:2" x14ac:dyDescent="0.3">
      <c r="A131" s="1">
        <v>40368</v>
      </c>
      <c r="B131" s="3">
        <v>10198.030000000001</v>
      </c>
    </row>
    <row r="132" spans="1:2" x14ac:dyDescent="0.3">
      <c r="A132" s="1">
        <v>40371</v>
      </c>
      <c r="B132" s="3">
        <v>10216.27</v>
      </c>
    </row>
    <row r="133" spans="1:2" x14ac:dyDescent="0.3">
      <c r="A133" s="1">
        <v>40372</v>
      </c>
      <c r="B133" s="3">
        <v>10363.02</v>
      </c>
    </row>
    <row r="134" spans="1:2" x14ac:dyDescent="0.3">
      <c r="A134" s="1">
        <v>40373</v>
      </c>
      <c r="B134" s="3">
        <v>10366.719999999999</v>
      </c>
    </row>
    <row r="135" spans="1:2" x14ac:dyDescent="0.3">
      <c r="A135" s="1">
        <v>40374</v>
      </c>
      <c r="B135" s="3">
        <v>10359.31</v>
      </c>
    </row>
    <row r="136" spans="1:2" x14ac:dyDescent="0.3">
      <c r="A136" s="1">
        <v>40375</v>
      </c>
      <c r="B136" s="3">
        <v>10097.9</v>
      </c>
    </row>
    <row r="137" spans="1:2" x14ac:dyDescent="0.3">
      <c r="A137" s="1">
        <v>40378</v>
      </c>
      <c r="B137" s="3">
        <v>10154.43</v>
      </c>
    </row>
    <row r="138" spans="1:2" x14ac:dyDescent="0.3">
      <c r="A138" s="1">
        <v>40379</v>
      </c>
      <c r="B138" s="3">
        <v>10229.959999999999</v>
      </c>
    </row>
    <row r="139" spans="1:2" x14ac:dyDescent="0.3">
      <c r="A139" s="1">
        <v>40380</v>
      </c>
      <c r="B139" s="3">
        <v>10120.530000000001</v>
      </c>
    </row>
    <row r="140" spans="1:2" x14ac:dyDescent="0.3">
      <c r="A140" s="1">
        <v>40381</v>
      </c>
      <c r="B140" s="3">
        <v>10322.299999999999</v>
      </c>
    </row>
    <row r="141" spans="1:2" x14ac:dyDescent="0.3">
      <c r="A141" s="1">
        <v>40382</v>
      </c>
      <c r="B141" s="3">
        <v>10424.620000000001</v>
      </c>
    </row>
    <row r="142" spans="1:2" x14ac:dyDescent="0.3">
      <c r="A142" s="1">
        <v>40385</v>
      </c>
      <c r="B142" s="3">
        <v>10525.43</v>
      </c>
    </row>
    <row r="143" spans="1:2" x14ac:dyDescent="0.3">
      <c r="A143" s="1">
        <v>40386</v>
      </c>
      <c r="B143" s="3">
        <v>10537.69</v>
      </c>
    </row>
    <row r="144" spans="1:2" x14ac:dyDescent="0.3">
      <c r="A144" s="1">
        <v>40387</v>
      </c>
      <c r="B144" s="3">
        <v>10497.88</v>
      </c>
    </row>
    <row r="145" spans="1:2" x14ac:dyDescent="0.3">
      <c r="A145" s="1">
        <v>40388</v>
      </c>
      <c r="B145" s="3">
        <v>10467.16</v>
      </c>
    </row>
    <row r="146" spans="1:2" x14ac:dyDescent="0.3">
      <c r="A146" s="1">
        <v>40389</v>
      </c>
      <c r="B146" s="3">
        <v>10465.94</v>
      </c>
    </row>
    <row r="147" spans="1:2" x14ac:dyDescent="0.3">
      <c r="A147" s="1">
        <v>40392</v>
      </c>
      <c r="B147" s="3">
        <v>10674.38</v>
      </c>
    </row>
    <row r="148" spans="1:2" x14ac:dyDescent="0.3">
      <c r="A148" s="1">
        <v>40393</v>
      </c>
      <c r="B148" s="3">
        <v>10636.38</v>
      </c>
    </row>
    <row r="149" spans="1:2" x14ac:dyDescent="0.3">
      <c r="A149" s="1">
        <v>40394</v>
      </c>
      <c r="B149" s="3">
        <v>10680.43</v>
      </c>
    </row>
    <row r="150" spans="1:2" x14ac:dyDescent="0.3">
      <c r="A150" s="1">
        <v>40395</v>
      </c>
      <c r="B150" s="3">
        <v>10674.98</v>
      </c>
    </row>
    <row r="151" spans="1:2" x14ac:dyDescent="0.3">
      <c r="A151" s="1">
        <v>40396</v>
      </c>
      <c r="B151" s="3">
        <v>10653.56</v>
      </c>
    </row>
    <row r="152" spans="1:2" x14ac:dyDescent="0.3">
      <c r="A152" s="1">
        <v>40399</v>
      </c>
      <c r="B152" s="3">
        <v>10698.75</v>
      </c>
    </row>
    <row r="153" spans="1:2" x14ac:dyDescent="0.3">
      <c r="A153" s="1">
        <v>40400</v>
      </c>
      <c r="B153" s="3">
        <v>10644.25</v>
      </c>
    </row>
    <row r="154" spans="1:2" x14ac:dyDescent="0.3">
      <c r="A154" s="1"/>
    </row>
    <row r="155" spans="1:2" x14ac:dyDescent="0.3">
      <c r="A155" s="1"/>
    </row>
    <row r="156" spans="1:2" x14ac:dyDescent="0.3">
      <c r="A156" s="4" t="s">
        <v>2</v>
      </c>
    </row>
    <row r="157" spans="1:2" ht="83.4" customHeight="1" x14ac:dyDescent="0.3"/>
    <row r="158" spans="1:2" x14ac:dyDescent="0.3">
      <c r="A158" s="1"/>
    </row>
    <row r="159" spans="1:2" x14ac:dyDescent="0.3">
      <c r="A159" s="1"/>
    </row>
    <row r="160" spans="1:2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  <row r="16391" spans="1:1" x14ac:dyDescent="0.3">
      <c r="A16391" s="1"/>
    </row>
    <row r="16392" spans="1:1" x14ac:dyDescent="0.3">
      <c r="A16392" s="1"/>
    </row>
    <row r="16393" spans="1:1" x14ac:dyDescent="0.3">
      <c r="A16393" s="1"/>
    </row>
    <row r="16394" spans="1:1" x14ac:dyDescent="0.3">
      <c r="A16394" s="1"/>
    </row>
    <row r="16395" spans="1:1" x14ac:dyDescent="0.3">
      <c r="A16395" s="1"/>
    </row>
    <row r="16396" spans="1:1" x14ac:dyDescent="0.3">
      <c r="A16396" s="1"/>
    </row>
    <row r="16397" spans="1:1" x14ac:dyDescent="0.3">
      <c r="A16397" s="1"/>
    </row>
    <row r="16398" spans="1:1" x14ac:dyDescent="0.3">
      <c r="A16398" s="1"/>
    </row>
    <row r="16399" spans="1:1" x14ac:dyDescent="0.3">
      <c r="A16399" s="1"/>
    </row>
    <row r="16400" spans="1:1" x14ac:dyDescent="0.3">
      <c r="A16400" s="1"/>
    </row>
    <row r="16401" spans="1:1" x14ac:dyDescent="0.3">
      <c r="A16401" s="1"/>
    </row>
    <row r="16402" spans="1:1" x14ac:dyDescent="0.3">
      <c r="A16402" s="1"/>
    </row>
    <row r="16403" spans="1:1" x14ac:dyDescent="0.3">
      <c r="A16403" s="1"/>
    </row>
    <row r="16404" spans="1:1" x14ac:dyDescent="0.3">
      <c r="A16404" s="1"/>
    </row>
    <row r="16405" spans="1:1" x14ac:dyDescent="0.3">
      <c r="A16405" s="1"/>
    </row>
    <row r="16406" spans="1:1" x14ac:dyDescent="0.3">
      <c r="A16406" s="1"/>
    </row>
    <row r="16407" spans="1:1" x14ac:dyDescent="0.3">
      <c r="A16407" s="1"/>
    </row>
    <row r="16408" spans="1:1" x14ac:dyDescent="0.3">
      <c r="A16408" s="1"/>
    </row>
    <row r="16409" spans="1:1" x14ac:dyDescent="0.3">
      <c r="A16409" s="1"/>
    </row>
    <row r="16410" spans="1:1" x14ac:dyDescent="0.3">
      <c r="A16410" s="1"/>
    </row>
    <row r="16411" spans="1:1" x14ac:dyDescent="0.3">
      <c r="A16411" s="1"/>
    </row>
    <row r="16412" spans="1:1" x14ac:dyDescent="0.3">
      <c r="A16412" s="1"/>
    </row>
    <row r="16413" spans="1:1" x14ac:dyDescent="0.3">
      <c r="A16413" s="1"/>
    </row>
    <row r="16414" spans="1:1" x14ac:dyDescent="0.3">
      <c r="A16414" s="1"/>
    </row>
    <row r="16415" spans="1:1" x14ac:dyDescent="0.3">
      <c r="A16415" s="1"/>
    </row>
    <row r="16416" spans="1:1" x14ac:dyDescent="0.3">
      <c r="A16416" s="1"/>
    </row>
    <row r="16417" spans="1:1" x14ac:dyDescent="0.3">
      <c r="A16417" s="1"/>
    </row>
    <row r="16418" spans="1:1" x14ac:dyDescent="0.3">
      <c r="A16418" s="1"/>
    </row>
    <row r="16419" spans="1:1" x14ac:dyDescent="0.3">
      <c r="A16419" s="1"/>
    </row>
    <row r="16420" spans="1:1" x14ac:dyDescent="0.3">
      <c r="A16420" s="1"/>
    </row>
    <row r="16421" spans="1:1" x14ac:dyDescent="0.3">
      <c r="A16421" s="1"/>
    </row>
    <row r="16422" spans="1:1" x14ac:dyDescent="0.3">
      <c r="A16422" s="1"/>
    </row>
    <row r="16423" spans="1:1" x14ac:dyDescent="0.3">
      <c r="A16423" s="1"/>
    </row>
    <row r="16424" spans="1:1" x14ac:dyDescent="0.3">
      <c r="A16424" s="1"/>
    </row>
    <row r="16425" spans="1:1" x14ac:dyDescent="0.3">
      <c r="A16425" s="1"/>
    </row>
    <row r="16426" spans="1:1" x14ac:dyDescent="0.3">
      <c r="A16426" s="1"/>
    </row>
    <row r="16427" spans="1:1" x14ac:dyDescent="0.3">
      <c r="A16427" s="1"/>
    </row>
    <row r="16428" spans="1:1" x14ac:dyDescent="0.3">
      <c r="A16428" s="1"/>
    </row>
    <row r="16429" spans="1:1" x14ac:dyDescent="0.3">
      <c r="A16429" s="1"/>
    </row>
    <row r="16430" spans="1:1" x14ac:dyDescent="0.3">
      <c r="A16430" s="1"/>
    </row>
    <row r="16431" spans="1:1" x14ac:dyDescent="0.3">
      <c r="A16431" s="1"/>
    </row>
    <row r="16432" spans="1:1" x14ac:dyDescent="0.3">
      <c r="A16432" s="1"/>
    </row>
    <row r="16433" spans="1:1" x14ac:dyDescent="0.3">
      <c r="A16433" s="1"/>
    </row>
    <row r="16434" spans="1:1" x14ac:dyDescent="0.3">
      <c r="A16434" s="1"/>
    </row>
    <row r="16435" spans="1:1" x14ac:dyDescent="0.3">
      <c r="A16435" s="1"/>
    </row>
    <row r="16436" spans="1:1" x14ac:dyDescent="0.3">
      <c r="A16436" s="1"/>
    </row>
    <row r="16437" spans="1:1" x14ac:dyDescent="0.3">
      <c r="A16437" s="1"/>
    </row>
    <row r="16438" spans="1:1" x14ac:dyDescent="0.3">
      <c r="A16438" s="1"/>
    </row>
    <row r="16439" spans="1:1" x14ac:dyDescent="0.3">
      <c r="A16439" s="1"/>
    </row>
    <row r="16440" spans="1:1" x14ac:dyDescent="0.3">
      <c r="A16440" s="1"/>
    </row>
    <row r="16441" spans="1:1" x14ac:dyDescent="0.3">
      <c r="A16441" s="1"/>
    </row>
    <row r="16442" spans="1:1" x14ac:dyDescent="0.3">
      <c r="A16442" s="1"/>
    </row>
    <row r="16443" spans="1:1" x14ac:dyDescent="0.3">
      <c r="A16443" s="1"/>
    </row>
    <row r="16444" spans="1:1" x14ac:dyDescent="0.3">
      <c r="A16444" s="1"/>
    </row>
    <row r="16445" spans="1:1" x14ac:dyDescent="0.3">
      <c r="A16445" s="1"/>
    </row>
    <row r="16446" spans="1:1" x14ac:dyDescent="0.3">
      <c r="A16446" s="1"/>
    </row>
    <row r="16447" spans="1:1" x14ac:dyDescent="0.3">
      <c r="A16447" s="1"/>
    </row>
    <row r="16448" spans="1:1" x14ac:dyDescent="0.3">
      <c r="A16448" s="1"/>
    </row>
    <row r="16449" spans="1:1" x14ac:dyDescent="0.3">
      <c r="A16449" s="1"/>
    </row>
    <row r="16450" spans="1:1" x14ac:dyDescent="0.3">
      <c r="A16450" s="1"/>
    </row>
    <row r="16451" spans="1:1" x14ac:dyDescent="0.3">
      <c r="A16451" s="1"/>
    </row>
    <row r="16452" spans="1:1" x14ac:dyDescent="0.3">
      <c r="A16452" s="1"/>
    </row>
    <row r="16453" spans="1:1" x14ac:dyDescent="0.3">
      <c r="A16453" s="1"/>
    </row>
    <row r="16454" spans="1:1" x14ac:dyDescent="0.3">
      <c r="A16454" s="1"/>
    </row>
    <row r="16455" spans="1:1" x14ac:dyDescent="0.3">
      <c r="A16455" s="1"/>
    </row>
    <row r="16456" spans="1:1" x14ac:dyDescent="0.3">
      <c r="A16456" s="1"/>
    </row>
    <row r="16457" spans="1:1" x14ac:dyDescent="0.3">
      <c r="A16457" s="1"/>
    </row>
    <row r="16458" spans="1:1" x14ac:dyDescent="0.3">
      <c r="A16458" s="1"/>
    </row>
    <row r="16459" spans="1:1" x14ac:dyDescent="0.3">
      <c r="A16459" s="1"/>
    </row>
    <row r="16460" spans="1:1" x14ac:dyDescent="0.3">
      <c r="A16460" s="1"/>
    </row>
    <row r="16461" spans="1:1" x14ac:dyDescent="0.3">
      <c r="A16461" s="1"/>
    </row>
    <row r="16462" spans="1:1" x14ac:dyDescent="0.3">
      <c r="A16462" s="1"/>
    </row>
    <row r="16463" spans="1:1" x14ac:dyDescent="0.3">
      <c r="A16463" s="1"/>
    </row>
    <row r="16464" spans="1:1" x14ac:dyDescent="0.3">
      <c r="A16464" s="1"/>
    </row>
    <row r="16465" spans="1:1" x14ac:dyDescent="0.3">
      <c r="A16465" s="1"/>
    </row>
    <row r="16466" spans="1:1" x14ac:dyDescent="0.3">
      <c r="A16466" s="1"/>
    </row>
    <row r="16467" spans="1:1" x14ac:dyDescent="0.3">
      <c r="A16467" s="1"/>
    </row>
    <row r="16468" spans="1:1" x14ac:dyDescent="0.3">
      <c r="A16468" s="1"/>
    </row>
    <row r="16469" spans="1:1" x14ac:dyDescent="0.3">
      <c r="A16469" s="1"/>
    </row>
    <row r="16470" spans="1:1" x14ac:dyDescent="0.3">
      <c r="A16470" s="1"/>
    </row>
    <row r="16471" spans="1:1" x14ac:dyDescent="0.3">
      <c r="A16471" s="1"/>
    </row>
    <row r="16472" spans="1:1" x14ac:dyDescent="0.3">
      <c r="A16472" s="1"/>
    </row>
    <row r="16473" spans="1:1" x14ac:dyDescent="0.3">
      <c r="A16473" s="1"/>
    </row>
    <row r="16474" spans="1:1" x14ac:dyDescent="0.3">
      <c r="A16474" s="1"/>
    </row>
    <row r="16475" spans="1:1" x14ac:dyDescent="0.3">
      <c r="A16475" s="1"/>
    </row>
    <row r="16476" spans="1:1" x14ac:dyDescent="0.3">
      <c r="A16476" s="1"/>
    </row>
    <row r="16477" spans="1:1" x14ac:dyDescent="0.3">
      <c r="A16477" s="1"/>
    </row>
    <row r="16478" spans="1:1" x14ac:dyDescent="0.3">
      <c r="A16478" s="1"/>
    </row>
    <row r="16479" spans="1:1" x14ac:dyDescent="0.3">
      <c r="A16479" s="1"/>
    </row>
    <row r="16480" spans="1:1" x14ac:dyDescent="0.3">
      <c r="A16480" s="1"/>
    </row>
    <row r="16481" spans="1:1" x14ac:dyDescent="0.3">
      <c r="A16481" s="1"/>
    </row>
    <row r="16482" spans="1:1" x14ac:dyDescent="0.3">
      <c r="A16482" s="1"/>
    </row>
    <row r="16483" spans="1:1" x14ac:dyDescent="0.3">
      <c r="A16483" s="1"/>
    </row>
    <row r="16484" spans="1:1" x14ac:dyDescent="0.3">
      <c r="A16484" s="1"/>
    </row>
    <row r="16485" spans="1:1" x14ac:dyDescent="0.3">
      <c r="A16485" s="1"/>
    </row>
    <row r="16486" spans="1:1" x14ac:dyDescent="0.3">
      <c r="A16486" s="1"/>
    </row>
    <row r="16487" spans="1:1" x14ac:dyDescent="0.3">
      <c r="A16487" s="1"/>
    </row>
    <row r="16488" spans="1:1" x14ac:dyDescent="0.3">
      <c r="A16488" s="1"/>
    </row>
    <row r="16489" spans="1:1" x14ac:dyDescent="0.3">
      <c r="A16489" s="1"/>
    </row>
    <row r="16490" spans="1:1" x14ac:dyDescent="0.3">
      <c r="A16490" s="1"/>
    </row>
    <row r="16491" spans="1:1" x14ac:dyDescent="0.3">
      <c r="A16491" s="1"/>
    </row>
    <row r="16492" spans="1:1" x14ac:dyDescent="0.3">
      <c r="A16492" s="1"/>
    </row>
    <row r="16493" spans="1:1" x14ac:dyDescent="0.3">
      <c r="A16493" s="1"/>
    </row>
    <row r="16494" spans="1:1" x14ac:dyDescent="0.3">
      <c r="A16494" s="1"/>
    </row>
    <row r="16495" spans="1:1" x14ac:dyDescent="0.3">
      <c r="A16495" s="1"/>
    </row>
    <row r="16496" spans="1:1" x14ac:dyDescent="0.3">
      <c r="A16496" s="1"/>
    </row>
    <row r="16497" spans="1:1" x14ac:dyDescent="0.3">
      <c r="A16497" s="1"/>
    </row>
    <row r="16498" spans="1:1" x14ac:dyDescent="0.3">
      <c r="A16498" s="1"/>
    </row>
    <row r="16499" spans="1:1" x14ac:dyDescent="0.3">
      <c r="A16499" s="1"/>
    </row>
    <row r="16500" spans="1:1" x14ac:dyDescent="0.3">
      <c r="A16500" s="1"/>
    </row>
    <row r="16501" spans="1:1" x14ac:dyDescent="0.3">
      <c r="A16501" s="1"/>
    </row>
    <row r="16502" spans="1:1" x14ac:dyDescent="0.3">
      <c r="A16502" s="1"/>
    </row>
    <row r="16503" spans="1:1" x14ac:dyDescent="0.3">
      <c r="A16503" s="1"/>
    </row>
    <row r="16504" spans="1:1" x14ac:dyDescent="0.3">
      <c r="A16504" s="1"/>
    </row>
    <row r="16505" spans="1:1" x14ac:dyDescent="0.3">
      <c r="A16505" s="1"/>
    </row>
    <row r="16506" spans="1:1" x14ac:dyDescent="0.3">
      <c r="A16506" s="1"/>
    </row>
    <row r="16507" spans="1:1" x14ac:dyDescent="0.3">
      <c r="A16507" s="1"/>
    </row>
    <row r="16508" spans="1:1" x14ac:dyDescent="0.3">
      <c r="A16508" s="1"/>
    </row>
    <row r="16509" spans="1:1" x14ac:dyDescent="0.3">
      <c r="A16509" s="1"/>
    </row>
    <row r="16510" spans="1:1" x14ac:dyDescent="0.3">
      <c r="A16510" s="1"/>
    </row>
    <row r="16511" spans="1:1" x14ac:dyDescent="0.3">
      <c r="A16511" s="1"/>
    </row>
    <row r="16512" spans="1:1" x14ac:dyDescent="0.3">
      <c r="A16512" s="1"/>
    </row>
    <row r="16513" spans="1:1" x14ac:dyDescent="0.3">
      <c r="A16513" s="1"/>
    </row>
    <row r="16514" spans="1:1" x14ac:dyDescent="0.3">
      <c r="A16514" s="1"/>
    </row>
    <row r="16515" spans="1:1" x14ac:dyDescent="0.3">
      <c r="A16515" s="1"/>
    </row>
    <row r="16516" spans="1:1" x14ac:dyDescent="0.3">
      <c r="A16516" s="1"/>
    </row>
    <row r="16517" spans="1:1" x14ac:dyDescent="0.3">
      <c r="A16517" s="1"/>
    </row>
    <row r="16518" spans="1:1" x14ac:dyDescent="0.3">
      <c r="A16518" s="1"/>
    </row>
    <row r="16519" spans="1:1" x14ac:dyDescent="0.3">
      <c r="A16519" s="1"/>
    </row>
    <row r="16520" spans="1:1" x14ac:dyDescent="0.3">
      <c r="A16520" s="1"/>
    </row>
    <row r="16521" spans="1:1" x14ac:dyDescent="0.3">
      <c r="A16521" s="1"/>
    </row>
    <row r="16522" spans="1:1" x14ac:dyDescent="0.3">
      <c r="A16522" s="1"/>
    </row>
    <row r="16523" spans="1:1" x14ac:dyDescent="0.3">
      <c r="A16523" s="1"/>
    </row>
    <row r="16524" spans="1:1" x14ac:dyDescent="0.3">
      <c r="A16524" s="1"/>
    </row>
    <row r="16525" spans="1:1" x14ac:dyDescent="0.3">
      <c r="A16525" s="1"/>
    </row>
    <row r="16526" spans="1:1" x14ac:dyDescent="0.3">
      <c r="A16526" s="1"/>
    </row>
    <row r="16527" spans="1:1" x14ac:dyDescent="0.3">
      <c r="A16527" s="1"/>
    </row>
    <row r="16528" spans="1:1" x14ac:dyDescent="0.3">
      <c r="A16528" s="1"/>
    </row>
    <row r="16529" spans="1:1" x14ac:dyDescent="0.3">
      <c r="A16529" s="1"/>
    </row>
    <row r="16530" spans="1:1" x14ac:dyDescent="0.3">
      <c r="A16530" s="1"/>
    </row>
    <row r="16531" spans="1:1" x14ac:dyDescent="0.3">
      <c r="A16531" s="1"/>
    </row>
    <row r="16532" spans="1:1" x14ac:dyDescent="0.3">
      <c r="A16532" s="1"/>
    </row>
    <row r="16533" spans="1:1" x14ac:dyDescent="0.3">
      <c r="A16533" s="1"/>
    </row>
    <row r="16534" spans="1:1" x14ac:dyDescent="0.3">
      <c r="A16534" s="1"/>
    </row>
    <row r="16535" spans="1:1" x14ac:dyDescent="0.3">
      <c r="A16535" s="1"/>
    </row>
    <row r="16536" spans="1:1" x14ac:dyDescent="0.3">
      <c r="A16536" s="1"/>
    </row>
    <row r="16537" spans="1:1" x14ac:dyDescent="0.3">
      <c r="A16537" s="1"/>
    </row>
    <row r="16538" spans="1:1" x14ac:dyDescent="0.3">
      <c r="A16538" s="1"/>
    </row>
    <row r="16539" spans="1:1" x14ac:dyDescent="0.3">
      <c r="A16539" s="1"/>
    </row>
    <row r="16540" spans="1:1" x14ac:dyDescent="0.3">
      <c r="A16540" s="1"/>
    </row>
    <row r="16541" spans="1:1" x14ac:dyDescent="0.3">
      <c r="A16541" s="1"/>
    </row>
    <row r="16542" spans="1:1" x14ac:dyDescent="0.3">
      <c r="A16542" s="1"/>
    </row>
    <row r="16543" spans="1:1" x14ac:dyDescent="0.3">
      <c r="A16543" s="1"/>
    </row>
    <row r="16544" spans="1:1" x14ac:dyDescent="0.3">
      <c r="A16544" s="1"/>
    </row>
    <row r="16545" spans="1:1" x14ac:dyDescent="0.3">
      <c r="A16545" s="1"/>
    </row>
    <row r="16546" spans="1:1" x14ac:dyDescent="0.3">
      <c r="A16546" s="1"/>
    </row>
    <row r="16547" spans="1:1" x14ac:dyDescent="0.3">
      <c r="A16547" s="1"/>
    </row>
    <row r="16548" spans="1:1" x14ac:dyDescent="0.3">
      <c r="A16548" s="1"/>
    </row>
    <row r="16549" spans="1:1" x14ac:dyDescent="0.3">
      <c r="A16549" s="1"/>
    </row>
    <row r="16550" spans="1:1" x14ac:dyDescent="0.3">
      <c r="A16550" s="1"/>
    </row>
    <row r="16551" spans="1:1" x14ac:dyDescent="0.3">
      <c r="A16551" s="1"/>
    </row>
    <row r="16552" spans="1:1" x14ac:dyDescent="0.3">
      <c r="A16552" s="1"/>
    </row>
    <row r="16553" spans="1:1" x14ac:dyDescent="0.3">
      <c r="A16553" s="1"/>
    </row>
    <row r="16554" spans="1:1" x14ac:dyDescent="0.3">
      <c r="A16554" s="1"/>
    </row>
    <row r="16555" spans="1:1" x14ac:dyDescent="0.3">
      <c r="A16555" s="1"/>
    </row>
    <row r="16556" spans="1:1" x14ac:dyDescent="0.3">
      <c r="A16556" s="1"/>
    </row>
    <row r="16557" spans="1:1" x14ac:dyDescent="0.3">
      <c r="A16557" s="1"/>
    </row>
    <row r="16558" spans="1:1" x14ac:dyDescent="0.3">
      <c r="A16558" s="1"/>
    </row>
    <row r="16559" spans="1:1" x14ac:dyDescent="0.3">
      <c r="A16559" s="1"/>
    </row>
    <row r="16560" spans="1:1" x14ac:dyDescent="0.3">
      <c r="A16560" s="1"/>
    </row>
    <row r="16561" spans="1:1" x14ac:dyDescent="0.3">
      <c r="A16561" s="1"/>
    </row>
    <row r="16562" spans="1:1" x14ac:dyDescent="0.3">
      <c r="A16562" s="1"/>
    </row>
    <row r="16563" spans="1:1" x14ac:dyDescent="0.3">
      <c r="A16563" s="1"/>
    </row>
    <row r="16564" spans="1:1" x14ac:dyDescent="0.3">
      <c r="A16564" s="1"/>
    </row>
    <row r="16565" spans="1:1" x14ac:dyDescent="0.3">
      <c r="A16565" s="1"/>
    </row>
    <row r="16566" spans="1:1" x14ac:dyDescent="0.3">
      <c r="A16566" s="1"/>
    </row>
    <row r="16567" spans="1:1" x14ac:dyDescent="0.3">
      <c r="A16567" s="1"/>
    </row>
    <row r="16568" spans="1:1" x14ac:dyDescent="0.3">
      <c r="A16568" s="1"/>
    </row>
    <row r="16569" spans="1:1" x14ac:dyDescent="0.3">
      <c r="A16569" s="1"/>
    </row>
    <row r="16570" spans="1:1" x14ac:dyDescent="0.3">
      <c r="A16570" s="1"/>
    </row>
    <row r="16571" spans="1:1" x14ac:dyDescent="0.3">
      <c r="A16571" s="1"/>
    </row>
    <row r="16572" spans="1:1" x14ac:dyDescent="0.3">
      <c r="A16572" s="1"/>
    </row>
    <row r="16573" spans="1:1" x14ac:dyDescent="0.3">
      <c r="A16573" s="1"/>
    </row>
    <row r="16574" spans="1:1" x14ac:dyDescent="0.3">
      <c r="A16574" s="1"/>
    </row>
    <row r="16575" spans="1:1" x14ac:dyDescent="0.3">
      <c r="A16575" s="1"/>
    </row>
    <row r="16576" spans="1:1" x14ac:dyDescent="0.3">
      <c r="A16576" s="1"/>
    </row>
    <row r="16577" spans="1:1" x14ac:dyDescent="0.3">
      <c r="A16577" s="1"/>
    </row>
    <row r="16578" spans="1:1" x14ac:dyDescent="0.3">
      <c r="A16578" s="1"/>
    </row>
    <row r="16579" spans="1:1" x14ac:dyDescent="0.3">
      <c r="A16579" s="1"/>
    </row>
    <row r="16580" spans="1:1" x14ac:dyDescent="0.3">
      <c r="A16580" s="1"/>
    </row>
    <row r="16581" spans="1:1" x14ac:dyDescent="0.3">
      <c r="A16581" s="1"/>
    </row>
    <row r="16582" spans="1:1" x14ac:dyDescent="0.3">
      <c r="A16582" s="1"/>
    </row>
    <row r="16583" spans="1:1" x14ac:dyDescent="0.3">
      <c r="A16583" s="1"/>
    </row>
    <row r="16584" spans="1:1" x14ac:dyDescent="0.3">
      <c r="A16584" s="1"/>
    </row>
    <row r="16585" spans="1:1" x14ac:dyDescent="0.3">
      <c r="A16585" s="1"/>
    </row>
    <row r="16586" spans="1:1" x14ac:dyDescent="0.3">
      <c r="A16586" s="1"/>
    </row>
    <row r="16587" spans="1:1" x14ac:dyDescent="0.3">
      <c r="A16587" s="1"/>
    </row>
    <row r="16588" spans="1:1" x14ac:dyDescent="0.3">
      <c r="A16588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1"/>
    </row>
    <row r="16593" spans="1:1" x14ac:dyDescent="0.3">
      <c r="A16593" s="1"/>
    </row>
    <row r="16594" spans="1:1" x14ac:dyDescent="0.3">
      <c r="A16594" s="1"/>
    </row>
    <row r="16595" spans="1:1" x14ac:dyDescent="0.3">
      <c r="A16595" s="1"/>
    </row>
    <row r="16596" spans="1:1" x14ac:dyDescent="0.3">
      <c r="A16596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01" spans="1:1" x14ac:dyDescent="0.3">
      <c r="A16601" s="1"/>
    </row>
    <row r="16602" spans="1:1" x14ac:dyDescent="0.3">
      <c r="A16602" s="1"/>
    </row>
    <row r="16603" spans="1:1" x14ac:dyDescent="0.3">
      <c r="A16603" s="1"/>
    </row>
    <row r="16604" spans="1:1" x14ac:dyDescent="0.3">
      <c r="A16604" s="1"/>
    </row>
    <row r="16605" spans="1:1" x14ac:dyDescent="0.3">
      <c r="A16605" s="1"/>
    </row>
    <row r="16606" spans="1:1" x14ac:dyDescent="0.3">
      <c r="A16606" s="1"/>
    </row>
    <row r="16607" spans="1:1" x14ac:dyDescent="0.3">
      <c r="A16607" s="1"/>
    </row>
    <row r="16608" spans="1:1" x14ac:dyDescent="0.3">
      <c r="A16608" s="1"/>
    </row>
    <row r="16609" spans="1:1" x14ac:dyDescent="0.3">
      <c r="A16609" s="1"/>
    </row>
    <row r="16610" spans="1:1" x14ac:dyDescent="0.3">
      <c r="A16610" s="1"/>
    </row>
    <row r="16611" spans="1:1" x14ac:dyDescent="0.3">
      <c r="A16611" s="1"/>
    </row>
    <row r="16612" spans="1:1" x14ac:dyDescent="0.3">
      <c r="A16612" s="1"/>
    </row>
    <row r="16613" spans="1:1" x14ac:dyDescent="0.3">
      <c r="A16613" s="1"/>
    </row>
    <row r="16614" spans="1:1" x14ac:dyDescent="0.3">
      <c r="A16614" s="1"/>
    </row>
    <row r="16615" spans="1:1" x14ac:dyDescent="0.3">
      <c r="A16615" s="1"/>
    </row>
    <row r="16616" spans="1:1" x14ac:dyDescent="0.3">
      <c r="A16616" s="1"/>
    </row>
    <row r="16617" spans="1:1" x14ac:dyDescent="0.3">
      <c r="A16617" s="1"/>
    </row>
    <row r="16618" spans="1:1" x14ac:dyDescent="0.3">
      <c r="A16618" s="1"/>
    </row>
    <row r="16619" spans="1:1" x14ac:dyDescent="0.3">
      <c r="A16619" s="1"/>
    </row>
    <row r="16620" spans="1:1" x14ac:dyDescent="0.3">
      <c r="A16620" s="1"/>
    </row>
    <row r="16621" spans="1:1" x14ac:dyDescent="0.3">
      <c r="A16621" s="1"/>
    </row>
    <row r="16622" spans="1:1" x14ac:dyDescent="0.3">
      <c r="A16622" s="1"/>
    </row>
    <row r="16623" spans="1:1" x14ac:dyDescent="0.3">
      <c r="A16623" s="1"/>
    </row>
    <row r="16624" spans="1:1" x14ac:dyDescent="0.3">
      <c r="A16624" s="1"/>
    </row>
    <row r="16625" spans="1:1" x14ac:dyDescent="0.3">
      <c r="A16625" s="1"/>
    </row>
    <row r="16626" spans="1:1" x14ac:dyDescent="0.3">
      <c r="A16626" s="1"/>
    </row>
    <row r="16627" spans="1:1" x14ac:dyDescent="0.3">
      <c r="A16627" s="1"/>
    </row>
    <row r="16628" spans="1:1" x14ac:dyDescent="0.3">
      <c r="A16628" s="1"/>
    </row>
    <row r="16629" spans="1:1" x14ac:dyDescent="0.3">
      <c r="A16629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3" spans="1:1" x14ac:dyDescent="0.3">
      <c r="A16633" s="1"/>
    </row>
    <row r="16634" spans="1:1" x14ac:dyDescent="0.3">
      <c r="A16634" s="1"/>
    </row>
    <row r="16635" spans="1:1" x14ac:dyDescent="0.3">
      <c r="A16635" s="1"/>
    </row>
    <row r="16636" spans="1:1" x14ac:dyDescent="0.3">
      <c r="A16636" s="1"/>
    </row>
    <row r="16637" spans="1:1" x14ac:dyDescent="0.3">
      <c r="A16637" s="1"/>
    </row>
    <row r="16638" spans="1:1" x14ac:dyDescent="0.3">
      <c r="A16638" s="1"/>
    </row>
    <row r="16639" spans="1:1" x14ac:dyDescent="0.3">
      <c r="A16639" s="1"/>
    </row>
    <row r="16640" spans="1:1" x14ac:dyDescent="0.3">
      <c r="A16640" s="1"/>
    </row>
    <row r="16641" spans="1:1" x14ac:dyDescent="0.3">
      <c r="A16641" s="1"/>
    </row>
    <row r="16642" spans="1:1" x14ac:dyDescent="0.3">
      <c r="A16642" s="1"/>
    </row>
    <row r="16643" spans="1:1" x14ac:dyDescent="0.3">
      <c r="A16643" s="1"/>
    </row>
    <row r="16644" spans="1:1" x14ac:dyDescent="0.3">
      <c r="A16644" s="1"/>
    </row>
    <row r="16645" spans="1:1" x14ac:dyDescent="0.3">
      <c r="A16645" s="1"/>
    </row>
    <row r="16646" spans="1:1" x14ac:dyDescent="0.3">
      <c r="A16646" s="1"/>
    </row>
    <row r="16647" spans="1:1" x14ac:dyDescent="0.3">
      <c r="A16647" s="1"/>
    </row>
    <row r="16648" spans="1:1" x14ac:dyDescent="0.3">
      <c r="A16648" s="1"/>
    </row>
    <row r="16649" spans="1:1" x14ac:dyDescent="0.3">
      <c r="A16649" s="1"/>
    </row>
    <row r="16650" spans="1:1" x14ac:dyDescent="0.3">
      <c r="A16650" s="1"/>
    </row>
    <row r="16651" spans="1:1" x14ac:dyDescent="0.3">
      <c r="A16651" s="1"/>
    </row>
    <row r="16652" spans="1:1" x14ac:dyDescent="0.3">
      <c r="A16652" s="1"/>
    </row>
    <row r="16653" spans="1:1" x14ac:dyDescent="0.3">
      <c r="A16653" s="1"/>
    </row>
    <row r="16654" spans="1:1" x14ac:dyDescent="0.3">
      <c r="A16654" s="1"/>
    </row>
    <row r="16655" spans="1:1" x14ac:dyDescent="0.3">
      <c r="A16655" s="1"/>
    </row>
    <row r="16656" spans="1:1" x14ac:dyDescent="0.3">
      <c r="A16656" s="1"/>
    </row>
    <row r="16657" spans="1:1" x14ac:dyDescent="0.3">
      <c r="A16657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1"/>
    </row>
    <row r="16661" spans="1:1" x14ac:dyDescent="0.3">
      <c r="A16661" s="1"/>
    </row>
    <row r="16662" spans="1:1" x14ac:dyDescent="0.3">
      <c r="A16662" s="1"/>
    </row>
    <row r="16663" spans="1:1" x14ac:dyDescent="0.3">
      <c r="A16663" s="1"/>
    </row>
    <row r="16664" spans="1:1" x14ac:dyDescent="0.3">
      <c r="A16664" s="1"/>
    </row>
    <row r="16665" spans="1:1" x14ac:dyDescent="0.3">
      <c r="A16665" s="1"/>
    </row>
    <row r="16666" spans="1:1" x14ac:dyDescent="0.3">
      <c r="A16666" s="1"/>
    </row>
    <row r="16667" spans="1:1" x14ac:dyDescent="0.3">
      <c r="A16667" s="1"/>
    </row>
    <row r="16668" spans="1:1" x14ac:dyDescent="0.3">
      <c r="A16668" s="1"/>
    </row>
    <row r="16669" spans="1:1" x14ac:dyDescent="0.3">
      <c r="A16669" s="1"/>
    </row>
    <row r="16670" spans="1:1" x14ac:dyDescent="0.3">
      <c r="A16670" s="1"/>
    </row>
    <row r="16671" spans="1:1" x14ac:dyDescent="0.3">
      <c r="A16671" s="1"/>
    </row>
    <row r="16672" spans="1:1" x14ac:dyDescent="0.3">
      <c r="A16672" s="1"/>
    </row>
    <row r="16673" spans="1:1" x14ac:dyDescent="0.3">
      <c r="A16673" s="1"/>
    </row>
    <row r="16674" spans="1:1" x14ac:dyDescent="0.3">
      <c r="A16674" s="1"/>
    </row>
    <row r="16675" spans="1:1" x14ac:dyDescent="0.3">
      <c r="A16675" s="1"/>
    </row>
    <row r="16676" spans="1:1" x14ac:dyDescent="0.3">
      <c r="A16676" s="1"/>
    </row>
    <row r="16677" spans="1:1" x14ac:dyDescent="0.3">
      <c r="A16677" s="1"/>
    </row>
    <row r="16678" spans="1:1" x14ac:dyDescent="0.3">
      <c r="A16678" s="1"/>
    </row>
    <row r="16679" spans="1:1" x14ac:dyDescent="0.3">
      <c r="A16679" s="1"/>
    </row>
    <row r="16680" spans="1:1" x14ac:dyDescent="0.3">
      <c r="A16680" s="1"/>
    </row>
    <row r="16681" spans="1:1" x14ac:dyDescent="0.3">
      <c r="A16681" s="1"/>
    </row>
    <row r="16682" spans="1:1" x14ac:dyDescent="0.3">
      <c r="A16682" s="1"/>
    </row>
    <row r="16683" spans="1:1" x14ac:dyDescent="0.3">
      <c r="A16683" s="1"/>
    </row>
    <row r="16684" spans="1:1" x14ac:dyDescent="0.3">
      <c r="A16684" s="1"/>
    </row>
    <row r="16685" spans="1:1" x14ac:dyDescent="0.3">
      <c r="A16685" s="1"/>
    </row>
    <row r="16686" spans="1:1" x14ac:dyDescent="0.3">
      <c r="A16686" s="1"/>
    </row>
    <row r="16687" spans="1:1" x14ac:dyDescent="0.3">
      <c r="A16687" s="1"/>
    </row>
    <row r="16688" spans="1:1" x14ac:dyDescent="0.3">
      <c r="A16688" s="1"/>
    </row>
    <row r="16689" spans="1:1" x14ac:dyDescent="0.3">
      <c r="A16689" s="1"/>
    </row>
    <row r="16690" spans="1:1" x14ac:dyDescent="0.3">
      <c r="A16690" s="1"/>
    </row>
    <row r="16691" spans="1:1" x14ac:dyDescent="0.3">
      <c r="A16691" s="1"/>
    </row>
    <row r="16692" spans="1:1" x14ac:dyDescent="0.3">
      <c r="A16692" s="1"/>
    </row>
    <row r="16693" spans="1:1" x14ac:dyDescent="0.3">
      <c r="A16693" s="1"/>
    </row>
    <row r="16694" spans="1:1" x14ac:dyDescent="0.3">
      <c r="A16694" s="1"/>
    </row>
    <row r="16695" spans="1:1" x14ac:dyDescent="0.3">
      <c r="A16695" s="1"/>
    </row>
    <row r="16696" spans="1:1" x14ac:dyDescent="0.3">
      <c r="A16696" s="1"/>
    </row>
    <row r="16697" spans="1:1" x14ac:dyDescent="0.3">
      <c r="A16697" s="1"/>
    </row>
    <row r="16698" spans="1:1" x14ac:dyDescent="0.3">
      <c r="A16698" s="1"/>
    </row>
    <row r="16699" spans="1:1" x14ac:dyDescent="0.3">
      <c r="A16699" s="1"/>
    </row>
    <row r="16700" spans="1:1" x14ac:dyDescent="0.3">
      <c r="A16700" s="1"/>
    </row>
    <row r="16701" spans="1:1" x14ac:dyDescent="0.3">
      <c r="A16701" s="1"/>
    </row>
    <row r="16702" spans="1:1" x14ac:dyDescent="0.3">
      <c r="A16702" s="1"/>
    </row>
    <row r="16703" spans="1:1" x14ac:dyDescent="0.3">
      <c r="A16703" s="1"/>
    </row>
    <row r="16704" spans="1:1" x14ac:dyDescent="0.3">
      <c r="A16704" s="1"/>
    </row>
    <row r="16705" spans="1:1" x14ac:dyDescent="0.3">
      <c r="A16705" s="1"/>
    </row>
    <row r="16706" spans="1:1" x14ac:dyDescent="0.3">
      <c r="A16706" s="1"/>
    </row>
    <row r="16707" spans="1:1" x14ac:dyDescent="0.3">
      <c r="A16707" s="1"/>
    </row>
    <row r="16708" spans="1:1" x14ac:dyDescent="0.3">
      <c r="A16708" s="1"/>
    </row>
    <row r="16709" spans="1:1" x14ac:dyDescent="0.3">
      <c r="A16709" s="1"/>
    </row>
    <row r="16710" spans="1:1" x14ac:dyDescent="0.3">
      <c r="A16710" s="1"/>
    </row>
    <row r="16711" spans="1:1" x14ac:dyDescent="0.3">
      <c r="A16711" s="1"/>
    </row>
    <row r="16712" spans="1:1" x14ac:dyDescent="0.3">
      <c r="A16712" s="1"/>
    </row>
    <row r="16713" spans="1:1" x14ac:dyDescent="0.3">
      <c r="A16713" s="1"/>
    </row>
    <row r="16714" spans="1:1" x14ac:dyDescent="0.3">
      <c r="A16714" s="1"/>
    </row>
    <row r="16715" spans="1:1" x14ac:dyDescent="0.3">
      <c r="A16715" s="1"/>
    </row>
    <row r="16716" spans="1:1" x14ac:dyDescent="0.3">
      <c r="A16716" s="1"/>
    </row>
    <row r="16717" spans="1:1" x14ac:dyDescent="0.3">
      <c r="A16717" s="1"/>
    </row>
    <row r="16718" spans="1:1" x14ac:dyDescent="0.3">
      <c r="A16718" s="1"/>
    </row>
    <row r="16719" spans="1:1" x14ac:dyDescent="0.3">
      <c r="A16719" s="1"/>
    </row>
    <row r="16720" spans="1:1" x14ac:dyDescent="0.3">
      <c r="A16720" s="1"/>
    </row>
    <row r="16721" spans="1:1" x14ac:dyDescent="0.3">
      <c r="A16721" s="1"/>
    </row>
    <row r="16722" spans="1:1" x14ac:dyDescent="0.3">
      <c r="A16722" s="1"/>
    </row>
    <row r="16723" spans="1:1" x14ac:dyDescent="0.3">
      <c r="A16723" s="1"/>
    </row>
    <row r="16724" spans="1:1" x14ac:dyDescent="0.3">
      <c r="A16724" s="1"/>
    </row>
    <row r="16725" spans="1:1" x14ac:dyDescent="0.3">
      <c r="A16725" s="1"/>
    </row>
    <row r="16726" spans="1:1" x14ac:dyDescent="0.3">
      <c r="A16726" s="1"/>
    </row>
    <row r="16727" spans="1:1" x14ac:dyDescent="0.3">
      <c r="A16727" s="1"/>
    </row>
    <row r="16728" spans="1:1" x14ac:dyDescent="0.3">
      <c r="A16728" s="1"/>
    </row>
    <row r="16729" spans="1:1" x14ac:dyDescent="0.3">
      <c r="A16729" s="1"/>
    </row>
    <row r="16730" spans="1:1" x14ac:dyDescent="0.3">
      <c r="A16730" s="1"/>
    </row>
    <row r="16731" spans="1:1" x14ac:dyDescent="0.3">
      <c r="A16731" s="1"/>
    </row>
    <row r="16732" spans="1:1" x14ac:dyDescent="0.3">
      <c r="A16732" s="1"/>
    </row>
    <row r="16733" spans="1:1" x14ac:dyDescent="0.3">
      <c r="A16733" s="1"/>
    </row>
    <row r="16734" spans="1:1" x14ac:dyDescent="0.3">
      <c r="A16734" s="1"/>
    </row>
    <row r="16735" spans="1:1" x14ac:dyDescent="0.3">
      <c r="A16735" s="1"/>
    </row>
    <row r="16736" spans="1:1" x14ac:dyDescent="0.3">
      <c r="A16736" s="1"/>
    </row>
    <row r="16737" spans="1:1" x14ac:dyDescent="0.3">
      <c r="A16737" s="1"/>
    </row>
    <row r="16738" spans="1:1" x14ac:dyDescent="0.3">
      <c r="A16738" s="1"/>
    </row>
    <row r="16739" spans="1:1" x14ac:dyDescent="0.3">
      <c r="A16739" s="1"/>
    </row>
    <row r="16740" spans="1:1" x14ac:dyDescent="0.3">
      <c r="A16740" s="1"/>
    </row>
    <row r="16741" spans="1:1" x14ac:dyDescent="0.3">
      <c r="A16741" s="1"/>
    </row>
    <row r="16742" spans="1:1" x14ac:dyDescent="0.3">
      <c r="A16742" s="1"/>
    </row>
    <row r="16743" spans="1:1" x14ac:dyDescent="0.3">
      <c r="A16743" s="1"/>
    </row>
    <row r="16744" spans="1:1" x14ac:dyDescent="0.3">
      <c r="A16744" s="1"/>
    </row>
    <row r="16745" spans="1:1" x14ac:dyDescent="0.3">
      <c r="A16745" s="1"/>
    </row>
    <row r="16746" spans="1:1" x14ac:dyDescent="0.3">
      <c r="A16746" s="1"/>
    </row>
    <row r="16747" spans="1:1" x14ac:dyDescent="0.3">
      <c r="A16747" s="1"/>
    </row>
    <row r="16748" spans="1:1" x14ac:dyDescent="0.3">
      <c r="A16748" s="1"/>
    </row>
    <row r="16749" spans="1:1" x14ac:dyDescent="0.3">
      <c r="A16749" s="1"/>
    </row>
    <row r="16750" spans="1:1" x14ac:dyDescent="0.3">
      <c r="A16750" s="1"/>
    </row>
    <row r="16751" spans="1:1" x14ac:dyDescent="0.3">
      <c r="A16751" s="1"/>
    </row>
    <row r="16752" spans="1:1" x14ac:dyDescent="0.3">
      <c r="A16752" s="1"/>
    </row>
    <row r="16753" spans="1:1" x14ac:dyDescent="0.3">
      <c r="A16753" s="1"/>
    </row>
    <row r="16754" spans="1:1" x14ac:dyDescent="0.3">
      <c r="A16754" s="1"/>
    </row>
    <row r="16755" spans="1:1" x14ac:dyDescent="0.3">
      <c r="A16755" s="1"/>
    </row>
    <row r="16756" spans="1:1" x14ac:dyDescent="0.3">
      <c r="A16756" s="1"/>
    </row>
    <row r="16757" spans="1:1" x14ac:dyDescent="0.3">
      <c r="A16757" s="1"/>
    </row>
    <row r="16758" spans="1:1" x14ac:dyDescent="0.3">
      <c r="A16758" s="1"/>
    </row>
    <row r="16759" spans="1:1" x14ac:dyDescent="0.3">
      <c r="A16759" s="1"/>
    </row>
    <row r="16760" spans="1:1" x14ac:dyDescent="0.3">
      <c r="A16760" s="1"/>
    </row>
    <row r="16761" spans="1:1" x14ac:dyDescent="0.3">
      <c r="A16761" s="1"/>
    </row>
    <row r="16762" spans="1:1" x14ac:dyDescent="0.3">
      <c r="A16762" s="1"/>
    </row>
    <row r="16763" spans="1:1" x14ac:dyDescent="0.3">
      <c r="A16763" s="1"/>
    </row>
    <row r="16764" spans="1:1" x14ac:dyDescent="0.3">
      <c r="A16764" s="1"/>
    </row>
    <row r="16765" spans="1:1" x14ac:dyDescent="0.3">
      <c r="A16765" s="1"/>
    </row>
    <row r="16766" spans="1:1" x14ac:dyDescent="0.3">
      <c r="A16766" s="1"/>
    </row>
    <row r="16767" spans="1:1" x14ac:dyDescent="0.3">
      <c r="A16767" s="1"/>
    </row>
    <row r="16768" spans="1:1" x14ac:dyDescent="0.3">
      <c r="A16768" s="1"/>
    </row>
    <row r="16769" spans="1:1" x14ac:dyDescent="0.3">
      <c r="A16769" s="1"/>
    </row>
    <row r="16770" spans="1:1" x14ac:dyDescent="0.3">
      <c r="A16770" s="1"/>
    </row>
    <row r="16771" spans="1:1" x14ac:dyDescent="0.3">
      <c r="A16771" s="1"/>
    </row>
    <row r="16772" spans="1:1" x14ac:dyDescent="0.3">
      <c r="A16772" s="1"/>
    </row>
    <row r="16773" spans="1:1" x14ac:dyDescent="0.3">
      <c r="A16773" s="1"/>
    </row>
    <row r="16774" spans="1:1" x14ac:dyDescent="0.3">
      <c r="A16774" s="1"/>
    </row>
    <row r="16775" spans="1:1" x14ac:dyDescent="0.3">
      <c r="A16775" s="1"/>
    </row>
    <row r="16776" spans="1:1" x14ac:dyDescent="0.3">
      <c r="A16776" s="1"/>
    </row>
    <row r="16777" spans="1:1" x14ac:dyDescent="0.3">
      <c r="A16777" s="1"/>
    </row>
    <row r="16778" spans="1:1" x14ac:dyDescent="0.3">
      <c r="A16778" s="1"/>
    </row>
    <row r="16779" spans="1:1" x14ac:dyDescent="0.3">
      <c r="A16779" s="1"/>
    </row>
    <row r="16780" spans="1:1" x14ac:dyDescent="0.3">
      <c r="A16780" s="1"/>
    </row>
    <row r="16781" spans="1:1" x14ac:dyDescent="0.3">
      <c r="A16781" s="1"/>
    </row>
    <row r="16782" spans="1:1" x14ac:dyDescent="0.3">
      <c r="A16782" s="1"/>
    </row>
    <row r="16783" spans="1:1" x14ac:dyDescent="0.3">
      <c r="A16783" s="1"/>
    </row>
    <row r="16784" spans="1:1" x14ac:dyDescent="0.3">
      <c r="A16784" s="1"/>
    </row>
    <row r="16785" spans="1:1" x14ac:dyDescent="0.3">
      <c r="A16785" s="1"/>
    </row>
    <row r="16786" spans="1:1" x14ac:dyDescent="0.3">
      <c r="A16786" s="1"/>
    </row>
    <row r="16787" spans="1:1" x14ac:dyDescent="0.3">
      <c r="A16787" s="1"/>
    </row>
    <row r="16788" spans="1:1" x14ac:dyDescent="0.3">
      <c r="A16788" s="1"/>
    </row>
    <row r="16789" spans="1:1" x14ac:dyDescent="0.3">
      <c r="A16789" s="1"/>
    </row>
    <row r="16790" spans="1:1" x14ac:dyDescent="0.3">
      <c r="A16790" s="1"/>
    </row>
    <row r="16791" spans="1:1" x14ac:dyDescent="0.3">
      <c r="A16791" s="1"/>
    </row>
    <row r="16792" spans="1:1" x14ac:dyDescent="0.3">
      <c r="A16792" s="1"/>
    </row>
    <row r="16793" spans="1:1" x14ac:dyDescent="0.3">
      <c r="A16793" s="1"/>
    </row>
    <row r="16794" spans="1:1" x14ac:dyDescent="0.3">
      <c r="A16794" s="1"/>
    </row>
    <row r="16795" spans="1:1" x14ac:dyDescent="0.3">
      <c r="A16795" s="1"/>
    </row>
    <row r="16796" spans="1:1" x14ac:dyDescent="0.3">
      <c r="A16796" s="1"/>
    </row>
    <row r="16797" spans="1:1" x14ac:dyDescent="0.3">
      <c r="A16797" s="1"/>
    </row>
    <row r="16798" spans="1:1" x14ac:dyDescent="0.3">
      <c r="A16798" s="1"/>
    </row>
    <row r="16799" spans="1:1" x14ac:dyDescent="0.3">
      <c r="A16799" s="1"/>
    </row>
    <row r="16800" spans="1:1" x14ac:dyDescent="0.3">
      <c r="A16800" s="1"/>
    </row>
    <row r="16801" spans="1:1" x14ac:dyDescent="0.3">
      <c r="A16801" s="1"/>
    </row>
    <row r="16802" spans="1:1" x14ac:dyDescent="0.3">
      <c r="A16802" s="1"/>
    </row>
    <row r="16803" spans="1:1" x14ac:dyDescent="0.3">
      <c r="A16803" s="1"/>
    </row>
    <row r="16804" spans="1:1" x14ac:dyDescent="0.3">
      <c r="A16804" s="1"/>
    </row>
    <row r="16805" spans="1:1" x14ac:dyDescent="0.3">
      <c r="A16805" s="1"/>
    </row>
    <row r="16806" spans="1:1" x14ac:dyDescent="0.3">
      <c r="A16806" s="1"/>
    </row>
    <row r="16807" spans="1:1" x14ac:dyDescent="0.3">
      <c r="A16807" s="1"/>
    </row>
    <row r="16808" spans="1:1" x14ac:dyDescent="0.3">
      <c r="A16808" s="1"/>
    </row>
    <row r="16809" spans="1:1" x14ac:dyDescent="0.3">
      <c r="A16809" s="1"/>
    </row>
    <row r="16810" spans="1:1" x14ac:dyDescent="0.3">
      <c r="A16810" s="1"/>
    </row>
    <row r="16811" spans="1:1" x14ac:dyDescent="0.3">
      <c r="A16811" s="1"/>
    </row>
    <row r="16812" spans="1:1" x14ac:dyDescent="0.3">
      <c r="A16812" s="1"/>
    </row>
    <row r="16813" spans="1:1" x14ac:dyDescent="0.3">
      <c r="A16813" s="1"/>
    </row>
    <row r="16814" spans="1:1" x14ac:dyDescent="0.3">
      <c r="A16814" s="1"/>
    </row>
    <row r="16815" spans="1:1" x14ac:dyDescent="0.3">
      <c r="A16815" s="1"/>
    </row>
    <row r="16816" spans="1:1" x14ac:dyDescent="0.3">
      <c r="A16816" s="1"/>
    </row>
    <row r="16817" spans="1:1" x14ac:dyDescent="0.3">
      <c r="A16817" s="1"/>
    </row>
    <row r="16818" spans="1:1" x14ac:dyDescent="0.3">
      <c r="A16818" s="1"/>
    </row>
    <row r="16819" spans="1:1" x14ac:dyDescent="0.3">
      <c r="A16819" s="1"/>
    </row>
    <row r="16820" spans="1:1" x14ac:dyDescent="0.3">
      <c r="A16820" s="1"/>
    </row>
    <row r="16821" spans="1:1" x14ac:dyDescent="0.3">
      <c r="A16821" s="1"/>
    </row>
    <row r="16822" spans="1:1" x14ac:dyDescent="0.3">
      <c r="A16822" s="1"/>
    </row>
    <row r="16823" spans="1:1" x14ac:dyDescent="0.3">
      <c r="A16823" s="1"/>
    </row>
    <row r="16824" spans="1:1" x14ac:dyDescent="0.3">
      <c r="A16824" s="1"/>
    </row>
    <row r="16825" spans="1:1" x14ac:dyDescent="0.3">
      <c r="A16825" s="1"/>
    </row>
    <row r="16826" spans="1:1" x14ac:dyDescent="0.3">
      <c r="A16826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1" spans="1:1" x14ac:dyDescent="0.3">
      <c r="A16831" s="1"/>
    </row>
    <row r="16832" spans="1:1" x14ac:dyDescent="0.3">
      <c r="A16832" s="1"/>
    </row>
    <row r="16833" spans="1:1" x14ac:dyDescent="0.3">
      <c r="A16833" s="1"/>
    </row>
    <row r="16834" spans="1:1" x14ac:dyDescent="0.3">
      <c r="A16834" s="1"/>
    </row>
    <row r="16835" spans="1:1" x14ac:dyDescent="0.3">
      <c r="A16835" s="1"/>
    </row>
    <row r="16836" spans="1:1" x14ac:dyDescent="0.3">
      <c r="A16836" s="1"/>
    </row>
    <row r="16837" spans="1:1" x14ac:dyDescent="0.3">
      <c r="A16837" s="1"/>
    </row>
    <row r="16838" spans="1:1" x14ac:dyDescent="0.3">
      <c r="A16838" s="1"/>
    </row>
    <row r="16839" spans="1:1" x14ac:dyDescent="0.3">
      <c r="A16839" s="1"/>
    </row>
    <row r="16840" spans="1:1" x14ac:dyDescent="0.3">
      <c r="A16840" s="1"/>
    </row>
    <row r="16841" spans="1:1" x14ac:dyDescent="0.3">
      <c r="A16841" s="1"/>
    </row>
    <row r="16842" spans="1:1" x14ac:dyDescent="0.3">
      <c r="A16842" s="1"/>
    </row>
    <row r="16843" spans="1:1" x14ac:dyDescent="0.3">
      <c r="A16843" s="1"/>
    </row>
    <row r="16844" spans="1:1" x14ac:dyDescent="0.3">
      <c r="A16844" s="1"/>
    </row>
    <row r="16845" spans="1:1" x14ac:dyDescent="0.3">
      <c r="A16845" s="1"/>
    </row>
    <row r="16846" spans="1:1" x14ac:dyDescent="0.3">
      <c r="A16846" s="1"/>
    </row>
    <row r="16847" spans="1:1" x14ac:dyDescent="0.3">
      <c r="A16847" s="1"/>
    </row>
    <row r="16848" spans="1:1" x14ac:dyDescent="0.3">
      <c r="A16848" s="1"/>
    </row>
    <row r="16849" spans="1:1" x14ac:dyDescent="0.3">
      <c r="A16849" s="1"/>
    </row>
    <row r="16850" spans="1:1" x14ac:dyDescent="0.3">
      <c r="A16850" s="1"/>
    </row>
    <row r="16851" spans="1:1" x14ac:dyDescent="0.3">
      <c r="A16851" s="1"/>
    </row>
    <row r="16852" spans="1:1" x14ac:dyDescent="0.3">
      <c r="A16852" s="1"/>
    </row>
    <row r="16853" spans="1:1" x14ac:dyDescent="0.3">
      <c r="A16853" s="1"/>
    </row>
    <row r="16854" spans="1:1" x14ac:dyDescent="0.3">
      <c r="A16854" s="1"/>
    </row>
    <row r="16855" spans="1:1" x14ac:dyDescent="0.3">
      <c r="A16855" s="1"/>
    </row>
    <row r="16856" spans="1:1" x14ac:dyDescent="0.3">
      <c r="A16856" s="1"/>
    </row>
    <row r="16857" spans="1:1" x14ac:dyDescent="0.3">
      <c r="A16857" s="1"/>
    </row>
    <row r="16858" spans="1:1" x14ac:dyDescent="0.3">
      <c r="A16858" s="1"/>
    </row>
    <row r="16859" spans="1:1" x14ac:dyDescent="0.3">
      <c r="A16859" s="1"/>
    </row>
    <row r="16860" spans="1:1" x14ac:dyDescent="0.3">
      <c r="A16860" s="1"/>
    </row>
    <row r="16861" spans="1:1" x14ac:dyDescent="0.3">
      <c r="A16861" s="1"/>
    </row>
    <row r="16862" spans="1:1" x14ac:dyDescent="0.3">
      <c r="A16862" s="1"/>
    </row>
    <row r="16863" spans="1:1" x14ac:dyDescent="0.3">
      <c r="A16863" s="1"/>
    </row>
    <row r="16864" spans="1:1" x14ac:dyDescent="0.3">
      <c r="A16864" s="1"/>
    </row>
    <row r="16865" spans="1:1" x14ac:dyDescent="0.3">
      <c r="A16865" s="1"/>
    </row>
    <row r="16866" spans="1:1" x14ac:dyDescent="0.3">
      <c r="A16866" s="1"/>
    </row>
    <row r="16867" spans="1:1" x14ac:dyDescent="0.3">
      <c r="A16867" s="1"/>
    </row>
    <row r="16868" spans="1:1" x14ac:dyDescent="0.3">
      <c r="A16868" s="1"/>
    </row>
    <row r="16869" spans="1:1" x14ac:dyDescent="0.3">
      <c r="A16869" s="1"/>
    </row>
    <row r="16870" spans="1:1" x14ac:dyDescent="0.3">
      <c r="A16870" s="1"/>
    </row>
    <row r="16871" spans="1:1" x14ac:dyDescent="0.3">
      <c r="A16871" s="1"/>
    </row>
    <row r="16872" spans="1:1" x14ac:dyDescent="0.3">
      <c r="A16872" s="1"/>
    </row>
    <row r="16873" spans="1:1" x14ac:dyDescent="0.3">
      <c r="A16873" s="1"/>
    </row>
    <row r="16874" spans="1:1" x14ac:dyDescent="0.3">
      <c r="A16874" s="1"/>
    </row>
    <row r="16875" spans="1:1" x14ac:dyDescent="0.3">
      <c r="A16875" s="1"/>
    </row>
    <row r="16876" spans="1:1" x14ac:dyDescent="0.3">
      <c r="A16876" s="1"/>
    </row>
    <row r="16877" spans="1:1" x14ac:dyDescent="0.3">
      <c r="A16877" s="1"/>
    </row>
    <row r="16878" spans="1:1" x14ac:dyDescent="0.3">
      <c r="A16878" s="1"/>
    </row>
    <row r="16879" spans="1:1" x14ac:dyDescent="0.3">
      <c r="A16879" s="1"/>
    </row>
    <row r="16880" spans="1:1" x14ac:dyDescent="0.3">
      <c r="A16880" s="1"/>
    </row>
    <row r="16881" spans="1:1" x14ac:dyDescent="0.3">
      <c r="A16881" s="1"/>
    </row>
    <row r="16882" spans="1:1" x14ac:dyDescent="0.3">
      <c r="A16882" s="1"/>
    </row>
    <row r="16883" spans="1:1" x14ac:dyDescent="0.3">
      <c r="A16883" s="1"/>
    </row>
    <row r="16884" spans="1:1" x14ac:dyDescent="0.3">
      <c r="A16884" s="1"/>
    </row>
    <row r="16885" spans="1:1" x14ac:dyDescent="0.3">
      <c r="A16885" s="1"/>
    </row>
    <row r="16886" spans="1:1" x14ac:dyDescent="0.3">
      <c r="A16886" s="1"/>
    </row>
    <row r="16887" spans="1:1" x14ac:dyDescent="0.3">
      <c r="A16887" s="1"/>
    </row>
    <row r="16888" spans="1:1" x14ac:dyDescent="0.3">
      <c r="A16888" s="1"/>
    </row>
    <row r="16889" spans="1:1" x14ac:dyDescent="0.3">
      <c r="A16889" s="1"/>
    </row>
    <row r="16890" spans="1:1" x14ac:dyDescent="0.3">
      <c r="A16890" s="1"/>
    </row>
    <row r="16891" spans="1:1" x14ac:dyDescent="0.3">
      <c r="A16891" s="1"/>
    </row>
    <row r="16892" spans="1:1" x14ac:dyDescent="0.3">
      <c r="A16892" s="1"/>
    </row>
    <row r="16893" spans="1:1" x14ac:dyDescent="0.3">
      <c r="A16893" s="1"/>
    </row>
    <row r="16894" spans="1:1" x14ac:dyDescent="0.3">
      <c r="A16894" s="1"/>
    </row>
    <row r="16895" spans="1:1" x14ac:dyDescent="0.3">
      <c r="A16895" s="1"/>
    </row>
    <row r="16896" spans="1:1" x14ac:dyDescent="0.3">
      <c r="A16896" s="1"/>
    </row>
    <row r="16897" spans="1:1" x14ac:dyDescent="0.3">
      <c r="A16897" s="1"/>
    </row>
    <row r="16898" spans="1:1" x14ac:dyDescent="0.3">
      <c r="A16898" s="1"/>
    </row>
    <row r="16899" spans="1:1" x14ac:dyDescent="0.3">
      <c r="A16899" s="1"/>
    </row>
    <row r="16900" spans="1:1" x14ac:dyDescent="0.3">
      <c r="A16900" s="1"/>
    </row>
    <row r="16901" spans="1:1" x14ac:dyDescent="0.3">
      <c r="A16901" s="1"/>
    </row>
    <row r="16902" spans="1:1" x14ac:dyDescent="0.3">
      <c r="A16902" s="1"/>
    </row>
    <row r="16903" spans="1:1" x14ac:dyDescent="0.3">
      <c r="A16903" s="1"/>
    </row>
    <row r="16904" spans="1:1" x14ac:dyDescent="0.3">
      <c r="A16904" s="1"/>
    </row>
    <row r="16905" spans="1:1" x14ac:dyDescent="0.3">
      <c r="A16905" s="1"/>
    </row>
    <row r="16906" spans="1:1" x14ac:dyDescent="0.3">
      <c r="A16906" s="1"/>
    </row>
    <row r="16907" spans="1:1" x14ac:dyDescent="0.3">
      <c r="A16907" s="1"/>
    </row>
    <row r="16908" spans="1:1" x14ac:dyDescent="0.3">
      <c r="A16908" s="1"/>
    </row>
    <row r="16909" spans="1:1" x14ac:dyDescent="0.3">
      <c r="A16909" s="1"/>
    </row>
    <row r="16910" spans="1:1" x14ac:dyDescent="0.3">
      <c r="A16910" s="1"/>
    </row>
    <row r="16911" spans="1:1" x14ac:dyDescent="0.3">
      <c r="A16911" s="1"/>
    </row>
    <row r="16912" spans="1:1" x14ac:dyDescent="0.3">
      <c r="A16912" s="1"/>
    </row>
    <row r="16913" spans="1:1" x14ac:dyDescent="0.3">
      <c r="A16913" s="1"/>
    </row>
    <row r="16914" spans="1:1" x14ac:dyDescent="0.3">
      <c r="A16914" s="1"/>
    </row>
    <row r="16915" spans="1:1" x14ac:dyDescent="0.3">
      <c r="A16915" s="1"/>
    </row>
    <row r="16916" spans="1:1" x14ac:dyDescent="0.3">
      <c r="A16916" s="1"/>
    </row>
    <row r="16917" spans="1:1" x14ac:dyDescent="0.3">
      <c r="A16917" s="1"/>
    </row>
    <row r="16918" spans="1:1" x14ac:dyDescent="0.3">
      <c r="A16918" s="1"/>
    </row>
    <row r="16919" spans="1:1" x14ac:dyDescent="0.3">
      <c r="A16919" s="1"/>
    </row>
    <row r="16920" spans="1:1" x14ac:dyDescent="0.3">
      <c r="A16920" s="1"/>
    </row>
    <row r="16921" spans="1:1" x14ac:dyDescent="0.3">
      <c r="A16921" s="1"/>
    </row>
    <row r="16922" spans="1:1" x14ac:dyDescent="0.3">
      <c r="A16922" s="1"/>
    </row>
    <row r="16923" spans="1:1" x14ac:dyDescent="0.3">
      <c r="A16923" s="1"/>
    </row>
    <row r="16924" spans="1:1" x14ac:dyDescent="0.3">
      <c r="A16924" s="1"/>
    </row>
    <row r="16925" spans="1:1" x14ac:dyDescent="0.3">
      <c r="A16925" s="1"/>
    </row>
    <row r="16926" spans="1:1" x14ac:dyDescent="0.3">
      <c r="A16926" s="1"/>
    </row>
    <row r="16927" spans="1:1" x14ac:dyDescent="0.3">
      <c r="A16927" s="1"/>
    </row>
    <row r="16928" spans="1:1" x14ac:dyDescent="0.3">
      <c r="A16928" s="1"/>
    </row>
    <row r="16929" spans="1:1" x14ac:dyDescent="0.3">
      <c r="A16929" s="1"/>
    </row>
    <row r="16930" spans="1:1" x14ac:dyDescent="0.3">
      <c r="A16930" s="1"/>
    </row>
    <row r="16931" spans="1:1" x14ac:dyDescent="0.3">
      <c r="A16931" s="1"/>
    </row>
    <row r="16932" spans="1:1" x14ac:dyDescent="0.3">
      <c r="A16932" s="1"/>
    </row>
    <row r="16933" spans="1:1" x14ac:dyDescent="0.3">
      <c r="A16933" s="1"/>
    </row>
    <row r="16934" spans="1:1" x14ac:dyDescent="0.3">
      <c r="A16934" s="1"/>
    </row>
    <row r="16935" spans="1:1" x14ac:dyDescent="0.3">
      <c r="A16935" s="1"/>
    </row>
    <row r="16936" spans="1:1" x14ac:dyDescent="0.3">
      <c r="A16936" s="1"/>
    </row>
    <row r="16937" spans="1:1" x14ac:dyDescent="0.3">
      <c r="A16937" s="1"/>
    </row>
    <row r="16938" spans="1:1" x14ac:dyDescent="0.3">
      <c r="A16938" s="1"/>
    </row>
    <row r="16939" spans="1:1" x14ac:dyDescent="0.3">
      <c r="A16939" s="1"/>
    </row>
    <row r="16940" spans="1:1" x14ac:dyDescent="0.3">
      <c r="A16940" s="1"/>
    </row>
    <row r="16941" spans="1:1" x14ac:dyDescent="0.3">
      <c r="A16941" s="1"/>
    </row>
    <row r="16942" spans="1:1" x14ac:dyDescent="0.3">
      <c r="A16942" s="1"/>
    </row>
    <row r="16943" spans="1:1" x14ac:dyDescent="0.3">
      <c r="A16943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7" spans="1:1" x14ac:dyDescent="0.3">
      <c r="A16947" s="1"/>
    </row>
    <row r="16948" spans="1:1" x14ac:dyDescent="0.3">
      <c r="A16948" s="1"/>
    </row>
    <row r="16949" spans="1:1" x14ac:dyDescent="0.3">
      <c r="A16949" s="1"/>
    </row>
    <row r="16950" spans="1:1" x14ac:dyDescent="0.3">
      <c r="A16950" s="1"/>
    </row>
    <row r="16951" spans="1:1" x14ac:dyDescent="0.3">
      <c r="A16951" s="1"/>
    </row>
    <row r="16952" spans="1:1" x14ac:dyDescent="0.3">
      <c r="A16952" s="1"/>
    </row>
    <row r="16953" spans="1:1" x14ac:dyDescent="0.3">
      <c r="A16953" s="1"/>
    </row>
    <row r="16954" spans="1:1" x14ac:dyDescent="0.3">
      <c r="A16954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59" spans="1:1" x14ac:dyDescent="0.3">
      <c r="A16959" s="1"/>
    </row>
    <row r="16960" spans="1:1" x14ac:dyDescent="0.3">
      <c r="A16960" s="1"/>
    </row>
    <row r="16961" spans="1:1" x14ac:dyDescent="0.3">
      <c r="A16961" s="1"/>
    </row>
    <row r="16962" spans="1:1" x14ac:dyDescent="0.3">
      <c r="A16962" s="1"/>
    </row>
    <row r="16963" spans="1:1" x14ac:dyDescent="0.3">
      <c r="A16963" s="1"/>
    </row>
    <row r="16964" spans="1:1" x14ac:dyDescent="0.3">
      <c r="A16964" s="1"/>
    </row>
    <row r="16965" spans="1:1" x14ac:dyDescent="0.3">
      <c r="A16965" s="1"/>
    </row>
    <row r="16966" spans="1:1" x14ac:dyDescent="0.3">
      <c r="A16966" s="1"/>
    </row>
    <row r="16967" spans="1:1" x14ac:dyDescent="0.3">
      <c r="A16967" s="1"/>
    </row>
    <row r="16968" spans="1:1" x14ac:dyDescent="0.3">
      <c r="A16968" s="1"/>
    </row>
    <row r="16969" spans="1:1" x14ac:dyDescent="0.3">
      <c r="A16969" s="1"/>
    </row>
    <row r="16970" spans="1:1" x14ac:dyDescent="0.3">
      <c r="A16970" s="1"/>
    </row>
    <row r="16971" spans="1:1" x14ac:dyDescent="0.3">
      <c r="A16971" s="1"/>
    </row>
    <row r="16972" spans="1:1" x14ac:dyDescent="0.3">
      <c r="A16972" s="1"/>
    </row>
    <row r="16973" spans="1:1" x14ac:dyDescent="0.3">
      <c r="A16973" s="1"/>
    </row>
    <row r="16974" spans="1:1" x14ac:dyDescent="0.3">
      <c r="A16974" s="1"/>
    </row>
    <row r="16975" spans="1:1" x14ac:dyDescent="0.3">
      <c r="A16975" s="1"/>
    </row>
    <row r="16976" spans="1:1" x14ac:dyDescent="0.3">
      <c r="A16976" s="1"/>
    </row>
    <row r="16977" spans="1:1" x14ac:dyDescent="0.3">
      <c r="A16977" s="1"/>
    </row>
    <row r="16978" spans="1:1" x14ac:dyDescent="0.3">
      <c r="A16978" s="1"/>
    </row>
    <row r="16979" spans="1:1" x14ac:dyDescent="0.3">
      <c r="A16979" s="1"/>
    </row>
    <row r="16980" spans="1:1" x14ac:dyDescent="0.3">
      <c r="A16980" s="1"/>
    </row>
    <row r="16981" spans="1:1" x14ac:dyDescent="0.3">
      <c r="A16981" s="1"/>
    </row>
    <row r="16982" spans="1:1" x14ac:dyDescent="0.3">
      <c r="A16982" s="1"/>
    </row>
    <row r="16983" spans="1:1" x14ac:dyDescent="0.3">
      <c r="A16983" s="1"/>
    </row>
    <row r="16984" spans="1:1" x14ac:dyDescent="0.3">
      <c r="A16984" s="1"/>
    </row>
    <row r="16985" spans="1:1" x14ac:dyDescent="0.3">
      <c r="A16985" s="1"/>
    </row>
    <row r="16986" spans="1:1" x14ac:dyDescent="0.3">
      <c r="A16986" s="1"/>
    </row>
    <row r="16987" spans="1:1" x14ac:dyDescent="0.3">
      <c r="A16987" s="1"/>
    </row>
    <row r="16988" spans="1:1" x14ac:dyDescent="0.3">
      <c r="A16988" s="1"/>
    </row>
    <row r="16989" spans="1:1" x14ac:dyDescent="0.3">
      <c r="A16989" s="1"/>
    </row>
    <row r="16990" spans="1:1" x14ac:dyDescent="0.3">
      <c r="A16990" s="1"/>
    </row>
    <row r="16991" spans="1:1" x14ac:dyDescent="0.3">
      <c r="A16991" s="1"/>
    </row>
    <row r="16992" spans="1:1" x14ac:dyDescent="0.3">
      <c r="A16992" s="1"/>
    </row>
    <row r="16993" spans="1:1" x14ac:dyDescent="0.3">
      <c r="A16993" s="1"/>
    </row>
    <row r="16994" spans="1:1" x14ac:dyDescent="0.3">
      <c r="A16994" s="1"/>
    </row>
    <row r="16995" spans="1:1" x14ac:dyDescent="0.3">
      <c r="A16995" s="1"/>
    </row>
    <row r="16996" spans="1:1" x14ac:dyDescent="0.3">
      <c r="A16996" s="1"/>
    </row>
    <row r="16997" spans="1:1" x14ac:dyDescent="0.3">
      <c r="A16997" s="1"/>
    </row>
    <row r="16998" spans="1:1" x14ac:dyDescent="0.3">
      <c r="A16998" s="1"/>
    </row>
    <row r="16999" spans="1:1" x14ac:dyDescent="0.3">
      <c r="A16999" s="1"/>
    </row>
    <row r="17000" spans="1:1" x14ac:dyDescent="0.3">
      <c r="A17000" s="1"/>
    </row>
    <row r="17001" spans="1:1" x14ac:dyDescent="0.3">
      <c r="A17001" s="1"/>
    </row>
    <row r="17002" spans="1:1" x14ac:dyDescent="0.3">
      <c r="A17002" s="1"/>
    </row>
    <row r="17003" spans="1:1" x14ac:dyDescent="0.3">
      <c r="A17003" s="1"/>
    </row>
    <row r="17004" spans="1:1" x14ac:dyDescent="0.3">
      <c r="A17004" s="1"/>
    </row>
    <row r="17005" spans="1:1" x14ac:dyDescent="0.3">
      <c r="A17005" s="1"/>
    </row>
    <row r="17006" spans="1:1" x14ac:dyDescent="0.3">
      <c r="A17006" s="1"/>
    </row>
    <row r="17007" spans="1:1" x14ac:dyDescent="0.3">
      <c r="A17007" s="1"/>
    </row>
    <row r="17008" spans="1:1" x14ac:dyDescent="0.3">
      <c r="A17008" s="1"/>
    </row>
    <row r="17009" spans="1:1" x14ac:dyDescent="0.3">
      <c r="A17009" s="1"/>
    </row>
    <row r="17010" spans="1:1" x14ac:dyDescent="0.3">
      <c r="A17010" s="1"/>
    </row>
    <row r="17011" spans="1:1" x14ac:dyDescent="0.3">
      <c r="A17011" s="1"/>
    </row>
    <row r="17012" spans="1:1" x14ac:dyDescent="0.3">
      <c r="A17012" s="1"/>
    </row>
    <row r="17013" spans="1:1" x14ac:dyDescent="0.3">
      <c r="A17013" s="1"/>
    </row>
    <row r="17014" spans="1:1" x14ac:dyDescent="0.3">
      <c r="A17014" s="1"/>
    </row>
    <row r="17015" spans="1:1" x14ac:dyDescent="0.3">
      <c r="A17015" s="1"/>
    </row>
    <row r="17016" spans="1:1" x14ac:dyDescent="0.3">
      <c r="A17016" s="1"/>
    </row>
    <row r="17017" spans="1:1" x14ac:dyDescent="0.3">
      <c r="A17017" s="1"/>
    </row>
    <row r="17018" spans="1:1" x14ac:dyDescent="0.3">
      <c r="A17018" s="1"/>
    </row>
    <row r="17019" spans="1:1" x14ac:dyDescent="0.3">
      <c r="A17019" s="1"/>
    </row>
    <row r="17020" spans="1:1" x14ac:dyDescent="0.3">
      <c r="A17020" s="1"/>
    </row>
    <row r="17021" spans="1:1" x14ac:dyDescent="0.3">
      <c r="A17021" s="1"/>
    </row>
    <row r="17022" spans="1:1" x14ac:dyDescent="0.3">
      <c r="A17022" s="1"/>
    </row>
    <row r="17023" spans="1:1" x14ac:dyDescent="0.3">
      <c r="A17023" s="1"/>
    </row>
    <row r="17024" spans="1:1" x14ac:dyDescent="0.3">
      <c r="A17024" s="1"/>
    </row>
    <row r="17025" spans="1:1" x14ac:dyDescent="0.3">
      <c r="A17025" s="1"/>
    </row>
    <row r="17026" spans="1:1" x14ac:dyDescent="0.3">
      <c r="A17026" s="1"/>
    </row>
    <row r="17027" spans="1:1" x14ac:dyDescent="0.3">
      <c r="A17027" s="1"/>
    </row>
    <row r="17028" spans="1:1" x14ac:dyDescent="0.3">
      <c r="A17028" s="1"/>
    </row>
    <row r="17029" spans="1:1" x14ac:dyDescent="0.3">
      <c r="A17029" s="1"/>
    </row>
    <row r="17030" spans="1:1" x14ac:dyDescent="0.3">
      <c r="A17030" s="1"/>
    </row>
    <row r="17031" spans="1:1" x14ac:dyDescent="0.3">
      <c r="A17031" s="1"/>
    </row>
    <row r="17032" spans="1:1" x14ac:dyDescent="0.3">
      <c r="A17032" s="1"/>
    </row>
    <row r="17033" spans="1:1" x14ac:dyDescent="0.3">
      <c r="A17033" s="1"/>
    </row>
    <row r="17034" spans="1:1" x14ac:dyDescent="0.3">
      <c r="A17034" s="1"/>
    </row>
    <row r="17035" spans="1:1" x14ac:dyDescent="0.3">
      <c r="A17035" s="1"/>
    </row>
    <row r="17036" spans="1:1" x14ac:dyDescent="0.3">
      <c r="A17036" s="1"/>
    </row>
    <row r="17037" spans="1:1" x14ac:dyDescent="0.3">
      <c r="A17037" s="1"/>
    </row>
    <row r="17038" spans="1:1" x14ac:dyDescent="0.3">
      <c r="A17038" s="1"/>
    </row>
    <row r="17039" spans="1:1" x14ac:dyDescent="0.3">
      <c r="A17039" s="1"/>
    </row>
    <row r="17040" spans="1:1" x14ac:dyDescent="0.3">
      <c r="A17040" s="1"/>
    </row>
    <row r="17041" spans="1:1" x14ac:dyDescent="0.3">
      <c r="A17041" s="1"/>
    </row>
    <row r="17042" spans="1:1" x14ac:dyDescent="0.3">
      <c r="A17042" s="1"/>
    </row>
    <row r="17043" spans="1:1" x14ac:dyDescent="0.3">
      <c r="A17043" s="1"/>
    </row>
    <row r="17044" spans="1:1" x14ac:dyDescent="0.3">
      <c r="A17044" s="1"/>
    </row>
    <row r="17045" spans="1:1" x14ac:dyDescent="0.3">
      <c r="A17045" s="1"/>
    </row>
    <row r="17046" spans="1:1" x14ac:dyDescent="0.3">
      <c r="A17046" s="1"/>
    </row>
    <row r="17047" spans="1:1" x14ac:dyDescent="0.3">
      <c r="A17047" s="1"/>
    </row>
    <row r="17048" spans="1:1" x14ac:dyDescent="0.3">
      <c r="A17048" s="1"/>
    </row>
    <row r="17049" spans="1:1" x14ac:dyDescent="0.3">
      <c r="A17049" s="1"/>
    </row>
    <row r="17050" spans="1:1" x14ac:dyDescent="0.3">
      <c r="A17050" s="1"/>
    </row>
    <row r="17051" spans="1:1" x14ac:dyDescent="0.3">
      <c r="A17051" s="1"/>
    </row>
    <row r="17052" spans="1:1" x14ac:dyDescent="0.3">
      <c r="A17052" s="1"/>
    </row>
    <row r="17053" spans="1:1" x14ac:dyDescent="0.3">
      <c r="A17053" s="1"/>
    </row>
    <row r="17054" spans="1:1" x14ac:dyDescent="0.3">
      <c r="A17054" s="1"/>
    </row>
    <row r="17055" spans="1:1" x14ac:dyDescent="0.3">
      <c r="A17055" s="1"/>
    </row>
    <row r="17056" spans="1:1" x14ac:dyDescent="0.3">
      <c r="A17056" s="1"/>
    </row>
    <row r="17057" spans="1:1" x14ac:dyDescent="0.3">
      <c r="A17057" s="1"/>
    </row>
    <row r="17058" spans="1:1" x14ac:dyDescent="0.3">
      <c r="A17058" s="1"/>
    </row>
    <row r="17059" spans="1:1" x14ac:dyDescent="0.3">
      <c r="A17059" s="1"/>
    </row>
    <row r="17060" spans="1:1" x14ac:dyDescent="0.3">
      <c r="A17060" s="1"/>
    </row>
    <row r="17061" spans="1:1" x14ac:dyDescent="0.3">
      <c r="A17061" s="1"/>
    </row>
    <row r="17062" spans="1:1" x14ac:dyDescent="0.3">
      <c r="A17062" s="1"/>
    </row>
    <row r="17063" spans="1:1" x14ac:dyDescent="0.3">
      <c r="A17063" s="1"/>
    </row>
    <row r="17064" spans="1:1" x14ac:dyDescent="0.3">
      <c r="A17064" s="1"/>
    </row>
    <row r="17065" spans="1:1" x14ac:dyDescent="0.3">
      <c r="A17065" s="1"/>
    </row>
    <row r="17066" spans="1:1" x14ac:dyDescent="0.3">
      <c r="A17066" s="1"/>
    </row>
    <row r="17067" spans="1:1" x14ac:dyDescent="0.3">
      <c r="A17067" s="1"/>
    </row>
    <row r="17068" spans="1:1" x14ac:dyDescent="0.3">
      <c r="A17068" s="1"/>
    </row>
    <row r="17069" spans="1:1" x14ac:dyDescent="0.3">
      <c r="A17069" s="1"/>
    </row>
    <row r="17070" spans="1:1" x14ac:dyDescent="0.3">
      <c r="A17070" s="1"/>
    </row>
    <row r="17071" spans="1:1" x14ac:dyDescent="0.3">
      <c r="A17071" s="1"/>
    </row>
    <row r="17072" spans="1:1" x14ac:dyDescent="0.3">
      <c r="A17072" s="1"/>
    </row>
    <row r="17073" spans="1:1" x14ac:dyDescent="0.3">
      <c r="A17073" s="1"/>
    </row>
    <row r="17074" spans="1:1" x14ac:dyDescent="0.3">
      <c r="A17074" s="1"/>
    </row>
    <row r="17075" spans="1:1" x14ac:dyDescent="0.3">
      <c r="A17075" s="1"/>
    </row>
    <row r="17076" spans="1:1" x14ac:dyDescent="0.3">
      <c r="A17076" s="1"/>
    </row>
    <row r="17077" spans="1:1" x14ac:dyDescent="0.3">
      <c r="A17077" s="1"/>
    </row>
    <row r="17078" spans="1:1" x14ac:dyDescent="0.3">
      <c r="A17078" s="1"/>
    </row>
    <row r="17079" spans="1:1" x14ac:dyDescent="0.3">
      <c r="A17079" s="1"/>
    </row>
    <row r="17080" spans="1:1" x14ac:dyDescent="0.3">
      <c r="A17080" s="1"/>
    </row>
    <row r="17081" spans="1:1" x14ac:dyDescent="0.3">
      <c r="A17081" s="1"/>
    </row>
    <row r="17082" spans="1:1" x14ac:dyDescent="0.3">
      <c r="A17082" s="1"/>
    </row>
    <row r="17083" spans="1:1" x14ac:dyDescent="0.3">
      <c r="A17083" s="1"/>
    </row>
    <row r="17084" spans="1:1" x14ac:dyDescent="0.3">
      <c r="A17084" s="1"/>
    </row>
    <row r="17085" spans="1:1" x14ac:dyDescent="0.3">
      <c r="A17085" s="1"/>
    </row>
    <row r="17086" spans="1:1" x14ac:dyDescent="0.3">
      <c r="A17086" s="1"/>
    </row>
    <row r="17087" spans="1:1" x14ac:dyDescent="0.3">
      <c r="A17087" s="1"/>
    </row>
    <row r="17088" spans="1:1" x14ac:dyDescent="0.3">
      <c r="A17088" s="1"/>
    </row>
    <row r="17089" spans="1:1" x14ac:dyDescent="0.3">
      <c r="A17089" s="1"/>
    </row>
    <row r="17090" spans="1:1" x14ac:dyDescent="0.3">
      <c r="A17090" s="1"/>
    </row>
    <row r="17091" spans="1:1" x14ac:dyDescent="0.3">
      <c r="A17091" s="1"/>
    </row>
    <row r="17092" spans="1:1" x14ac:dyDescent="0.3">
      <c r="A17092" s="1"/>
    </row>
    <row r="17093" spans="1:1" x14ac:dyDescent="0.3">
      <c r="A17093" s="1"/>
    </row>
    <row r="17094" spans="1:1" x14ac:dyDescent="0.3">
      <c r="A17094" s="1"/>
    </row>
    <row r="17095" spans="1:1" x14ac:dyDescent="0.3">
      <c r="A17095" s="1"/>
    </row>
    <row r="17096" spans="1:1" x14ac:dyDescent="0.3">
      <c r="A17096" s="1"/>
    </row>
    <row r="17097" spans="1:1" x14ac:dyDescent="0.3">
      <c r="A17097" s="1"/>
    </row>
    <row r="17098" spans="1:1" x14ac:dyDescent="0.3">
      <c r="A17098" s="1"/>
    </row>
    <row r="17099" spans="1:1" x14ac:dyDescent="0.3">
      <c r="A17099" s="1"/>
    </row>
    <row r="17100" spans="1:1" x14ac:dyDescent="0.3">
      <c r="A17100" s="1"/>
    </row>
    <row r="17101" spans="1:1" x14ac:dyDescent="0.3">
      <c r="A17101" s="1"/>
    </row>
    <row r="17102" spans="1:1" x14ac:dyDescent="0.3">
      <c r="A17102" s="1"/>
    </row>
    <row r="17103" spans="1:1" x14ac:dyDescent="0.3">
      <c r="A17103" s="1"/>
    </row>
    <row r="17104" spans="1:1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1" x14ac:dyDescent="0.3">
      <c r="A17505" s="1"/>
    </row>
    <row r="17506" spans="1:1" x14ac:dyDescent="0.3">
      <c r="A17506" s="1"/>
    </row>
    <row r="17507" spans="1:1" x14ac:dyDescent="0.3">
      <c r="A17507" s="1"/>
    </row>
    <row r="17508" spans="1:1" x14ac:dyDescent="0.3">
      <c r="A17508" s="1"/>
    </row>
    <row r="17509" spans="1:1" x14ac:dyDescent="0.3">
      <c r="A17509" s="1"/>
    </row>
    <row r="17510" spans="1:1" x14ac:dyDescent="0.3">
      <c r="A17510" s="1"/>
    </row>
    <row r="17511" spans="1:1" x14ac:dyDescent="0.3">
      <c r="A17511" s="1"/>
    </row>
    <row r="17512" spans="1:1" x14ac:dyDescent="0.3">
      <c r="A17512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1"/>
    </row>
    <row r="17516" spans="1:1" x14ac:dyDescent="0.3">
      <c r="A17516" s="1"/>
    </row>
    <row r="17517" spans="1:1" x14ac:dyDescent="0.3">
      <c r="A17517" s="1"/>
    </row>
    <row r="17518" spans="1:1" x14ac:dyDescent="0.3">
      <c r="A17518" s="1"/>
    </row>
    <row r="17519" spans="1:1" x14ac:dyDescent="0.3">
      <c r="A17519" s="1"/>
    </row>
    <row r="17520" spans="1:1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1" x14ac:dyDescent="0.3">
      <c r="A17649" s="1"/>
    </row>
    <row r="17650" spans="1:1" x14ac:dyDescent="0.3">
      <c r="A17650" s="1"/>
    </row>
    <row r="17651" spans="1:1" x14ac:dyDescent="0.3">
      <c r="A17651" s="1"/>
    </row>
    <row r="17652" spans="1:1" x14ac:dyDescent="0.3">
      <c r="A17652" s="1"/>
    </row>
    <row r="17653" spans="1:1" x14ac:dyDescent="0.3">
      <c r="A17653" s="1"/>
    </row>
    <row r="17654" spans="1:1" x14ac:dyDescent="0.3">
      <c r="A17654" s="1"/>
    </row>
    <row r="17655" spans="1:1" x14ac:dyDescent="0.3">
      <c r="A17655" s="1"/>
    </row>
    <row r="17656" spans="1:1" x14ac:dyDescent="0.3">
      <c r="A17656" s="1"/>
    </row>
    <row r="17657" spans="1:1" x14ac:dyDescent="0.3">
      <c r="A17657" s="1"/>
    </row>
    <row r="17658" spans="1:1" x14ac:dyDescent="0.3">
      <c r="A17658" s="1"/>
    </row>
    <row r="17659" spans="1:1" x14ac:dyDescent="0.3">
      <c r="A17659" s="1"/>
    </row>
    <row r="17660" spans="1:1" x14ac:dyDescent="0.3">
      <c r="A17660" s="1"/>
    </row>
    <row r="17661" spans="1:1" x14ac:dyDescent="0.3">
      <c r="A17661" s="1"/>
    </row>
    <row r="17662" spans="1:1" x14ac:dyDescent="0.3">
      <c r="A17662" s="1"/>
    </row>
    <row r="17663" spans="1:1" x14ac:dyDescent="0.3">
      <c r="A17663" s="1"/>
    </row>
    <row r="17664" spans="1:1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1" x14ac:dyDescent="0.3">
      <c r="A18001" s="1"/>
    </row>
    <row r="18002" spans="1:1" x14ac:dyDescent="0.3">
      <c r="A18002" s="1"/>
    </row>
    <row r="18003" spans="1:1" x14ac:dyDescent="0.3">
      <c r="A18003" s="1"/>
    </row>
    <row r="18004" spans="1:1" x14ac:dyDescent="0.3">
      <c r="A18004" s="1"/>
    </row>
    <row r="18005" spans="1:1" x14ac:dyDescent="0.3">
      <c r="A18005" s="1"/>
    </row>
    <row r="18006" spans="1:1" x14ac:dyDescent="0.3">
      <c r="A18006" s="1"/>
    </row>
    <row r="18007" spans="1:1" x14ac:dyDescent="0.3">
      <c r="A18007" s="1"/>
    </row>
    <row r="18008" spans="1:1" x14ac:dyDescent="0.3">
      <c r="A18008" s="1"/>
    </row>
    <row r="18009" spans="1:1" x14ac:dyDescent="0.3">
      <c r="A18009" s="1"/>
    </row>
    <row r="18010" spans="1:1" x14ac:dyDescent="0.3">
      <c r="A18010" s="1"/>
    </row>
    <row r="18011" spans="1:1" x14ac:dyDescent="0.3">
      <c r="A18011" s="1"/>
    </row>
    <row r="18012" spans="1:1" x14ac:dyDescent="0.3">
      <c r="A18012" s="1"/>
    </row>
    <row r="18013" spans="1:1" x14ac:dyDescent="0.3">
      <c r="A18013" s="1"/>
    </row>
    <row r="18014" spans="1:1" x14ac:dyDescent="0.3">
      <c r="A18014" s="1"/>
    </row>
    <row r="18015" spans="1:1" x14ac:dyDescent="0.3">
      <c r="A18015" s="1"/>
    </row>
    <row r="18016" spans="1:1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1" x14ac:dyDescent="0.3">
      <c r="A18209" s="1"/>
    </row>
    <row r="18210" spans="1:1" x14ac:dyDescent="0.3">
      <c r="A18210" s="1"/>
    </row>
    <row r="18211" spans="1:1" x14ac:dyDescent="0.3">
      <c r="A18211" s="1"/>
    </row>
    <row r="18212" spans="1:1" x14ac:dyDescent="0.3">
      <c r="A18212" s="1"/>
    </row>
    <row r="18213" spans="1:1" x14ac:dyDescent="0.3">
      <c r="A18213" s="1"/>
    </row>
    <row r="18214" spans="1:1" x14ac:dyDescent="0.3">
      <c r="A18214" s="1"/>
    </row>
    <row r="18215" spans="1:1" x14ac:dyDescent="0.3">
      <c r="A18215" s="1"/>
    </row>
    <row r="18216" spans="1:1" x14ac:dyDescent="0.3">
      <c r="A18216" s="1"/>
    </row>
    <row r="18217" spans="1:1" x14ac:dyDescent="0.3">
      <c r="A18217" s="1"/>
    </row>
    <row r="18218" spans="1:1" x14ac:dyDescent="0.3">
      <c r="A18218" s="1"/>
    </row>
    <row r="18219" spans="1:1" x14ac:dyDescent="0.3">
      <c r="A18219" s="1"/>
    </row>
    <row r="18220" spans="1:1" x14ac:dyDescent="0.3">
      <c r="A18220" s="1"/>
    </row>
    <row r="18221" spans="1:1" x14ac:dyDescent="0.3">
      <c r="A18221" s="1"/>
    </row>
    <row r="18222" spans="1:1" x14ac:dyDescent="0.3">
      <c r="A18222" s="1"/>
    </row>
    <row r="18223" spans="1:1" x14ac:dyDescent="0.3">
      <c r="A18223" s="1"/>
    </row>
    <row r="18224" spans="1:1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1" x14ac:dyDescent="0.3">
      <c r="A18241" s="1"/>
    </row>
    <row r="18242" spans="1:1" x14ac:dyDescent="0.3">
      <c r="A18242" s="1"/>
    </row>
    <row r="18243" spans="1:1" x14ac:dyDescent="0.3">
      <c r="A18243" s="1"/>
    </row>
    <row r="18244" spans="1:1" x14ac:dyDescent="0.3">
      <c r="A18244" s="1"/>
    </row>
    <row r="18245" spans="1:1" x14ac:dyDescent="0.3">
      <c r="A18245" s="1"/>
    </row>
    <row r="18246" spans="1:1" x14ac:dyDescent="0.3">
      <c r="A18246" s="1"/>
    </row>
    <row r="18247" spans="1:1" x14ac:dyDescent="0.3">
      <c r="A18247" s="1"/>
    </row>
    <row r="18248" spans="1:1" x14ac:dyDescent="0.3">
      <c r="A18248" s="1"/>
    </row>
    <row r="18249" spans="1:1" x14ac:dyDescent="0.3">
      <c r="A18249" s="1"/>
    </row>
    <row r="18250" spans="1:1" x14ac:dyDescent="0.3">
      <c r="A18250" s="1"/>
    </row>
    <row r="18251" spans="1:1" x14ac:dyDescent="0.3">
      <c r="A18251" s="1"/>
    </row>
    <row r="18252" spans="1:1" x14ac:dyDescent="0.3">
      <c r="A18252" s="1"/>
    </row>
    <row r="18253" spans="1:1" x14ac:dyDescent="0.3">
      <c r="A18253" s="1"/>
    </row>
    <row r="18254" spans="1:1" x14ac:dyDescent="0.3">
      <c r="A18254" s="1"/>
    </row>
    <row r="18255" spans="1:1" x14ac:dyDescent="0.3">
      <c r="A18255" s="1"/>
    </row>
    <row r="18256" spans="1:1" x14ac:dyDescent="0.3">
      <c r="A18256" s="1"/>
    </row>
    <row r="18257" spans="1:1" x14ac:dyDescent="0.3">
      <c r="A18257" s="1"/>
    </row>
    <row r="18258" spans="1:1" x14ac:dyDescent="0.3">
      <c r="A18258" s="1"/>
    </row>
    <row r="18259" spans="1:1" x14ac:dyDescent="0.3">
      <c r="A18259" s="1"/>
    </row>
    <row r="18260" spans="1:1" x14ac:dyDescent="0.3">
      <c r="A18260" s="1"/>
    </row>
    <row r="18261" spans="1:1" x14ac:dyDescent="0.3">
      <c r="A18261" s="1"/>
    </row>
    <row r="18262" spans="1:1" x14ac:dyDescent="0.3">
      <c r="A18262" s="1"/>
    </row>
    <row r="18263" spans="1:1" x14ac:dyDescent="0.3">
      <c r="A18263" s="1"/>
    </row>
    <row r="18264" spans="1:1" x14ac:dyDescent="0.3">
      <c r="A18264" s="1"/>
    </row>
    <row r="18265" spans="1:1" x14ac:dyDescent="0.3">
      <c r="A18265" s="1"/>
    </row>
    <row r="18266" spans="1:1" x14ac:dyDescent="0.3">
      <c r="A18266" s="1"/>
    </row>
    <row r="18267" spans="1:1" x14ac:dyDescent="0.3">
      <c r="A18267" s="1"/>
    </row>
    <row r="18268" spans="1:1" x14ac:dyDescent="0.3">
      <c r="A18268" s="1"/>
    </row>
    <row r="18269" spans="1:1" x14ac:dyDescent="0.3">
      <c r="A18269" s="1"/>
    </row>
    <row r="18270" spans="1:1" x14ac:dyDescent="0.3">
      <c r="A18270" s="1"/>
    </row>
    <row r="18271" spans="1:1" x14ac:dyDescent="0.3">
      <c r="A18271" s="1"/>
    </row>
    <row r="18272" spans="1:1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  <row r="20522" spans="1:1" x14ac:dyDescent="0.3">
      <c r="A20522" s="1"/>
    </row>
    <row r="20523" spans="1:1" x14ac:dyDescent="0.3">
      <c r="A20523" s="1"/>
    </row>
    <row r="20524" spans="1:1" x14ac:dyDescent="0.3">
      <c r="A20524" s="1"/>
    </row>
    <row r="20525" spans="1:1" x14ac:dyDescent="0.3">
      <c r="A20525" s="1"/>
    </row>
    <row r="20526" spans="1:1" x14ac:dyDescent="0.3">
      <c r="A20526" s="1"/>
    </row>
    <row r="20527" spans="1:1" x14ac:dyDescent="0.3">
      <c r="A20527" s="1"/>
    </row>
    <row r="20528" spans="1:1" x14ac:dyDescent="0.3">
      <c r="A20528" s="1"/>
    </row>
    <row r="20529" spans="1:1" x14ac:dyDescent="0.3">
      <c r="A20529" s="1"/>
    </row>
    <row r="20530" spans="1:1" x14ac:dyDescent="0.3">
      <c r="A20530" s="1"/>
    </row>
    <row r="20531" spans="1:1" x14ac:dyDescent="0.3">
      <c r="A20531" s="1"/>
    </row>
    <row r="20532" spans="1:1" x14ac:dyDescent="0.3">
      <c r="A20532" s="1"/>
    </row>
    <row r="20533" spans="1:1" x14ac:dyDescent="0.3">
      <c r="A20533" s="1"/>
    </row>
    <row r="20534" spans="1:1" x14ac:dyDescent="0.3">
      <c r="A20534" s="1"/>
    </row>
    <row r="20535" spans="1:1" x14ac:dyDescent="0.3">
      <c r="A20535" s="1"/>
    </row>
    <row r="20536" spans="1:1" x14ac:dyDescent="0.3">
      <c r="A20536" s="1"/>
    </row>
    <row r="20537" spans="1:1" x14ac:dyDescent="0.3">
      <c r="A20537" s="1"/>
    </row>
    <row r="20538" spans="1:1" x14ac:dyDescent="0.3">
      <c r="A20538" s="1"/>
    </row>
    <row r="20539" spans="1:1" x14ac:dyDescent="0.3">
      <c r="A20539" s="1"/>
    </row>
    <row r="20540" spans="1:1" x14ac:dyDescent="0.3">
      <c r="A20540" s="1"/>
    </row>
    <row r="20541" spans="1:1" x14ac:dyDescent="0.3">
      <c r="A20541" s="1"/>
    </row>
    <row r="20542" spans="1:1" x14ac:dyDescent="0.3">
      <c r="A20542" s="1"/>
    </row>
    <row r="20543" spans="1:1" x14ac:dyDescent="0.3">
      <c r="A20543" s="1"/>
    </row>
    <row r="20544" spans="1:1" x14ac:dyDescent="0.3">
      <c r="A20544" s="1"/>
    </row>
    <row r="20545" spans="1:1" x14ac:dyDescent="0.3">
      <c r="A20545" s="1"/>
    </row>
    <row r="20546" spans="1:1" x14ac:dyDescent="0.3">
      <c r="A20546" s="1"/>
    </row>
    <row r="20547" spans="1:1" x14ac:dyDescent="0.3">
      <c r="A20547" s="1"/>
    </row>
    <row r="20548" spans="1:1" x14ac:dyDescent="0.3">
      <c r="A20548" s="1"/>
    </row>
    <row r="20549" spans="1:1" x14ac:dyDescent="0.3">
      <c r="A20549" s="1"/>
    </row>
    <row r="20550" spans="1:1" x14ac:dyDescent="0.3">
      <c r="A20550" s="1"/>
    </row>
    <row r="20551" spans="1:1" x14ac:dyDescent="0.3">
      <c r="A20551" s="1"/>
    </row>
    <row r="20552" spans="1:1" x14ac:dyDescent="0.3">
      <c r="A20552" s="1"/>
    </row>
    <row r="20553" spans="1:1" x14ac:dyDescent="0.3">
      <c r="A20553" s="1"/>
    </row>
    <row r="20554" spans="1:1" x14ac:dyDescent="0.3">
      <c r="A20554" s="1"/>
    </row>
    <row r="20555" spans="1:1" x14ac:dyDescent="0.3">
      <c r="A20555" s="1"/>
    </row>
    <row r="20556" spans="1:1" x14ac:dyDescent="0.3">
      <c r="A20556" s="1"/>
    </row>
    <row r="20557" spans="1:1" x14ac:dyDescent="0.3">
      <c r="A20557" s="1"/>
    </row>
  </sheetData>
  <sortState xmlns:xlrd2="http://schemas.microsoft.com/office/spreadsheetml/2017/richdata2" ref="A2:B153">
    <sortCondition ref="A2:A153"/>
  </sortState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92C80AA-B31F-4FC7-9CF1-DB0AA1078D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Данные!B2:B153</xm:f>
              <xm:sqref>A157</xm:sqref>
            </x14:sparkline>
          </x14:sparklines>
        </x14:sparklineGroup>
        <x14:sparklineGroup displayEmptyCellsAs="gap" xr2:uid="{3F6F78BB-AF33-4777-93E0-DCECF7F82ADF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Данные!B3:B3</xm:f>
              <xm:sqref>C3</xm:sqref>
            </x14:sparkline>
            <x14:sparkline>
              <xm:f>Данные!B4:B4</xm:f>
              <xm:sqref>C4</xm:sqref>
            </x14:sparkline>
            <x14:sparkline>
              <xm:f>Данные!B5:B5</xm:f>
              <xm:sqref>C5</xm:sqref>
            </x14:sparkline>
            <x14:sparkline>
              <xm:f>Данные!B6:B6</xm:f>
              <xm:sqref>C6</xm:sqref>
            </x14:sparkline>
            <x14:sparkline>
              <xm:f>Данные!B7:B7</xm:f>
              <xm:sqref>C7</xm:sqref>
            </x14:sparkline>
            <x14:sparkline>
              <xm:f>Данные!B8:B8</xm:f>
              <xm:sqref>C8</xm:sqref>
            </x14:sparkline>
            <x14:sparkline>
              <xm:f>Данные!B9:B9</xm:f>
              <xm:sqref>C9</xm:sqref>
            </x14:sparkline>
            <x14:sparkline>
              <xm:f>Данные!B10:B10</xm:f>
              <xm:sqref>C10</xm:sqref>
            </x14:sparkline>
            <x14:sparkline>
              <xm:f>Данные!B11:B11</xm:f>
              <xm:sqref>C11</xm:sqref>
            </x14:sparkline>
            <x14:sparkline>
              <xm:f>Данные!B12:B12</xm:f>
              <xm:sqref>C12</xm:sqref>
            </x14:sparkline>
            <x14:sparkline>
              <xm:f>Данные!B13:B13</xm:f>
              <xm:sqref>C13</xm:sqref>
            </x14:sparkline>
            <x14:sparkline>
              <xm:f>Данные!B14:B14</xm:f>
              <xm:sqref>C14</xm:sqref>
            </x14:sparkline>
            <x14:sparkline>
              <xm:f>Данные!B15:B15</xm:f>
              <xm:sqref>C15</xm:sqref>
            </x14:sparkline>
            <x14:sparkline>
              <xm:f>Данные!B16:B16</xm:f>
              <xm:sqref>C16</xm:sqref>
            </x14:sparkline>
            <x14:sparkline>
              <xm:f>Данные!B17:B17</xm:f>
              <xm:sqref>C17</xm:sqref>
            </x14:sparkline>
            <x14:sparkline>
              <xm:f>Данные!B18:B18</xm:f>
              <xm:sqref>C18</xm:sqref>
            </x14:sparkline>
            <x14:sparkline>
              <xm:f>Данные!B19:B19</xm:f>
              <xm:sqref>C19</xm:sqref>
            </x14:sparkline>
            <x14:sparkline>
              <xm:f>Данные!B20:B20</xm:f>
              <xm:sqref>C20</xm:sqref>
            </x14:sparkline>
            <x14:sparkline>
              <xm:f>Данные!B21:B21</xm:f>
              <xm:sqref>C21</xm:sqref>
            </x14:sparkline>
            <x14:sparkline>
              <xm:f>Данные!B22:B22</xm:f>
              <xm:sqref>C22</xm:sqref>
            </x14:sparkline>
            <x14:sparkline>
              <xm:f>Данные!B23:B23</xm:f>
              <xm:sqref>C23</xm:sqref>
            </x14:sparkline>
            <x14:sparkline>
              <xm:f>Данные!B24:B24</xm:f>
              <xm:sqref>C24</xm:sqref>
            </x14:sparkline>
            <x14:sparkline>
              <xm:f>Данные!B25:B25</xm:f>
              <xm:sqref>C25</xm:sqref>
            </x14:sparkline>
            <x14:sparkline>
              <xm:f>Данные!B26:B26</xm:f>
              <xm:sqref>C26</xm:sqref>
            </x14:sparkline>
            <x14:sparkline>
              <xm:f>Данные!B27:B27</xm:f>
              <xm:sqref>C27</xm:sqref>
            </x14:sparkline>
            <x14:sparkline>
              <xm:f>Данные!B28:B28</xm:f>
              <xm:sqref>C28</xm:sqref>
            </x14:sparkline>
            <x14:sparkline>
              <xm:f>Данные!B29:B29</xm:f>
              <xm:sqref>C29</xm:sqref>
            </x14:sparkline>
            <x14:sparkline>
              <xm:f>Данные!B30:B30</xm:f>
              <xm:sqref>C30</xm:sqref>
            </x14:sparkline>
            <x14:sparkline>
              <xm:f>Данные!B31:B31</xm:f>
              <xm:sqref>C31</xm:sqref>
            </x14:sparkline>
            <x14:sparkline>
              <xm:f>Данные!B32:B32</xm:f>
              <xm:sqref>C32</xm:sqref>
            </x14:sparkline>
            <x14:sparkline>
              <xm:f>Данные!B33:B33</xm:f>
              <xm:sqref>C33</xm:sqref>
            </x14:sparkline>
            <x14:sparkline>
              <xm:f>Данные!B34:B34</xm:f>
              <xm:sqref>C34</xm:sqref>
            </x14:sparkline>
            <x14:sparkline>
              <xm:f>Данные!B35:B35</xm:f>
              <xm:sqref>C35</xm:sqref>
            </x14:sparkline>
            <x14:sparkline>
              <xm:f>Данные!B36:B36</xm:f>
              <xm:sqref>C36</xm:sqref>
            </x14:sparkline>
            <x14:sparkline>
              <xm:f>Данные!B37:B37</xm:f>
              <xm:sqref>C37</xm:sqref>
            </x14:sparkline>
            <x14:sparkline>
              <xm:f>Данные!B38:B38</xm:f>
              <xm:sqref>C38</xm:sqref>
            </x14:sparkline>
            <x14:sparkline>
              <xm:f>Данные!B39:B39</xm:f>
              <xm:sqref>C39</xm:sqref>
            </x14:sparkline>
            <x14:sparkline>
              <xm:f>Данные!B40:B40</xm:f>
              <xm:sqref>C40</xm:sqref>
            </x14:sparkline>
            <x14:sparkline>
              <xm:f>Данные!B41:B41</xm:f>
              <xm:sqref>C41</xm:sqref>
            </x14:sparkline>
            <x14:sparkline>
              <xm:f>Данные!B42:B42</xm:f>
              <xm:sqref>C42</xm:sqref>
            </x14:sparkline>
            <x14:sparkline>
              <xm:f>Данные!B43:B43</xm:f>
              <xm:sqref>C43</xm:sqref>
            </x14:sparkline>
            <x14:sparkline>
              <xm:f>Данные!B44:B44</xm:f>
              <xm:sqref>C44</xm:sqref>
            </x14:sparkline>
            <x14:sparkline>
              <xm:f>Данные!B45:B45</xm:f>
              <xm:sqref>C45</xm:sqref>
            </x14:sparkline>
            <x14:sparkline>
              <xm:f>Данные!B46:B46</xm:f>
              <xm:sqref>C46</xm:sqref>
            </x14:sparkline>
            <x14:sparkline>
              <xm:f>Данные!B47:B47</xm:f>
              <xm:sqref>C47</xm:sqref>
            </x14:sparkline>
            <x14:sparkline>
              <xm:f>Данные!B48:B48</xm:f>
              <xm:sqref>C48</xm:sqref>
            </x14:sparkline>
            <x14:sparkline>
              <xm:f>Данные!B49:B49</xm:f>
              <xm:sqref>C49</xm:sqref>
            </x14:sparkline>
            <x14:sparkline>
              <xm:f>Данные!B50:B50</xm:f>
              <xm:sqref>C50</xm:sqref>
            </x14:sparkline>
            <x14:sparkline>
              <xm:f>Данные!B51:B51</xm:f>
              <xm:sqref>C51</xm:sqref>
            </x14:sparkline>
            <x14:sparkline>
              <xm:f>Данные!B52:B52</xm:f>
              <xm:sqref>C52</xm:sqref>
            </x14:sparkline>
            <x14:sparkline>
              <xm:f>Данные!B53:B53</xm:f>
              <xm:sqref>C53</xm:sqref>
            </x14:sparkline>
            <x14:sparkline>
              <xm:f>Данные!B54:B54</xm:f>
              <xm:sqref>C54</xm:sqref>
            </x14:sparkline>
            <x14:sparkline>
              <xm:f>Данные!B55:B55</xm:f>
              <xm:sqref>C55</xm:sqref>
            </x14:sparkline>
            <x14:sparkline>
              <xm:f>Данные!B56:B56</xm:f>
              <xm:sqref>C56</xm:sqref>
            </x14:sparkline>
            <x14:sparkline>
              <xm:f>Данные!B57:B57</xm:f>
              <xm:sqref>C57</xm:sqref>
            </x14:sparkline>
            <x14:sparkline>
              <xm:f>Данные!B58:B58</xm:f>
              <xm:sqref>C58</xm:sqref>
            </x14:sparkline>
            <x14:sparkline>
              <xm:f>Данные!B59:B59</xm:f>
              <xm:sqref>C59</xm:sqref>
            </x14:sparkline>
            <x14:sparkline>
              <xm:f>Данные!B60:B60</xm:f>
              <xm:sqref>C60</xm:sqref>
            </x14:sparkline>
            <x14:sparkline>
              <xm:f>Данные!B61:B61</xm:f>
              <xm:sqref>C61</xm:sqref>
            </x14:sparkline>
            <x14:sparkline>
              <xm:f>Данные!B62:B62</xm:f>
              <xm:sqref>C62</xm:sqref>
            </x14:sparkline>
            <x14:sparkline>
              <xm:f>Данные!B63:B63</xm:f>
              <xm:sqref>C63</xm:sqref>
            </x14:sparkline>
            <x14:sparkline>
              <xm:f>Данные!B64:B64</xm:f>
              <xm:sqref>C64</xm:sqref>
            </x14:sparkline>
            <x14:sparkline>
              <xm:f>Данные!B65:B65</xm:f>
              <xm:sqref>C65</xm:sqref>
            </x14:sparkline>
            <x14:sparkline>
              <xm:f>Данные!B66:B66</xm:f>
              <xm:sqref>C66</xm:sqref>
            </x14:sparkline>
            <x14:sparkline>
              <xm:f>Данные!B67:B67</xm:f>
              <xm:sqref>C67</xm:sqref>
            </x14:sparkline>
            <x14:sparkline>
              <xm:f>Данные!B68:B68</xm:f>
              <xm:sqref>C68</xm:sqref>
            </x14:sparkline>
            <x14:sparkline>
              <xm:f>Данные!B69:B69</xm:f>
              <xm:sqref>C69</xm:sqref>
            </x14:sparkline>
            <x14:sparkline>
              <xm:f>Данные!B70:B70</xm:f>
              <xm:sqref>C70</xm:sqref>
            </x14:sparkline>
            <x14:sparkline>
              <xm:f>Данные!B71:B71</xm:f>
              <xm:sqref>C71</xm:sqref>
            </x14:sparkline>
            <x14:sparkline>
              <xm:f>Данные!B72:B72</xm:f>
              <xm:sqref>C72</xm:sqref>
            </x14:sparkline>
            <x14:sparkline>
              <xm:f>Данные!B73:B73</xm:f>
              <xm:sqref>C73</xm:sqref>
            </x14:sparkline>
            <x14:sparkline>
              <xm:f>Данные!B74:B74</xm:f>
              <xm:sqref>C74</xm:sqref>
            </x14:sparkline>
            <x14:sparkline>
              <xm:f>Данные!B75:B75</xm:f>
              <xm:sqref>C75</xm:sqref>
            </x14:sparkline>
            <x14:sparkline>
              <xm:f>Данные!B76:B76</xm:f>
              <xm:sqref>C76</xm:sqref>
            </x14:sparkline>
            <x14:sparkline>
              <xm:f>Данные!B77:B77</xm:f>
              <xm:sqref>C77</xm:sqref>
            </x14:sparkline>
            <x14:sparkline>
              <xm:f>Данные!B78:B78</xm:f>
              <xm:sqref>C78</xm:sqref>
            </x14:sparkline>
            <x14:sparkline>
              <xm:f>Данные!B79:B79</xm:f>
              <xm:sqref>C79</xm:sqref>
            </x14:sparkline>
            <x14:sparkline>
              <xm:f>Данные!B80:B80</xm:f>
              <xm:sqref>C80</xm:sqref>
            </x14:sparkline>
            <x14:sparkline>
              <xm:f>Данные!B81:B81</xm:f>
              <xm:sqref>C81</xm:sqref>
            </x14:sparkline>
            <x14:sparkline>
              <xm:f>Данные!B82:B82</xm:f>
              <xm:sqref>C82</xm:sqref>
            </x14:sparkline>
            <x14:sparkline>
              <xm:f>Данные!B83:B83</xm:f>
              <xm:sqref>C83</xm:sqref>
            </x14:sparkline>
            <x14:sparkline>
              <xm:f>Данные!B84:B84</xm:f>
              <xm:sqref>C84</xm:sqref>
            </x14:sparkline>
            <x14:sparkline>
              <xm:f>Данные!B85:B85</xm:f>
              <xm:sqref>C85</xm:sqref>
            </x14:sparkline>
            <x14:sparkline>
              <xm:f>Данные!B86:B86</xm:f>
              <xm:sqref>C86</xm:sqref>
            </x14:sparkline>
            <x14:sparkline>
              <xm:f>Данные!B87:B87</xm:f>
              <xm:sqref>C87</xm:sqref>
            </x14:sparkline>
            <x14:sparkline>
              <xm:f>Данные!B88:B88</xm:f>
              <xm:sqref>C88</xm:sqref>
            </x14:sparkline>
            <x14:sparkline>
              <xm:f>Данные!B89:B89</xm:f>
              <xm:sqref>C89</xm:sqref>
            </x14:sparkline>
            <x14:sparkline>
              <xm:f>Данные!B90:B90</xm:f>
              <xm:sqref>C90</xm:sqref>
            </x14:sparkline>
            <x14:sparkline>
              <xm:f>Данные!B91:B91</xm:f>
              <xm:sqref>C91</xm:sqref>
            </x14:sparkline>
            <x14:sparkline>
              <xm:f>Данные!B92:B92</xm:f>
              <xm:sqref>C92</xm:sqref>
            </x14:sparkline>
            <x14:sparkline>
              <xm:f>Данные!B93:B93</xm:f>
              <xm:sqref>C93</xm:sqref>
            </x14:sparkline>
            <x14:sparkline>
              <xm:f>Данные!B94:B94</xm:f>
              <xm:sqref>C94</xm:sqref>
            </x14:sparkline>
            <x14:sparkline>
              <xm:f>Данные!B95:B95</xm:f>
              <xm:sqref>C95</xm:sqref>
            </x14:sparkline>
            <x14:sparkline>
              <xm:f>Данные!B96:B96</xm:f>
              <xm:sqref>C96</xm:sqref>
            </x14:sparkline>
            <x14:sparkline>
              <xm:f>Данные!B97:B97</xm:f>
              <xm:sqref>C97</xm:sqref>
            </x14:sparkline>
            <x14:sparkline>
              <xm:f>Данные!B98:B98</xm:f>
              <xm:sqref>C98</xm:sqref>
            </x14:sparkline>
            <x14:sparkline>
              <xm:f>Данные!B99:B99</xm:f>
              <xm:sqref>C99</xm:sqref>
            </x14:sparkline>
            <x14:sparkline>
              <xm:f>Данные!B100:B100</xm:f>
              <xm:sqref>C100</xm:sqref>
            </x14:sparkline>
            <x14:sparkline>
              <xm:f>Данные!B101:B101</xm:f>
              <xm:sqref>C101</xm:sqref>
            </x14:sparkline>
            <x14:sparkline>
              <xm:f>Данные!B102:B102</xm:f>
              <xm:sqref>C102</xm:sqref>
            </x14:sparkline>
            <x14:sparkline>
              <xm:f>Данные!B103:B103</xm:f>
              <xm:sqref>C103</xm:sqref>
            </x14:sparkline>
            <x14:sparkline>
              <xm:f>Данные!B104:B104</xm:f>
              <xm:sqref>C104</xm:sqref>
            </x14:sparkline>
            <x14:sparkline>
              <xm:f>Данные!B105:B105</xm:f>
              <xm:sqref>C105</xm:sqref>
            </x14:sparkline>
            <x14:sparkline>
              <xm:f>Данные!B106:B106</xm:f>
              <xm:sqref>C106</xm:sqref>
            </x14:sparkline>
            <x14:sparkline>
              <xm:f>Данные!B107:B107</xm:f>
              <xm:sqref>C107</xm:sqref>
            </x14:sparkline>
            <x14:sparkline>
              <xm:f>Данные!B108:B108</xm:f>
              <xm:sqref>C108</xm:sqref>
            </x14:sparkline>
            <x14:sparkline>
              <xm:f>Данные!B109:B109</xm:f>
              <xm:sqref>C109</xm:sqref>
            </x14:sparkline>
            <x14:sparkline>
              <xm:f>Данные!B110:B110</xm:f>
              <xm:sqref>C110</xm:sqref>
            </x14:sparkline>
            <x14:sparkline>
              <xm:f>Данные!B111:B111</xm:f>
              <xm:sqref>C111</xm:sqref>
            </x14:sparkline>
            <x14:sparkline>
              <xm:f>Данные!B112:B112</xm:f>
              <xm:sqref>C112</xm:sqref>
            </x14:sparkline>
            <x14:sparkline>
              <xm:f>Данные!B113:B113</xm:f>
              <xm:sqref>C113</xm:sqref>
            </x14:sparkline>
            <x14:sparkline>
              <xm:f>Данные!B114:B114</xm:f>
              <xm:sqref>C114</xm:sqref>
            </x14:sparkline>
            <x14:sparkline>
              <xm:f>Данные!B115:B115</xm:f>
              <xm:sqref>C115</xm:sqref>
            </x14:sparkline>
            <x14:sparkline>
              <xm:f>Данные!B116:B116</xm:f>
              <xm:sqref>C116</xm:sqref>
            </x14:sparkline>
            <x14:sparkline>
              <xm:f>Данные!B117:B117</xm:f>
              <xm:sqref>C117</xm:sqref>
            </x14:sparkline>
            <x14:sparkline>
              <xm:f>Данные!B118:B118</xm:f>
              <xm:sqref>C118</xm:sqref>
            </x14:sparkline>
            <x14:sparkline>
              <xm:f>Данные!B119:B119</xm:f>
              <xm:sqref>C119</xm:sqref>
            </x14:sparkline>
            <x14:sparkline>
              <xm:f>Данные!B120:B120</xm:f>
              <xm:sqref>C120</xm:sqref>
            </x14:sparkline>
            <x14:sparkline>
              <xm:f>Данные!B121:B121</xm:f>
              <xm:sqref>C121</xm:sqref>
            </x14:sparkline>
            <x14:sparkline>
              <xm:f>Данные!B122:B122</xm:f>
              <xm:sqref>C122</xm:sqref>
            </x14:sparkline>
            <x14:sparkline>
              <xm:f>Данные!B123:B123</xm:f>
              <xm:sqref>C123</xm:sqref>
            </x14:sparkline>
            <x14:sparkline>
              <xm:f>Данные!B124:B124</xm:f>
              <xm:sqref>C124</xm:sqref>
            </x14:sparkline>
            <x14:sparkline>
              <xm:f>Данные!B125:B125</xm:f>
              <xm:sqref>C125</xm:sqref>
            </x14:sparkline>
            <x14:sparkline>
              <xm:f>Данные!B126:B126</xm:f>
              <xm:sqref>C126</xm:sqref>
            </x14:sparkline>
            <x14:sparkline>
              <xm:f>Данные!B127:B127</xm:f>
              <xm:sqref>C127</xm:sqref>
            </x14:sparkline>
            <x14:sparkline>
              <xm:f>Данные!B128:B128</xm:f>
              <xm:sqref>C128</xm:sqref>
            </x14:sparkline>
            <x14:sparkline>
              <xm:f>Данные!B129:B129</xm:f>
              <xm:sqref>C129</xm:sqref>
            </x14:sparkline>
            <x14:sparkline>
              <xm:f>Данные!B130:B130</xm:f>
              <xm:sqref>C130</xm:sqref>
            </x14:sparkline>
            <x14:sparkline>
              <xm:f>Данные!B131:B131</xm:f>
              <xm:sqref>C131</xm:sqref>
            </x14:sparkline>
            <x14:sparkline>
              <xm:f>Данные!B132:B132</xm:f>
              <xm:sqref>C132</xm:sqref>
            </x14:sparkline>
            <x14:sparkline>
              <xm:f>Данные!B133:B133</xm:f>
              <xm:sqref>C133</xm:sqref>
            </x14:sparkline>
            <x14:sparkline>
              <xm:f>Данные!B134:B134</xm:f>
              <xm:sqref>C134</xm:sqref>
            </x14:sparkline>
            <x14:sparkline>
              <xm:f>Данные!B135:B135</xm:f>
              <xm:sqref>C135</xm:sqref>
            </x14:sparkline>
            <x14:sparkline>
              <xm:f>Данные!B136:B136</xm:f>
              <xm:sqref>C136</xm:sqref>
            </x14:sparkline>
            <x14:sparkline>
              <xm:f>Данные!B137:B137</xm:f>
              <xm:sqref>C137</xm:sqref>
            </x14:sparkline>
            <x14:sparkline>
              <xm:f>Данные!B138:B138</xm:f>
              <xm:sqref>C138</xm:sqref>
            </x14:sparkline>
            <x14:sparkline>
              <xm:f>Данные!B139:B139</xm:f>
              <xm:sqref>C139</xm:sqref>
            </x14:sparkline>
            <x14:sparkline>
              <xm:f>Данные!B140:B140</xm:f>
              <xm:sqref>C140</xm:sqref>
            </x14:sparkline>
            <x14:sparkline>
              <xm:f>Данные!B141:B141</xm:f>
              <xm:sqref>C141</xm:sqref>
            </x14:sparkline>
            <x14:sparkline>
              <xm:f>Данные!B142:B142</xm:f>
              <xm:sqref>C142</xm:sqref>
            </x14:sparkline>
            <x14:sparkline>
              <xm:f>Данные!B143:B143</xm:f>
              <xm:sqref>C143</xm:sqref>
            </x14:sparkline>
            <x14:sparkline>
              <xm:f>Данные!B144:B144</xm:f>
              <xm:sqref>C144</xm:sqref>
            </x14:sparkline>
            <x14:sparkline>
              <xm:f>Данные!B145:B145</xm:f>
              <xm:sqref>C145</xm:sqref>
            </x14:sparkline>
            <x14:sparkline>
              <xm:f>Данные!B146:B146</xm:f>
              <xm:sqref>C146</xm:sqref>
            </x14:sparkline>
            <x14:sparkline>
              <xm:f>Данные!B147:B147</xm:f>
              <xm:sqref>C147</xm:sqref>
            </x14:sparkline>
            <x14:sparkline>
              <xm:f>Данные!B148:B148</xm:f>
              <xm:sqref>C148</xm:sqref>
            </x14:sparkline>
            <x14:sparkline>
              <xm:f>Данные!B149:B149</xm:f>
              <xm:sqref>C149</xm:sqref>
            </x14:sparkline>
            <x14:sparkline>
              <xm:f>Данные!B150:B150</xm:f>
              <xm:sqref>C150</xm:sqref>
            </x14:sparkline>
            <x14:sparkline>
              <xm:f>Данные!B151:B151</xm:f>
              <xm:sqref>C151</xm:sqref>
            </x14:sparkline>
            <x14:sparkline>
              <xm:f>Данные!B152:B152</xm:f>
              <xm:sqref>C152</xm:sqref>
            </x14:sparkline>
            <x14:sparkline>
              <xm:f>Данные!B153:B153</xm:f>
              <xm:sqref>C153</xm:sqref>
            </x14:sparkline>
          </x14:sparklines>
        </x14:sparklineGroup>
        <x14:sparklineGroup displayEmptyCellsAs="gap" xr2:uid="{208A9690-4A7E-44B9-9FB0-225C952C9D8B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Данные!B2:B2</xm:f>
              <xm:sqref>B2</xm:sqref>
            </x14:sparkline>
            <x14:sparkline>
              <xm:f>Данные!B3:B3</xm:f>
              <xm:sqref>B3</xm:sqref>
            </x14:sparkline>
            <x14:sparkline>
              <xm:f>Данные!B4:B4</xm:f>
              <xm:sqref>B4</xm:sqref>
            </x14:sparkline>
            <x14:sparkline>
              <xm:f>Данные!B5:B5</xm:f>
              <xm:sqref>B5</xm:sqref>
            </x14:sparkline>
            <x14:sparkline>
              <xm:f>Данные!B6:B6</xm:f>
              <xm:sqref>B6</xm:sqref>
            </x14:sparkline>
            <x14:sparkline>
              <xm:f>Данные!B7:B7</xm:f>
              <xm:sqref>B7</xm:sqref>
            </x14:sparkline>
            <x14:sparkline>
              <xm:f>Данные!B8:B8</xm:f>
              <xm:sqref>B8</xm:sqref>
            </x14:sparkline>
            <x14:sparkline>
              <xm:f>Данные!B9:B9</xm:f>
              <xm:sqref>B9</xm:sqref>
            </x14:sparkline>
            <x14:sparkline>
              <xm:f>Данные!B10:B10</xm:f>
              <xm:sqref>B10</xm:sqref>
            </x14:sparkline>
            <x14:sparkline>
              <xm:f>Данные!B11:B11</xm:f>
              <xm:sqref>B11</xm:sqref>
            </x14:sparkline>
            <x14:sparkline>
              <xm:f>Данные!B12:B12</xm:f>
              <xm:sqref>B12</xm:sqref>
            </x14:sparkline>
            <x14:sparkline>
              <xm:f>Данные!B13:B13</xm:f>
              <xm:sqref>B13</xm:sqref>
            </x14:sparkline>
            <x14:sparkline>
              <xm:f>Данные!B14:B14</xm:f>
              <xm:sqref>B14</xm:sqref>
            </x14:sparkline>
            <x14:sparkline>
              <xm:f>Данные!B15:B15</xm:f>
              <xm:sqref>B15</xm:sqref>
            </x14:sparkline>
            <x14:sparkline>
              <xm:f>Данные!B16:B16</xm:f>
              <xm:sqref>B16</xm:sqref>
            </x14:sparkline>
            <x14:sparkline>
              <xm:f>Данные!B17:B17</xm:f>
              <xm:sqref>B17</xm:sqref>
            </x14:sparkline>
            <x14:sparkline>
              <xm:f>Данные!B18:B18</xm:f>
              <xm:sqref>B18</xm:sqref>
            </x14:sparkline>
            <x14:sparkline>
              <xm:f>Данные!B19:B19</xm:f>
              <xm:sqref>B19</xm:sqref>
            </x14:sparkline>
            <x14:sparkline>
              <xm:f>Данные!B20:B20</xm:f>
              <xm:sqref>B20</xm:sqref>
            </x14:sparkline>
            <x14:sparkline>
              <xm:f>Данные!B21:B21</xm:f>
              <xm:sqref>B21</xm:sqref>
            </x14:sparkline>
            <x14:sparkline>
              <xm:f>Данные!B22:B22</xm:f>
              <xm:sqref>B22</xm:sqref>
            </x14:sparkline>
            <x14:sparkline>
              <xm:f>Данные!B23:B23</xm:f>
              <xm:sqref>B23</xm:sqref>
            </x14:sparkline>
            <x14:sparkline>
              <xm:f>Данные!B24:B24</xm:f>
              <xm:sqref>B24</xm:sqref>
            </x14:sparkline>
            <x14:sparkline>
              <xm:f>Данные!B25:B25</xm:f>
              <xm:sqref>B25</xm:sqref>
            </x14:sparkline>
            <x14:sparkline>
              <xm:f>Данные!B26:B26</xm:f>
              <xm:sqref>B26</xm:sqref>
            </x14:sparkline>
            <x14:sparkline>
              <xm:f>Данные!B27:B27</xm:f>
              <xm:sqref>B27</xm:sqref>
            </x14:sparkline>
            <x14:sparkline>
              <xm:f>Данные!B28:B28</xm:f>
              <xm:sqref>B28</xm:sqref>
            </x14:sparkline>
            <x14:sparkline>
              <xm:f>Данные!B29:B29</xm:f>
              <xm:sqref>B29</xm:sqref>
            </x14:sparkline>
            <x14:sparkline>
              <xm:f>Данные!B30:B30</xm:f>
              <xm:sqref>B30</xm:sqref>
            </x14:sparkline>
            <x14:sparkline>
              <xm:f>Данные!B31:B31</xm:f>
              <xm:sqref>B31</xm:sqref>
            </x14:sparkline>
            <x14:sparkline>
              <xm:f>Данные!B32:B32</xm:f>
              <xm:sqref>B32</xm:sqref>
            </x14:sparkline>
            <x14:sparkline>
              <xm:f>Данные!B33:B33</xm:f>
              <xm:sqref>B33</xm:sqref>
            </x14:sparkline>
            <x14:sparkline>
              <xm:f>Данные!B34:B34</xm:f>
              <xm:sqref>B34</xm:sqref>
            </x14:sparkline>
            <x14:sparkline>
              <xm:f>Данные!B35:B35</xm:f>
              <xm:sqref>B35</xm:sqref>
            </x14:sparkline>
            <x14:sparkline>
              <xm:f>Данные!B36:B36</xm:f>
              <xm:sqref>B36</xm:sqref>
            </x14:sparkline>
            <x14:sparkline>
              <xm:f>Данные!B37:B37</xm:f>
              <xm:sqref>B37</xm:sqref>
            </x14:sparkline>
            <x14:sparkline>
              <xm:f>Данные!B38:B38</xm:f>
              <xm:sqref>B38</xm:sqref>
            </x14:sparkline>
            <x14:sparkline>
              <xm:f>Данные!B39:B39</xm:f>
              <xm:sqref>B39</xm:sqref>
            </x14:sparkline>
            <x14:sparkline>
              <xm:f>Данные!B40:B40</xm:f>
              <xm:sqref>B40</xm:sqref>
            </x14:sparkline>
            <x14:sparkline>
              <xm:f>Данные!B41:B41</xm:f>
              <xm:sqref>B41</xm:sqref>
            </x14:sparkline>
            <x14:sparkline>
              <xm:f>Данные!B42:B42</xm:f>
              <xm:sqref>B42</xm:sqref>
            </x14:sparkline>
            <x14:sparkline>
              <xm:f>Данные!B43:B43</xm:f>
              <xm:sqref>B43</xm:sqref>
            </x14:sparkline>
            <x14:sparkline>
              <xm:f>Данные!B44:B44</xm:f>
              <xm:sqref>B44</xm:sqref>
            </x14:sparkline>
            <x14:sparkline>
              <xm:f>Данные!B45:B45</xm:f>
              <xm:sqref>B45</xm:sqref>
            </x14:sparkline>
            <x14:sparkline>
              <xm:f>Данные!B46:B46</xm:f>
              <xm:sqref>B46</xm:sqref>
            </x14:sparkline>
            <x14:sparkline>
              <xm:f>Данные!B47:B47</xm:f>
              <xm:sqref>B47</xm:sqref>
            </x14:sparkline>
            <x14:sparkline>
              <xm:f>Данные!B48:B48</xm:f>
              <xm:sqref>B48</xm:sqref>
            </x14:sparkline>
            <x14:sparkline>
              <xm:f>Данные!B49:B49</xm:f>
              <xm:sqref>B49</xm:sqref>
            </x14:sparkline>
            <x14:sparkline>
              <xm:f>Данные!B50:B50</xm:f>
              <xm:sqref>B50</xm:sqref>
            </x14:sparkline>
            <x14:sparkline>
              <xm:f>Данные!B51:B51</xm:f>
              <xm:sqref>B51</xm:sqref>
            </x14:sparkline>
            <x14:sparkline>
              <xm:f>Данные!B52:B52</xm:f>
              <xm:sqref>B52</xm:sqref>
            </x14:sparkline>
            <x14:sparkline>
              <xm:f>Данные!B53:B53</xm:f>
              <xm:sqref>B53</xm:sqref>
            </x14:sparkline>
            <x14:sparkline>
              <xm:f>Данные!B54:B54</xm:f>
              <xm:sqref>B54</xm:sqref>
            </x14:sparkline>
            <x14:sparkline>
              <xm:f>Данные!B55:B55</xm:f>
              <xm:sqref>B55</xm:sqref>
            </x14:sparkline>
            <x14:sparkline>
              <xm:f>Данные!B56:B56</xm:f>
              <xm:sqref>B56</xm:sqref>
            </x14:sparkline>
            <x14:sparkline>
              <xm:f>Данные!B57:B57</xm:f>
              <xm:sqref>B57</xm:sqref>
            </x14:sparkline>
            <x14:sparkline>
              <xm:f>Данные!B58:B58</xm:f>
              <xm:sqref>B58</xm:sqref>
            </x14:sparkline>
            <x14:sparkline>
              <xm:f>Данные!B59:B59</xm:f>
              <xm:sqref>B59</xm:sqref>
            </x14:sparkline>
            <x14:sparkline>
              <xm:f>Данные!B60:B60</xm:f>
              <xm:sqref>B60</xm:sqref>
            </x14:sparkline>
            <x14:sparkline>
              <xm:f>Данные!B61:B61</xm:f>
              <xm:sqref>B61</xm:sqref>
            </x14:sparkline>
            <x14:sparkline>
              <xm:f>Данные!B62:B62</xm:f>
              <xm:sqref>B62</xm:sqref>
            </x14:sparkline>
            <x14:sparkline>
              <xm:f>Данные!B63:B63</xm:f>
              <xm:sqref>B63</xm:sqref>
            </x14:sparkline>
            <x14:sparkline>
              <xm:f>Данные!B64:B64</xm:f>
              <xm:sqref>B64</xm:sqref>
            </x14:sparkline>
            <x14:sparkline>
              <xm:f>Данные!B65:B65</xm:f>
              <xm:sqref>B65</xm:sqref>
            </x14:sparkline>
            <x14:sparkline>
              <xm:f>Данные!B66:B66</xm:f>
              <xm:sqref>B66</xm:sqref>
            </x14:sparkline>
            <x14:sparkline>
              <xm:f>Данные!B67:B67</xm:f>
              <xm:sqref>B67</xm:sqref>
            </x14:sparkline>
            <x14:sparkline>
              <xm:f>Данные!B68:B68</xm:f>
              <xm:sqref>B68</xm:sqref>
            </x14:sparkline>
            <x14:sparkline>
              <xm:f>Данные!B69:B69</xm:f>
              <xm:sqref>B69</xm:sqref>
            </x14:sparkline>
            <x14:sparkline>
              <xm:f>Данные!B70:B70</xm:f>
              <xm:sqref>B70</xm:sqref>
            </x14:sparkline>
            <x14:sparkline>
              <xm:f>Данные!B71:B71</xm:f>
              <xm:sqref>B71</xm:sqref>
            </x14:sparkline>
            <x14:sparkline>
              <xm:f>Данные!B72:B72</xm:f>
              <xm:sqref>B72</xm:sqref>
            </x14:sparkline>
            <x14:sparkline>
              <xm:f>Данные!B73:B73</xm:f>
              <xm:sqref>B73</xm:sqref>
            </x14:sparkline>
            <x14:sparkline>
              <xm:f>Данные!B74:B74</xm:f>
              <xm:sqref>B74</xm:sqref>
            </x14:sparkline>
            <x14:sparkline>
              <xm:f>Данные!B75:B75</xm:f>
              <xm:sqref>B75</xm:sqref>
            </x14:sparkline>
            <x14:sparkline>
              <xm:f>Данные!B76:B76</xm:f>
              <xm:sqref>B76</xm:sqref>
            </x14:sparkline>
            <x14:sparkline>
              <xm:f>Данные!B77:B77</xm:f>
              <xm:sqref>B77</xm:sqref>
            </x14:sparkline>
            <x14:sparkline>
              <xm:f>Данные!B78:B78</xm:f>
              <xm:sqref>B78</xm:sqref>
            </x14:sparkline>
            <x14:sparkline>
              <xm:f>Данные!B79:B79</xm:f>
              <xm:sqref>B79</xm:sqref>
            </x14:sparkline>
            <x14:sparkline>
              <xm:f>Данные!B80:B80</xm:f>
              <xm:sqref>B80</xm:sqref>
            </x14:sparkline>
            <x14:sparkline>
              <xm:f>Данные!B81:B81</xm:f>
              <xm:sqref>B81</xm:sqref>
            </x14:sparkline>
            <x14:sparkline>
              <xm:f>Данные!B82:B82</xm:f>
              <xm:sqref>B82</xm:sqref>
            </x14:sparkline>
            <x14:sparkline>
              <xm:f>Данные!B83:B83</xm:f>
              <xm:sqref>B83</xm:sqref>
            </x14:sparkline>
            <x14:sparkline>
              <xm:f>Данные!B84:B84</xm:f>
              <xm:sqref>B84</xm:sqref>
            </x14:sparkline>
            <x14:sparkline>
              <xm:f>Данные!B85:B85</xm:f>
              <xm:sqref>B85</xm:sqref>
            </x14:sparkline>
            <x14:sparkline>
              <xm:f>Данные!B86:B86</xm:f>
              <xm:sqref>B86</xm:sqref>
            </x14:sparkline>
            <x14:sparkline>
              <xm:f>Данные!B87:B87</xm:f>
              <xm:sqref>B87</xm:sqref>
            </x14:sparkline>
            <x14:sparkline>
              <xm:f>Данные!B88:B88</xm:f>
              <xm:sqref>B88</xm:sqref>
            </x14:sparkline>
            <x14:sparkline>
              <xm:f>Данные!B89:B89</xm:f>
              <xm:sqref>B89</xm:sqref>
            </x14:sparkline>
            <x14:sparkline>
              <xm:f>Данные!B90:B90</xm:f>
              <xm:sqref>B90</xm:sqref>
            </x14:sparkline>
            <x14:sparkline>
              <xm:f>Данные!B91:B91</xm:f>
              <xm:sqref>B91</xm:sqref>
            </x14:sparkline>
            <x14:sparkline>
              <xm:f>Данные!B92:B92</xm:f>
              <xm:sqref>B92</xm:sqref>
            </x14:sparkline>
            <x14:sparkline>
              <xm:f>Данные!B93:B93</xm:f>
              <xm:sqref>B93</xm:sqref>
            </x14:sparkline>
            <x14:sparkline>
              <xm:f>Данные!B94:B94</xm:f>
              <xm:sqref>B94</xm:sqref>
            </x14:sparkline>
            <x14:sparkline>
              <xm:f>Данные!B95:B95</xm:f>
              <xm:sqref>B95</xm:sqref>
            </x14:sparkline>
            <x14:sparkline>
              <xm:f>Данные!B96:B96</xm:f>
              <xm:sqref>B96</xm:sqref>
            </x14:sparkline>
            <x14:sparkline>
              <xm:f>Данные!B97:B97</xm:f>
              <xm:sqref>B97</xm:sqref>
            </x14:sparkline>
            <x14:sparkline>
              <xm:f>Данные!B98:B98</xm:f>
              <xm:sqref>B98</xm:sqref>
            </x14:sparkline>
            <x14:sparkline>
              <xm:f>Данные!B99:B99</xm:f>
              <xm:sqref>B99</xm:sqref>
            </x14:sparkline>
            <x14:sparkline>
              <xm:f>Данные!B100:B100</xm:f>
              <xm:sqref>B100</xm:sqref>
            </x14:sparkline>
            <x14:sparkline>
              <xm:f>Данные!B101:B101</xm:f>
              <xm:sqref>B101</xm:sqref>
            </x14:sparkline>
            <x14:sparkline>
              <xm:f>Данные!B102:B102</xm:f>
              <xm:sqref>B102</xm:sqref>
            </x14:sparkline>
            <x14:sparkline>
              <xm:f>Данные!B103:B103</xm:f>
              <xm:sqref>B103</xm:sqref>
            </x14:sparkline>
            <x14:sparkline>
              <xm:f>Данные!B104:B104</xm:f>
              <xm:sqref>B104</xm:sqref>
            </x14:sparkline>
            <x14:sparkline>
              <xm:f>Данные!B105:B105</xm:f>
              <xm:sqref>B105</xm:sqref>
            </x14:sparkline>
            <x14:sparkline>
              <xm:f>Данные!B106:B106</xm:f>
              <xm:sqref>B106</xm:sqref>
            </x14:sparkline>
            <x14:sparkline>
              <xm:f>Данные!B107:B107</xm:f>
              <xm:sqref>B107</xm:sqref>
            </x14:sparkline>
            <x14:sparkline>
              <xm:f>Данные!B108:B108</xm:f>
              <xm:sqref>B108</xm:sqref>
            </x14:sparkline>
            <x14:sparkline>
              <xm:f>Данные!B109:B109</xm:f>
              <xm:sqref>B109</xm:sqref>
            </x14:sparkline>
            <x14:sparkline>
              <xm:f>Данные!B110:B110</xm:f>
              <xm:sqref>B110</xm:sqref>
            </x14:sparkline>
            <x14:sparkline>
              <xm:f>Данные!B111:B111</xm:f>
              <xm:sqref>B111</xm:sqref>
            </x14:sparkline>
            <x14:sparkline>
              <xm:f>Данные!B112:B112</xm:f>
              <xm:sqref>B112</xm:sqref>
            </x14:sparkline>
            <x14:sparkline>
              <xm:f>Данные!B113:B113</xm:f>
              <xm:sqref>B113</xm:sqref>
            </x14:sparkline>
            <x14:sparkline>
              <xm:f>Данные!B114:B114</xm:f>
              <xm:sqref>B114</xm:sqref>
            </x14:sparkline>
            <x14:sparkline>
              <xm:f>Данные!B115:B115</xm:f>
              <xm:sqref>B115</xm:sqref>
            </x14:sparkline>
            <x14:sparkline>
              <xm:f>Данные!B116:B116</xm:f>
              <xm:sqref>B116</xm:sqref>
            </x14:sparkline>
            <x14:sparkline>
              <xm:f>Данные!B117:B117</xm:f>
              <xm:sqref>B117</xm:sqref>
            </x14:sparkline>
            <x14:sparkline>
              <xm:f>Данные!B118:B118</xm:f>
              <xm:sqref>B118</xm:sqref>
            </x14:sparkline>
            <x14:sparkline>
              <xm:f>Данные!B119:B119</xm:f>
              <xm:sqref>B119</xm:sqref>
            </x14:sparkline>
            <x14:sparkline>
              <xm:f>Данные!B120:B120</xm:f>
              <xm:sqref>B120</xm:sqref>
            </x14:sparkline>
            <x14:sparkline>
              <xm:f>Данные!B121:B121</xm:f>
              <xm:sqref>B121</xm:sqref>
            </x14:sparkline>
            <x14:sparkline>
              <xm:f>Данные!B122:B122</xm:f>
              <xm:sqref>B122</xm:sqref>
            </x14:sparkline>
            <x14:sparkline>
              <xm:f>Данные!B123:B123</xm:f>
              <xm:sqref>B123</xm:sqref>
            </x14:sparkline>
            <x14:sparkline>
              <xm:f>Данные!B124:B124</xm:f>
              <xm:sqref>B124</xm:sqref>
            </x14:sparkline>
            <x14:sparkline>
              <xm:f>Данные!B125:B125</xm:f>
              <xm:sqref>B125</xm:sqref>
            </x14:sparkline>
            <x14:sparkline>
              <xm:f>Данные!B126:B126</xm:f>
              <xm:sqref>B126</xm:sqref>
            </x14:sparkline>
            <x14:sparkline>
              <xm:f>Данные!B127:B127</xm:f>
              <xm:sqref>B127</xm:sqref>
            </x14:sparkline>
            <x14:sparkline>
              <xm:f>Данные!B128:B128</xm:f>
              <xm:sqref>B128</xm:sqref>
            </x14:sparkline>
            <x14:sparkline>
              <xm:f>Данные!B129:B129</xm:f>
              <xm:sqref>B129</xm:sqref>
            </x14:sparkline>
            <x14:sparkline>
              <xm:f>Данные!B130:B130</xm:f>
              <xm:sqref>B130</xm:sqref>
            </x14:sparkline>
            <x14:sparkline>
              <xm:f>Данные!B131:B131</xm:f>
              <xm:sqref>B131</xm:sqref>
            </x14:sparkline>
            <x14:sparkline>
              <xm:f>Данные!B132:B132</xm:f>
              <xm:sqref>B132</xm:sqref>
            </x14:sparkline>
            <x14:sparkline>
              <xm:f>Данные!B133:B133</xm:f>
              <xm:sqref>B133</xm:sqref>
            </x14:sparkline>
            <x14:sparkline>
              <xm:f>Данные!B134:B134</xm:f>
              <xm:sqref>B134</xm:sqref>
            </x14:sparkline>
            <x14:sparkline>
              <xm:f>Данные!B135:B135</xm:f>
              <xm:sqref>B135</xm:sqref>
            </x14:sparkline>
            <x14:sparkline>
              <xm:f>Данные!B136:B136</xm:f>
              <xm:sqref>B136</xm:sqref>
            </x14:sparkline>
            <x14:sparkline>
              <xm:f>Данные!B137:B137</xm:f>
              <xm:sqref>B137</xm:sqref>
            </x14:sparkline>
            <x14:sparkline>
              <xm:f>Данные!B138:B138</xm:f>
              <xm:sqref>B138</xm:sqref>
            </x14:sparkline>
            <x14:sparkline>
              <xm:f>Данные!B139:B139</xm:f>
              <xm:sqref>B139</xm:sqref>
            </x14:sparkline>
            <x14:sparkline>
              <xm:f>Данные!B140:B140</xm:f>
              <xm:sqref>B140</xm:sqref>
            </x14:sparkline>
            <x14:sparkline>
              <xm:f>Данные!B141:B141</xm:f>
              <xm:sqref>B141</xm:sqref>
            </x14:sparkline>
            <x14:sparkline>
              <xm:f>Данные!B142:B142</xm:f>
              <xm:sqref>B142</xm:sqref>
            </x14:sparkline>
            <x14:sparkline>
              <xm:f>Данные!B143:B143</xm:f>
              <xm:sqref>B143</xm:sqref>
            </x14:sparkline>
            <x14:sparkline>
              <xm:f>Данные!B144:B144</xm:f>
              <xm:sqref>B144</xm:sqref>
            </x14:sparkline>
            <x14:sparkline>
              <xm:f>Данные!B145:B145</xm:f>
              <xm:sqref>B145</xm:sqref>
            </x14:sparkline>
            <x14:sparkline>
              <xm:f>Данные!B146:B146</xm:f>
              <xm:sqref>B146</xm:sqref>
            </x14:sparkline>
            <x14:sparkline>
              <xm:f>Данные!B147:B147</xm:f>
              <xm:sqref>B147</xm:sqref>
            </x14:sparkline>
            <x14:sparkline>
              <xm:f>Данные!B148:B148</xm:f>
              <xm:sqref>B148</xm:sqref>
            </x14:sparkline>
            <x14:sparkline>
              <xm:f>Данные!B149:B149</xm:f>
              <xm:sqref>B149</xm:sqref>
            </x14:sparkline>
            <x14:sparkline>
              <xm:f>Данные!B150:B150</xm:f>
              <xm:sqref>B150</xm:sqref>
            </x14:sparkline>
            <x14:sparkline>
              <xm:f>Данные!B151:B151</xm:f>
              <xm:sqref>B151</xm:sqref>
            </x14:sparkline>
            <x14:sparkline>
              <xm:f>Данные!B152:B152</xm:f>
              <xm:sqref>B152</xm:sqref>
            </x14:sparkline>
            <x14:sparkline>
              <xm:f>Данные!B153:B153</xm:f>
              <xm:sqref>B153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Андрей</cp:lastModifiedBy>
  <dcterms:created xsi:type="dcterms:W3CDTF">2010-08-11T13:25:21Z</dcterms:created>
  <dcterms:modified xsi:type="dcterms:W3CDTF">2023-05-28T07:28:00Z</dcterms:modified>
</cp:coreProperties>
</file>