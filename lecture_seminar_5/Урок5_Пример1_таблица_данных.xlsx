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 Лекция №5\"/>
    </mc:Choice>
  </mc:AlternateContent>
  <xr:revisionPtr revIDLastSave="0" documentId="13_ncr:1_{6BD3C74A-0F26-4E01-BE67-9298F17555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E5" i="2"/>
  <c r="E6" i="2" s="1"/>
  <c r="E7" i="2" s="1"/>
  <c r="E8" i="2" s="1"/>
  <c r="E9" i="2" s="1"/>
  <c r="E10" i="2" s="1"/>
  <c r="E11" i="2" s="1"/>
  <c r="E12" i="2" s="1"/>
  <c r="E13" i="2" s="1"/>
  <c r="C10" i="2"/>
  <c r="C11" i="2" s="1"/>
  <c r="G3" i="2" s="1"/>
  <c r="C12" i="2" l="1"/>
  <c r="H3" i="2" s="1"/>
  <c r="C13" i="2" l="1"/>
  <c r="I3" i="2" s="1"/>
</calcChain>
</file>

<file path=xl/sharedStrings.xml><?xml version="1.0" encoding="utf-8"?>
<sst xmlns="http://schemas.openxmlformats.org/spreadsheetml/2006/main" count="15" uniqueCount="15">
  <si>
    <t>Расчет ипотечной ссуды</t>
  </si>
  <si>
    <t>Ячейки ввода</t>
  </si>
  <si>
    <t>Стоимость покупки:</t>
  </si>
  <si>
    <t>Первый платеж:</t>
  </si>
  <si>
    <t>Срок ссуды:</t>
  </si>
  <si>
    <t>Процентная ставка:</t>
  </si>
  <si>
    <t>Ячейки результата</t>
  </si>
  <si>
    <t>Размер ссуды:</t>
  </si>
  <si>
    <t>Месячная плата:</t>
  </si>
  <si>
    <t>Общая сумма выплат:</t>
  </si>
  <si>
    <t>Общая сумма комиссионных:</t>
  </si>
  <si>
    <t>Мес. Плата</t>
  </si>
  <si>
    <t>Сумма выпл.</t>
  </si>
  <si>
    <t>Сумма коммис.</t>
  </si>
  <si>
    <t>Размер ссуды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</si>
</sst>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0" xfId="0" quotePrefix="1"/>
    <xf numFmtId="0" fontId="0" fillId="0" borderId="0" xfId="0" quotePrefix="1" applyBorder="1"/>
    <xf numFmtId="0" fontId="0" fillId="0" borderId="0" xfId="0" quotePrefix="1" applyFill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Fill="1" applyBorder="1"/>
    <xf numFmtId="164" fontId="0" fillId="0" borderId="1" xfId="0" applyNumberFormat="1" applyBorder="1"/>
    <xf numFmtId="0" fontId="3" fillId="0" borderId="0" xfId="0" applyFont="1"/>
    <xf numFmtId="0" fontId="0" fillId="0" borderId="3" xfId="0" applyBorder="1"/>
    <xf numFmtId="164" fontId="0" fillId="3" borderId="2" xfId="0" applyNumberFormat="1" applyFill="1" applyBorder="1"/>
    <xf numFmtId="10" fontId="0" fillId="3" borderId="5" xfId="0" applyNumberFormat="1" applyFill="1" applyBorder="1"/>
    <xf numFmtId="10" fontId="0" fillId="3" borderId="6" xfId="0" applyNumberFormat="1" applyFill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4" xfId="0" applyNumberFormat="1" applyBorder="1"/>
    <xf numFmtId="10" fontId="0" fillId="3" borderId="7" xfId="0" applyNumberFormat="1" applyFill="1" applyBorder="1"/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3"/>
  <sheetViews>
    <sheetView showGridLines="0" tabSelected="1" workbookViewId="0">
      <selection activeCell="E3" sqref="E3:I13"/>
    </sheetView>
  </sheetViews>
  <sheetFormatPr defaultRowHeight="14.4" x14ac:dyDescent="0.3"/>
  <cols>
    <col min="1" max="1" width="3.5546875" customWidth="1"/>
    <col min="2" max="2" width="28.6640625" customWidth="1"/>
    <col min="3" max="3" width="13.88671875" customWidth="1"/>
    <col min="4" max="4" width="6.88671875" customWidth="1"/>
    <col min="6" max="6" width="13.33203125" customWidth="1"/>
    <col min="7" max="7" width="12.44140625" customWidth="1"/>
    <col min="8" max="8" width="13.44140625" customWidth="1"/>
    <col min="9" max="9" width="15" customWidth="1"/>
  </cols>
  <sheetData>
    <row r="1" spans="1:9" ht="21" x14ac:dyDescent="0.4">
      <c r="A1" s="1"/>
      <c r="B1" s="19" t="s">
        <v>0</v>
      </c>
      <c r="C1" s="19"/>
      <c r="D1" s="1"/>
    </row>
    <row r="2" spans="1:9" x14ac:dyDescent="0.3">
      <c r="A2" s="1"/>
      <c r="B2" s="1"/>
      <c r="C2" s="1"/>
      <c r="D2" s="1"/>
      <c r="F2" s="10" t="s">
        <v>14</v>
      </c>
      <c r="G2" s="10" t="s">
        <v>11</v>
      </c>
      <c r="H2" s="10" t="s">
        <v>12</v>
      </c>
      <c r="I2" s="10" t="s">
        <v>13</v>
      </c>
    </row>
    <row r="3" spans="1:9" x14ac:dyDescent="0.3">
      <c r="B3" s="20" t="s">
        <v>1</v>
      </c>
      <c r="C3" s="20"/>
      <c r="E3" s="11"/>
      <c r="F3" s="12">
        <f>C10</f>
        <v>346950</v>
      </c>
      <c r="G3" s="12">
        <f>C11</f>
        <v>1915.8707445813161</v>
      </c>
      <c r="H3" s="12">
        <f>C12</f>
        <v>689713.46804927383</v>
      </c>
      <c r="I3" s="12">
        <f>C13</f>
        <v>342763.46804927383</v>
      </c>
    </row>
    <row r="4" spans="1:9" x14ac:dyDescent="0.3">
      <c r="B4" s="5" t="s">
        <v>2</v>
      </c>
      <c r="C4" s="9">
        <v>385500</v>
      </c>
      <c r="E4" s="13">
        <v>4.4999999999999998E-2</v>
      </c>
      <c r="F4" s="15">
        <f t="dataTable" ref="F4:I13" dt2D="0" dtr="0" r1="C7"/>
        <v>346950</v>
      </c>
      <c r="G4" s="15">
        <v>1757.9446824408928</v>
      </c>
      <c r="H4" s="15">
        <v>632860.08567872143</v>
      </c>
      <c r="I4" s="15">
        <v>285910.08567872143</v>
      </c>
    </row>
    <row r="5" spans="1:9" x14ac:dyDescent="0.3">
      <c r="B5" s="5" t="s">
        <v>3</v>
      </c>
      <c r="C5" s="6">
        <v>0.1</v>
      </c>
      <c r="E5" s="14">
        <f>E4+0.25%</f>
        <v>4.7500000000000001E-2</v>
      </c>
      <c r="F5" s="16">
        <v>346950</v>
      </c>
      <c r="G5" s="16">
        <v>1809.8554339975433</v>
      </c>
      <c r="H5" s="16">
        <v>651547.95623911556</v>
      </c>
      <c r="I5" s="16">
        <v>304597.95623911556</v>
      </c>
    </row>
    <row r="6" spans="1:9" x14ac:dyDescent="0.3">
      <c r="B6" s="5" t="s">
        <v>4</v>
      </c>
      <c r="C6" s="5">
        <v>360</v>
      </c>
      <c r="E6" s="14">
        <f t="shared" ref="E6:E13" si="0">E5+0.25%</f>
        <v>0.05</v>
      </c>
      <c r="F6" s="16">
        <v>346950</v>
      </c>
      <c r="G6" s="16">
        <v>1862.5026210406165</v>
      </c>
      <c r="H6" s="16">
        <v>670500.94357462192</v>
      </c>
      <c r="I6" s="16">
        <v>323550.94357462192</v>
      </c>
    </row>
    <row r="7" spans="1:9" x14ac:dyDescent="0.3">
      <c r="B7" s="5" t="s">
        <v>5</v>
      </c>
      <c r="C7" s="7">
        <v>5.2499999999999998E-2</v>
      </c>
      <c r="E7" s="14">
        <f t="shared" si="0"/>
        <v>5.2500000000000005E-2</v>
      </c>
      <c r="F7" s="16">
        <v>346950</v>
      </c>
      <c r="G7" s="16">
        <v>1915.8707445813161</v>
      </c>
      <c r="H7" s="16">
        <v>689713.46804927383</v>
      </c>
      <c r="I7" s="16">
        <v>342763.46804927383</v>
      </c>
    </row>
    <row r="8" spans="1:9" x14ac:dyDescent="0.3">
      <c r="E8" s="14">
        <f t="shared" si="0"/>
        <v>5.5000000000000007E-2</v>
      </c>
      <c r="F8" s="16">
        <v>346950</v>
      </c>
      <c r="G8" s="16">
        <v>1969.9439401734269</v>
      </c>
      <c r="H8" s="16">
        <v>709179.81846243364</v>
      </c>
      <c r="I8" s="16">
        <v>362229.81846243364</v>
      </c>
    </row>
    <row r="9" spans="1:9" x14ac:dyDescent="0.3">
      <c r="B9" s="20" t="s">
        <v>6</v>
      </c>
      <c r="C9" s="20"/>
      <c r="E9" s="14">
        <f t="shared" si="0"/>
        <v>5.7500000000000009E-2</v>
      </c>
      <c r="F9" s="16">
        <v>346950</v>
      </c>
      <c r="G9" s="16">
        <v>2024.7060254309072</v>
      </c>
      <c r="H9" s="16">
        <v>728894.16915512655</v>
      </c>
      <c r="I9" s="16">
        <v>381944.16915512655</v>
      </c>
    </row>
    <row r="10" spans="1:9" x14ac:dyDescent="0.3">
      <c r="B10" s="5" t="s">
        <v>7</v>
      </c>
      <c r="C10" s="9">
        <f>C4*(1-C5)</f>
        <v>346950</v>
      </c>
      <c r="D10" s="2"/>
      <c r="E10" s="14">
        <f t="shared" si="0"/>
        <v>6.0000000000000012E-2</v>
      </c>
      <c r="F10" s="16">
        <v>346950</v>
      </c>
      <c r="G10" s="16">
        <v>2080.1405470174745</v>
      </c>
      <c r="H10" s="16">
        <v>748850.59692629089</v>
      </c>
      <c r="I10" s="16">
        <v>401900.59692629089</v>
      </c>
    </row>
    <row r="11" spans="1:9" x14ac:dyDescent="0.3">
      <c r="B11" s="5" t="s">
        <v>8</v>
      </c>
      <c r="C11" s="9">
        <f>PMT(C7/12,C6,-C10)</f>
        <v>1915.8707445813161</v>
      </c>
      <c r="D11" s="2"/>
      <c r="E11" s="14">
        <f t="shared" si="0"/>
        <v>6.2500000000000014E-2</v>
      </c>
      <c r="F11" s="16">
        <v>346950</v>
      </c>
      <c r="G11" s="16">
        <v>2136.2308268793663</v>
      </c>
      <c r="H11" s="16">
        <v>769043.09767657192</v>
      </c>
      <c r="I11" s="16">
        <v>422093.09767657192</v>
      </c>
    </row>
    <row r="12" spans="1:9" x14ac:dyDescent="0.3">
      <c r="A12" s="1"/>
      <c r="B12" s="5" t="s">
        <v>9</v>
      </c>
      <c r="C12" s="9">
        <f>C11*C6</f>
        <v>689713.46804927383</v>
      </c>
      <c r="D12" s="3"/>
      <c r="E12" s="14">
        <f t="shared" si="0"/>
        <v>6.5000000000000016E-2</v>
      </c>
      <c r="F12" s="16">
        <v>346950</v>
      </c>
      <c r="G12" s="16">
        <v>2192.9600075088379</v>
      </c>
      <c r="H12" s="16">
        <v>789465.60270318168</v>
      </c>
      <c r="I12" s="16">
        <v>442515.60270318168</v>
      </c>
    </row>
    <row r="13" spans="1:9" x14ac:dyDescent="0.3">
      <c r="A13" s="1"/>
      <c r="B13" s="8" t="s">
        <v>10</v>
      </c>
      <c r="C13" s="9">
        <f>C12-C10</f>
        <v>342763.46804927383</v>
      </c>
      <c r="D13" s="4"/>
      <c r="E13" s="18">
        <f t="shared" si="0"/>
        <v>6.7500000000000018E-2</v>
      </c>
      <c r="F13" s="17">
        <v>346950</v>
      </c>
      <c r="G13" s="17">
        <v>2250.3110960434228</v>
      </c>
      <c r="H13" s="17">
        <v>810111.99457563227</v>
      </c>
      <c r="I13" s="17">
        <v>463161.99457563227</v>
      </c>
    </row>
  </sheetData>
  <mergeCells count="3">
    <mergeCell ref="B1:C1"/>
    <mergeCell ref="B3:C3"/>
    <mergeCell ref="B9:C9"/>
  </mergeCells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2006-11-13T17:54:54Z</outs:dateTime>
      <outs:isPinned>true</outs:isPinned>
    </outs:relatedDate>
    <outs:relatedDate>
      <outs:type>2</outs:type>
      <outs:displayName>Created</outs:displayName>
      <outs:dateTime>1996-11-15T18:28:26Z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John Walkenbach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John Walkenbach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DCDB9FF6-D8E2-4824-B898-4CA5AFA18CA1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mortgage loan.xlsx</dc:title>
  <dc:subject>Example File</dc:subject>
  <dc:creator>John Walkenbach</dc:creator>
  <cp:keywords> </cp:keywords>
  <dc:description>©2015, John Walkenbach. All Rights Reserved.</dc:description>
  <cp:lastModifiedBy>Андрей</cp:lastModifiedBy>
  <dcterms:created xsi:type="dcterms:W3CDTF">1996-11-15T18:28:26Z</dcterms:created>
  <dcterms:modified xsi:type="dcterms:W3CDTF">2023-06-05T04:47:24Z</dcterms:modified>
  <cp:category>Excel 2016 Bible</cp:category>
</cp:coreProperties>
</file>