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4.2. Семинар №5\"/>
    </mc:Choice>
  </mc:AlternateContent>
  <xr:revisionPtr revIDLastSave="0" documentId="13_ncr:1_{39DC9CED-4AA4-44EA-87B3-858BCA57618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Данные" sheetId="1" r:id="rId1"/>
    <sheet name="СТ1" sheetId="3" r:id="rId2"/>
    <sheet name="СТ2" sheetId="4" r:id="rId3"/>
    <sheet name="СТ3" sheetId="5" r:id="rId4"/>
  </sheets>
  <definedNames>
    <definedName name="_xlnm._FilterDatabase" localSheetId="0" hidden="1">Данные!$C$5:$G$160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6" i="1"/>
  <c r="K5" i="3"/>
</calcChain>
</file>

<file path=xl/sharedStrings.xml><?xml version="1.0" encoding="utf-8"?>
<sst xmlns="http://schemas.openxmlformats.org/spreadsheetml/2006/main" count="19" uniqueCount="12">
  <si>
    <t>Площадь</t>
  </si>
  <si>
    <t>Цена</t>
  </si>
  <si>
    <t>Ванные</t>
  </si>
  <si>
    <t>Спальни</t>
  </si>
  <si>
    <t>Названия строк</t>
  </si>
  <si>
    <t>Общий итог</t>
  </si>
  <si>
    <t>Среднее по полю Цена</t>
  </si>
  <si>
    <t>Общее кол-во ванн и спален</t>
  </si>
  <si>
    <t>(несколько элементов)</t>
  </si>
  <si>
    <t>Средняя цена всех домов с количеством спален не менее 6</t>
  </si>
  <si>
    <t>Количество по полю Площадь</t>
  </si>
  <si>
    <t>Максимум по полю 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</si>
</sst>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#,##0.00\ &quot;₽&quot;"/>
    <numFmt numFmtId="166" formatCode="#,##0\ &quot;₽&quot;"/>
  </numFmts>
  <fonts count="3" x14ac:knownFonts="1">
    <font>
      <sz val="10"/>
      <name val="Arial"/>
    </font>
    <font>
      <sz val="10"/>
      <name val="Arial"/>
      <family val="2"/>
      <charset val="204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165" fontId="0" fillId="0" borderId="0" xfId="1" applyNumberFormat="1" applyFont="1"/>
    <xf numFmtId="0" fontId="1" fillId="2" borderId="0" xfId="0" applyFont="1" applyFill="1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1" fillId="2" borderId="0" xfId="0" applyNumberFormat="1" applyFont="1" applyFill="1" applyAlignment="1">
      <alignment wrapText="1"/>
    </xf>
    <xf numFmtId="0" fontId="1" fillId="3" borderId="0" xfId="0" applyFont="1" applyFill="1"/>
    <xf numFmtId="0" fontId="0" fillId="3" borderId="0" xfId="0" applyFill="1"/>
    <xf numFmtId="165" fontId="0" fillId="3" borderId="0" xfId="0" applyNumberFormat="1" applyFill="1"/>
  </cellXfs>
  <cellStyles count="2">
    <cellStyle name="Денежный" xfId="1" builtinId="4"/>
    <cellStyle name="Обычный" xfId="0" builtinId="0"/>
  </cellStyles>
  <dxfs count="13">
    <dxf>
      <numFmt numFmtId="166" formatCode="#,##0\ &quot;₽&quot;"/>
    </dxf>
    <dxf>
      <numFmt numFmtId="166" formatCode="#,##0\ &quot;₽&quot;"/>
    </dxf>
    <dxf>
      <numFmt numFmtId="166" formatCode="#,##0\ &quot;₽&quot;"/>
    </dxf>
    <dxf>
      <numFmt numFmtId="166" formatCode="#,##0\ &quot;₽&quot;"/>
    </dxf>
    <dxf>
      <numFmt numFmtId="166" formatCode="#,##0\ &quot;₽&quot;"/>
    </dxf>
    <dxf>
      <numFmt numFmtId="166" formatCode="#,##0\ &quot;₽&quot;"/>
    </dxf>
    <dxf>
      <numFmt numFmtId="166" formatCode="#,##0\ &quot;₽&quot;"/>
    </dxf>
    <dxf>
      <numFmt numFmtId="166" formatCode="#,##0\ &quot;₽&quot;"/>
    </dxf>
    <dxf>
      <numFmt numFmtId="166" formatCode="#,##0\ &quot;₽&quot;"/>
    </dxf>
    <dxf>
      <numFmt numFmtId="166" formatCode="#,##0\ &quot;₽&quot;"/>
    </dxf>
    <dxf>
      <numFmt numFmtId="166" formatCode="#,##0\ &quot;₽&quot;"/>
    </dxf>
    <dxf>
      <numFmt numFmtId="166" formatCode="#,##0\ &quot;₽&quot;"/>
    </dxf>
    <dxf>
      <numFmt numFmtId="166" formatCode="#,##0\ &quot;₽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ндрей" refreshedDate="45081.577134606479" createdVersion="7" refreshedVersion="7" minRefreshableVersion="3" recordCount="155" xr:uid="{B4CDF2AF-0E5E-43B6-BA39-CA5FA74CF3AD}">
  <cacheSource type="worksheet">
    <worksheetSource ref="C5:G160" sheet="Данные"/>
  </cacheSource>
  <cacheFields count="5">
    <cacheField name="Площадь" numFmtId="0">
      <sharedItems containsSemiMixedTypes="0" containsString="0" containsNumber="1" minValue="15.2" maxValue="49.75" count="153">
        <n v="40.159999999999997"/>
        <n v="27.62"/>
        <n v="22.62"/>
        <n v="46.26"/>
        <n v="25.5"/>
        <n v="29.57"/>
        <n v="28.68"/>
        <n v="33.56"/>
        <n v="25.36"/>
        <n v="34.51"/>
        <n v="28.07"/>
        <n v="28.91"/>
        <n v="29.84"/>
        <n v="35.06"/>
        <n v="26.94"/>
        <n v="24.55"/>
        <n v="27.32"/>
        <n v="24.36"/>
        <n v="38.94"/>
        <n v="40.93"/>
        <n v="15.48"/>
        <n v="35.479999999999997"/>
        <n v="35.78"/>
        <n v="46.27"/>
        <n v="29.76"/>
        <n v="37.799999999999997"/>
        <n v="17.11"/>
        <n v="31.24"/>
        <n v="29.92"/>
        <n v="42.77"/>
        <n v="25.27"/>
        <n v="37.479999999999997"/>
        <n v="18.63"/>
        <n v="26.82"/>
        <n v="34.26"/>
        <n v="25.54"/>
        <n v="19.98"/>
        <n v="30.38"/>
        <n v="48.05"/>
        <n v="19.48"/>
        <n v="33.299999999999997"/>
        <n v="18.2"/>
        <n v="39.630000000000003"/>
        <n v="39.03"/>
        <n v="44.06"/>
        <n v="27.21"/>
        <n v="44.64"/>
        <n v="24.01"/>
        <n v="42.79"/>
        <n v="40.76"/>
        <n v="28.31"/>
        <n v="45.08"/>
        <n v="19.72"/>
        <n v="32.36"/>
        <n v="19.739999999999998"/>
        <n v="22.81"/>
        <n v="47.3"/>
        <n v="47.42"/>
        <n v="34.119999999999997"/>
        <n v="21.12"/>
        <n v="19.36"/>
        <n v="29.6"/>
        <n v="46"/>
        <n v="26.62"/>
        <n v="39.9"/>
        <n v="32.619999999999997"/>
        <n v="40.909999999999997"/>
        <n v="37.26"/>
        <n v="27.31"/>
        <n v="37.159999999999997"/>
        <n v="27.94"/>
        <n v="41.44"/>
        <n v="44.7"/>
        <n v="32.67"/>
        <n v="31.12"/>
        <n v="46.88"/>
        <n v="17.64"/>
        <n v="24.78"/>
        <n v="43.45"/>
        <n v="49.3"/>
        <n v="41.03"/>
        <n v="40.24"/>
        <n v="17.899999999999999"/>
        <n v="22.94"/>
        <n v="31.77"/>
        <n v="22.52"/>
        <n v="15.82"/>
        <n v="39.68"/>
        <n v="31.23"/>
        <n v="27.61"/>
        <n v="38.65"/>
        <n v="33.71"/>
        <n v="15.6"/>
        <n v="32.15"/>
        <n v="44.66"/>
        <n v="42.94"/>
        <n v="47.78"/>
        <n v="30.36"/>
        <n v="35.29"/>
        <n v="43.16"/>
        <n v="35.770000000000003"/>
        <n v="33.4"/>
        <n v="28.65"/>
        <n v="44.48"/>
        <n v="26.75"/>
        <n v="45.48"/>
        <n v="43.63"/>
        <n v="37.42"/>
        <n v="43.26"/>
        <n v="23.52"/>
        <n v="28.16"/>
        <n v="43.24"/>
        <n v="17.3"/>
        <n v="35.57"/>
        <n v="20.8"/>
        <n v="22.42"/>
        <n v="22.53"/>
        <n v="21.88"/>
        <n v="16.32"/>
        <n v="29.58"/>
        <n v="36.92"/>
        <n v="48.65"/>
        <n v="39.229999999999997"/>
        <n v="16"/>
        <n v="35.35"/>
        <n v="37.25"/>
        <n v="18.86"/>
        <n v="44.41"/>
        <n v="42.61"/>
        <n v="43.59"/>
        <n v="19.8"/>
        <n v="17.73"/>
        <n v="30.91"/>
        <n v="15.2"/>
        <n v="40.299999999999997"/>
        <n v="41.08"/>
        <n v="25.53"/>
        <n v="28.04"/>
        <n v="36.520000000000003"/>
        <n v="33.229999999999997"/>
        <n v="39.72"/>
        <n v="35.74"/>
        <n v="29.49"/>
        <n v="26.99"/>
        <n v="22.18"/>
        <n v="35.26"/>
        <n v="35.340000000000003"/>
        <n v="49.75"/>
        <n v="26.18"/>
        <n v="46.55"/>
        <n v="34.89"/>
        <n v="45.26"/>
        <n v="46.76"/>
      </sharedItems>
    </cacheField>
    <cacheField name="Цена" numFmtId="165">
      <sharedItems containsSemiMixedTypes="0" containsString="0" containsNumber="1" containsInteger="1" minValue="1468000" maxValue="5515100"/>
    </cacheField>
    <cacheField name="Ванные" numFmtId="0">
      <sharedItems containsSemiMixedTypes="0" containsString="0" containsNumber="1" containsInteger="1" minValue="1" maxValue="5" count="5">
        <n v="4"/>
        <n v="2"/>
        <n v="3"/>
        <n v="5"/>
        <n v="1"/>
      </sharedItems>
    </cacheField>
    <cacheField name="Спальни" numFmtId="0">
      <sharedItems containsSemiMixedTypes="0" containsString="0" containsNumber="1" containsInteger="1" minValue="1" maxValue="6"/>
    </cacheField>
    <cacheField name="Общее кол-во ванн и спален" numFmtId="0">
      <sharedItems containsSemiMixedTypes="0" containsString="0" containsNumber="1" containsInteger="1" minValue="2" maxValue="11" count="10">
        <n v="9"/>
        <n v="5"/>
        <n v="6"/>
        <n v="10"/>
        <n v="4"/>
        <n v="7"/>
        <n v="8"/>
        <n v="3"/>
        <n v="11"/>
        <n v="2"/>
      </sharedItems>
    </cacheField>
  </cacheFields>
  <extLst>
    <ext xmlns:x14="http://schemas.microsoft.com/office/spreadsheetml/2009/9/main" uri="{725AE2AE-9491-48be-B2B4-4EB974FC3084}">
      <x14:pivotCacheDefinition pivotCacheId="11477200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n v="4536960"/>
    <x v="0"/>
    <n v="5"/>
    <x v="0"/>
  </r>
  <r>
    <x v="1"/>
    <n v="2866760"/>
    <x v="1"/>
    <n v="3"/>
    <x v="1"/>
  </r>
  <r>
    <x v="2"/>
    <n v="2394140"/>
    <x v="1"/>
    <n v="4"/>
    <x v="2"/>
  </r>
  <r>
    <x v="3"/>
    <n v="4992260"/>
    <x v="0"/>
    <n v="6"/>
    <x v="3"/>
  </r>
  <r>
    <x v="4"/>
    <n v="2495000"/>
    <x v="1"/>
    <n v="4"/>
    <x v="2"/>
  </r>
  <r>
    <x v="5"/>
    <n v="2979580"/>
    <x v="1"/>
    <n v="4"/>
    <x v="2"/>
  </r>
  <r>
    <x v="6"/>
    <n v="3188760"/>
    <x v="1"/>
    <n v="2"/>
    <x v="4"/>
  </r>
  <r>
    <x v="7"/>
    <n v="3757360"/>
    <x v="0"/>
    <n v="3"/>
    <x v="5"/>
  </r>
  <r>
    <x v="8"/>
    <n v="2786720"/>
    <x v="1"/>
    <n v="4"/>
    <x v="2"/>
  </r>
  <r>
    <x v="9"/>
    <n v="3489430"/>
    <x v="0"/>
    <n v="5"/>
    <x v="0"/>
  </r>
  <r>
    <x v="10"/>
    <n v="3051210"/>
    <x v="1"/>
    <n v="3"/>
    <x v="1"/>
  </r>
  <r>
    <x v="11"/>
    <n v="2819720"/>
    <x v="1"/>
    <n v="3"/>
    <x v="1"/>
  </r>
  <r>
    <x v="12"/>
    <n v="2944960"/>
    <x v="2"/>
    <n v="2"/>
    <x v="1"/>
  </r>
  <r>
    <x v="13"/>
    <n v="3635880"/>
    <x v="0"/>
    <n v="3"/>
    <x v="5"/>
  </r>
  <r>
    <x v="14"/>
    <n v="2934820"/>
    <x v="1"/>
    <n v="3"/>
    <x v="1"/>
  </r>
  <r>
    <x v="15"/>
    <n v="2492250"/>
    <x v="1"/>
    <n v="3"/>
    <x v="1"/>
  </r>
  <r>
    <x v="16"/>
    <n v="3137880"/>
    <x v="1"/>
    <n v="3"/>
    <x v="1"/>
  </r>
  <r>
    <x v="17"/>
    <n v="2726520"/>
    <x v="1"/>
    <n v="2"/>
    <x v="4"/>
  </r>
  <r>
    <x v="18"/>
    <n v="3842480"/>
    <x v="2"/>
    <n v="5"/>
    <x v="6"/>
  </r>
  <r>
    <x v="19"/>
    <n v="4352070"/>
    <x v="3"/>
    <n v="5"/>
    <x v="3"/>
  </r>
  <r>
    <x v="20"/>
    <n v="1822800"/>
    <x v="1"/>
    <n v="2"/>
    <x v="4"/>
  </r>
  <r>
    <x v="21"/>
    <n v="4031840"/>
    <x v="0"/>
    <n v="3"/>
    <x v="5"/>
  </r>
  <r>
    <x v="22"/>
    <n v="4044240"/>
    <x v="2"/>
    <n v="3"/>
    <x v="2"/>
  </r>
  <r>
    <x v="23"/>
    <n v="5158350"/>
    <x v="3"/>
    <n v="5"/>
    <x v="3"/>
  </r>
  <r>
    <x v="24"/>
    <n v="2937440"/>
    <x v="2"/>
    <n v="2"/>
    <x v="1"/>
  </r>
  <r>
    <x v="25"/>
    <n v="4115600"/>
    <x v="2"/>
    <n v="5"/>
    <x v="6"/>
  </r>
  <r>
    <x v="26"/>
    <n v="1768340"/>
    <x v="1"/>
    <n v="3"/>
    <x v="1"/>
  </r>
  <r>
    <x v="27"/>
    <n v="3261520"/>
    <x v="0"/>
    <n v="3"/>
    <x v="5"/>
  </r>
  <r>
    <x v="28"/>
    <n v="3112000"/>
    <x v="1"/>
    <n v="2"/>
    <x v="4"/>
  </r>
  <r>
    <x v="29"/>
    <n v="4725310"/>
    <x v="0"/>
    <n v="6"/>
    <x v="3"/>
  </r>
  <r>
    <x v="30"/>
    <n v="2620650"/>
    <x v="2"/>
    <n v="4"/>
    <x v="5"/>
  </r>
  <r>
    <x v="31"/>
    <n v="3953040"/>
    <x v="0"/>
    <n v="5"/>
    <x v="0"/>
  </r>
  <r>
    <x v="32"/>
    <n v="1868480"/>
    <x v="1"/>
    <n v="1"/>
    <x v="7"/>
  </r>
  <r>
    <x v="33"/>
    <n v="2855640"/>
    <x v="1"/>
    <n v="2"/>
    <x v="4"/>
  </r>
  <r>
    <x v="34"/>
    <n v="3568960"/>
    <x v="0"/>
    <n v="5"/>
    <x v="0"/>
  </r>
  <r>
    <x v="35"/>
    <n v="2549680"/>
    <x v="1"/>
    <n v="4"/>
    <x v="2"/>
  </r>
  <r>
    <x v="36"/>
    <n v="2018140"/>
    <x v="1"/>
    <n v="3"/>
    <x v="1"/>
  </r>
  <r>
    <x v="37"/>
    <n v="3339520"/>
    <x v="2"/>
    <n v="3"/>
    <x v="2"/>
  </r>
  <r>
    <x v="38"/>
    <n v="4632550"/>
    <x v="3"/>
    <n v="4"/>
    <x v="0"/>
  </r>
  <r>
    <x v="39"/>
    <n v="2185400"/>
    <x v="4"/>
    <n v="3"/>
    <x v="4"/>
  </r>
  <r>
    <x v="40"/>
    <n v="3610000"/>
    <x v="0"/>
    <n v="5"/>
    <x v="0"/>
  </r>
  <r>
    <x v="41"/>
    <n v="2047400"/>
    <x v="4"/>
    <n v="2"/>
    <x v="7"/>
  </r>
  <r>
    <x v="42"/>
    <n v="3865960"/>
    <x v="2"/>
    <n v="4"/>
    <x v="5"/>
  </r>
  <r>
    <x v="43"/>
    <n v="3887850"/>
    <x v="2"/>
    <n v="3"/>
    <x v="2"/>
  </r>
  <r>
    <x v="44"/>
    <n v="4617880"/>
    <x v="3"/>
    <n v="5"/>
    <x v="3"/>
  </r>
  <r>
    <x v="45"/>
    <n v="2568900"/>
    <x v="1"/>
    <n v="2"/>
    <x v="4"/>
  </r>
  <r>
    <x v="46"/>
    <n v="4491520"/>
    <x v="3"/>
    <n v="6"/>
    <x v="8"/>
  </r>
  <r>
    <x v="47"/>
    <n v="2541000"/>
    <x v="2"/>
    <n v="2"/>
    <x v="1"/>
  </r>
  <r>
    <x v="48"/>
    <n v="4750160"/>
    <x v="3"/>
    <n v="5"/>
    <x v="3"/>
  </r>
  <r>
    <x v="49"/>
    <n v="4232960"/>
    <x v="0"/>
    <n v="6"/>
    <x v="3"/>
  </r>
  <r>
    <x v="50"/>
    <n v="3135930"/>
    <x v="2"/>
    <n v="4"/>
    <x v="5"/>
  </r>
  <r>
    <x v="51"/>
    <n v="4923240"/>
    <x v="0"/>
    <n v="5"/>
    <x v="0"/>
  </r>
  <r>
    <x v="52"/>
    <n v="1894520"/>
    <x v="4"/>
    <n v="2"/>
    <x v="7"/>
  </r>
  <r>
    <x v="53"/>
    <n v="3281840"/>
    <x v="0"/>
    <n v="4"/>
    <x v="6"/>
  </r>
  <r>
    <x v="54"/>
    <n v="2172180"/>
    <x v="4"/>
    <n v="1"/>
    <x v="9"/>
  </r>
  <r>
    <x v="55"/>
    <n v="2466620"/>
    <x v="2"/>
    <n v="2"/>
    <x v="1"/>
  </r>
  <r>
    <x v="56"/>
    <n v="4517000"/>
    <x v="3"/>
    <n v="4"/>
    <x v="0"/>
  </r>
  <r>
    <x v="57"/>
    <n v="4907160"/>
    <x v="3"/>
    <n v="4"/>
    <x v="0"/>
  </r>
  <r>
    <x v="58"/>
    <n v="3589640"/>
    <x v="0"/>
    <n v="5"/>
    <x v="0"/>
  </r>
  <r>
    <x v="59"/>
    <n v="2335360"/>
    <x v="1"/>
    <n v="3"/>
    <x v="1"/>
  </r>
  <r>
    <x v="60"/>
    <n v="2054080"/>
    <x v="4"/>
    <n v="1"/>
    <x v="9"/>
  </r>
  <r>
    <x v="61"/>
    <n v="2981600"/>
    <x v="2"/>
    <n v="2"/>
    <x v="1"/>
  </r>
  <r>
    <x v="62"/>
    <n v="4702000"/>
    <x v="0"/>
    <n v="4"/>
    <x v="6"/>
  </r>
  <r>
    <x v="63"/>
    <n v="3034960"/>
    <x v="1"/>
    <n v="3"/>
    <x v="1"/>
  </r>
  <r>
    <x v="64"/>
    <n v="4250000"/>
    <x v="2"/>
    <n v="5"/>
    <x v="6"/>
  </r>
  <r>
    <x v="65"/>
    <n v="3376760"/>
    <x v="2"/>
    <n v="3"/>
    <x v="2"/>
  </r>
  <r>
    <x v="66"/>
    <n v="4799190"/>
    <x v="3"/>
    <n v="6"/>
    <x v="8"/>
  </r>
  <r>
    <x v="67"/>
    <n v="4338600"/>
    <x v="0"/>
    <n v="4"/>
    <x v="6"/>
  </r>
  <r>
    <x v="68"/>
    <n v="2692520"/>
    <x v="2"/>
    <n v="3"/>
    <x v="2"/>
  </r>
  <r>
    <x v="69"/>
    <n v="3698720"/>
    <x v="0"/>
    <n v="5"/>
    <x v="0"/>
  </r>
  <r>
    <x v="70"/>
    <n v="3049880"/>
    <x v="1"/>
    <n v="4"/>
    <x v="2"/>
  </r>
  <r>
    <x v="71"/>
    <n v="4341120"/>
    <x v="0"/>
    <n v="5"/>
    <x v="0"/>
  </r>
  <r>
    <x v="72"/>
    <n v="4497100"/>
    <x v="3"/>
    <n v="6"/>
    <x v="8"/>
  </r>
  <r>
    <x v="73"/>
    <n v="3421660"/>
    <x v="2"/>
    <n v="4"/>
    <x v="5"/>
  </r>
  <r>
    <x v="74"/>
    <n v="3465360"/>
    <x v="2"/>
    <n v="5"/>
    <x v="6"/>
  </r>
  <r>
    <x v="75"/>
    <n v="4659840"/>
    <x v="3"/>
    <n v="5"/>
    <x v="3"/>
  </r>
  <r>
    <x v="76"/>
    <n v="1888720"/>
    <x v="1"/>
    <n v="3"/>
    <x v="1"/>
  </r>
  <r>
    <x v="77"/>
    <n v="2722780"/>
    <x v="2"/>
    <n v="4"/>
    <x v="5"/>
  </r>
  <r>
    <x v="78"/>
    <n v="4882250"/>
    <x v="0"/>
    <n v="6"/>
    <x v="3"/>
  </r>
  <r>
    <x v="79"/>
    <n v="5515100"/>
    <x v="0"/>
    <n v="4"/>
    <x v="6"/>
  </r>
  <r>
    <x v="80"/>
    <n v="4299910"/>
    <x v="0"/>
    <n v="6"/>
    <x v="3"/>
  </r>
  <r>
    <x v="81"/>
    <n v="3982080"/>
    <x v="0"/>
    <n v="5"/>
    <x v="0"/>
  </r>
  <r>
    <x v="82"/>
    <n v="1921600"/>
    <x v="4"/>
    <n v="1"/>
    <x v="9"/>
  </r>
  <r>
    <x v="83"/>
    <n v="2562820"/>
    <x v="1"/>
    <n v="4"/>
    <x v="2"/>
  </r>
  <r>
    <x v="84"/>
    <n v="3619390"/>
    <x v="2"/>
    <n v="4"/>
    <x v="5"/>
  </r>
  <r>
    <x v="85"/>
    <n v="2404440"/>
    <x v="2"/>
    <n v="4"/>
    <x v="5"/>
  </r>
  <r>
    <x v="23"/>
    <n v="4701920"/>
    <x v="3"/>
    <n v="4"/>
    <x v="0"/>
  </r>
  <r>
    <x v="86"/>
    <n v="1634540"/>
    <x v="4"/>
    <n v="2"/>
    <x v="7"/>
  </r>
  <r>
    <x v="87"/>
    <n v="4287360"/>
    <x v="0"/>
    <n v="4"/>
    <x v="6"/>
  </r>
  <r>
    <x v="88"/>
    <n v="3675300"/>
    <x v="0"/>
    <n v="4"/>
    <x v="6"/>
  </r>
  <r>
    <x v="89"/>
    <n v="3091440"/>
    <x v="2"/>
    <n v="4"/>
    <x v="5"/>
  </r>
  <r>
    <x v="90"/>
    <n v="3951750"/>
    <x v="0"/>
    <n v="5"/>
    <x v="0"/>
  </r>
  <r>
    <x v="91"/>
    <n v="3348740"/>
    <x v="2"/>
    <n v="3"/>
    <x v="2"/>
  </r>
  <r>
    <x v="92"/>
    <n v="1651200"/>
    <x v="4"/>
    <n v="1"/>
    <x v="9"/>
  </r>
  <r>
    <x v="93"/>
    <n v="3125650"/>
    <x v="0"/>
    <n v="3"/>
    <x v="5"/>
  </r>
  <r>
    <x v="94"/>
    <n v="4453380"/>
    <x v="3"/>
    <n v="5"/>
    <x v="3"/>
  </r>
  <r>
    <x v="95"/>
    <n v="4616940"/>
    <x v="0"/>
    <n v="5"/>
    <x v="0"/>
  </r>
  <r>
    <x v="96"/>
    <n v="5038000"/>
    <x v="3"/>
    <n v="4"/>
    <x v="0"/>
  </r>
  <r>
    <x v="97"/>
    <n v="3216000"/>
    <x v="2"/>
    <n v="3"/>
    <x v="2"/>
  </r>
  <r>
    <x v="59"/>
    <n v="2041920"/>
    <x v="1"/>
    <n v="2"/>
    <x v="4"/>
  </r>
  <r>
    <x v="98"/>
    <n v="3703130"/>
    <x v="0"/>
    <n v="5"/>
    <x v="0"/>
  </r>
  <r>
    <x v="99"/>
    <n v="4230720"/>
    <x v="3"/>
    <n v="4"/>
    <x v="0"/>
  </r>
  <r>
    <x v="100"/>
    <n v="3642380"/>
    <x v="0"/>
    <n v="5"/>
    <x v="0"/>
  </r>
  <r>
    <x v="101"/>
    <n v="3366200"/>
    <x v="2"/>
    <n v="5"/>
    <x v="6"/>
  </r>
  <r>
    <x v="102"/>
    <n v="3045000"/>
    <x v="2"/>
    <n v="3"/>
    <x v="2"/>
  </r>
  <r>
    <x v="103"/>
    <n v="5034880"/>
    <x v="0"/>
    <n v="6"/>
    <x v="3"/>
  </r>
  <r>
    <x v="104"/>
    <n v="3055750"/>
    <x v="2"/>
    <n v="2"/>
    <x v="1"/>
  </r>
  <r>
    <x v="105"/>
    <n v="4529640"/>
    <x v="3"/>
    <n v="5"/>
    <x v="3"/>
  </r>
  <r>
    <x v="106"/>
    <n v="4357590"/>
    <x v="3"/>
    <n v="5"/>
    <x v="3"/>
  </r>
  <r>
    <x v="107"/>
    <n v="3814900"/>
    <x v="2"/>
    <n v="5"/>
    <x v="6"/>
  </r>
  <r>
    <x v="108"/>
    <n v="4392960"/>
    <x v="0"/>
    <n v="4"/>
    <x v="6"/>
  </r>
  <r>
    <x v="109"/>
    <n v="2488480"/>
    <x v="1"/>
    <n v="3"/>
    <x v="1"/>
  </r>
  <r>
    <x v="110"/>
    <n v="2923360"/>
    <x v="2"/>
    <n v="4"/>
    <x v="5"/>
  </r>
  <r>
    <x v="111"/>
    <n v="4620760"/>
    <x v="3"/>
    <n v="6"/>
    <x v="8"/>
  </r>
  <r>
    <x v="112"/>
    <n v="1933800"/>
    <x v="4"/>
    <n v="2"/>
    <x v="7"/>
  </r>
  <r>
    <x v="113"/>
    <n v="4050420"/>
    <x v="0"/>
    <n v="5"/>
    <x v="0"/>
  </r>
  <r>
    <x v="114"/>
    <n v="2054400"/>
    <x v="1"/>
    <n v="2"/>
    <x v="4"/>
  </r>
  <r>
    <x v="115"/>
    <n v="2200220"/>
    <x v="1"/>
    <n v="3"/>
    <x v="1"/>
  </r>
  <r>
    <x v="116"/>
    <n v="2170230"/>
    <x v="1"/>
    <n v="2"/>
    <x v="4"/>
  </r>
  <r>
    <x v="117"/>
    <n v="2481160"/>
    <x v="2"/>
    <n v="2"/>
    <x v="1"/>
  </r>
  <r>
    <x v="118"/>
    <n v="1581440"/>
    <x v="1"/>
    <n v="1"/>
    <x v="7"/>
  </r>
  <r>
    <x v="119"/>
    <n v="3030100"/>
    <x v="2"/>
    <n v="4"/>
    <x v="5"/>
  </r>
  <r>
    <x v="120"/>
    <n v="3653560"/>
    <x v="2"/>
    <n v="4"/>
    <x v="5"/>
  </r>
  <r>
    <x v="121"/>
    <n v="5067700"/>
    <x v="3"/>
    <n v="5"/>
    <x v="3"/>
  </r>
  <r>
    <x v="122"/>
    <n v="3908390"/>
    <x v="2"/>
    <n v="5"/>
    <x v="6"/>
  </r>
  <r>
    <x v="123"/>
    <n v="1644000"/>
    <x v="4"/>
    <n v="1"/>
    <x v="9"/>
  </r>
  <r>
    <x v="124"/>
    <n v="3861050"/>
    <x v="2"/>
    <n v="4"/>
    <x v="5"/>
  </r>
  <r>
    <x v="125"/>
    <n v="4005000"/>
    <x v="0"/>
    <n v="5"/>
    <x v="0"/>
  </r>
  <r>
    <x v="126"/>
    <n v="2059160"/>
    <x v="4"/>
    <n v="1"/>
    <x v="9"/>
  </r>
  <r>
    <x v="127"/>
    <n v="4874230"/>
    <x v="3"/>
    <n v="5"/>
    <x v="3"/>
  </r>
  <r>
    <x v="128"/>
    <n v="4373170"/>
    <x v="0"/>
    <n v="4"/>
    <x v="6"/>
  </r>
  <r>
    <x v="129"/>
    <n v="4330280"/>
    <x v="0"/>
    <n v="6"/>
    <x v="3"/>
  </r>
  <r>
    <x v="130"/>
    <n v="1941200"/>
    <x v="1"/>
    <n v="1"/>
    <x v="7"/>
  </r>
  <r>
    <x v="131"/>
    <n v="1928460"/>
    <x v="1"/>
    <n v="2"/>
    <x v="4"/>
  </r>
  <r>
    <x v="132"/>
    <n v="3229180"/>
    <x v="0"/>
    <n v="3"/>
    <x v="5"/>
  </r>
  <r>
    <x v="133"/>
    <n v="1468000"/>
    <x v="4"/>
    <n v="2"/>
    <x v="7"/>
  </r>
  <r>
    <x v="134"/>
    <n v="4612100"/>
    <x v="3"/>
    <n v="5"/>
    <x v="3"/>
  </r>
  <r>
    <x v="135"/>
    <n v="4409080"/>
    <x v="3"/>
    <n v="4"/>
    <x v="0"/>
  </r>
  <r>
    <x v="136"/>
    <n v="2519820"/>
    <x v="1"/>
    <n v="2"/>
    <x v="4"/>
  </r>
  <r>
    <x v="137"/>
    <n v="3276360"/>
    <x v="2"/>
    <n v="4"/>
    <x v="5"/>
  </r>
  <r>
    <x v="138"/>
    <n v="3895480"/>
    <x v="0"/>
    <n v="5"/>
    <x v="0"/>
  </r>
  <r>
    <x v="139"/>
    <n v="3802380"/>
    <x v="0"/>
    <n v="5"/>
    <x v="0"/>
  </r>
  <r>
    <x v="140"/>
    <n v="3774800"/>
    <x v="0"/>
    <n v="3"/>
    <x v="5"/>
  </r>
  <r>
    <x v="141"/>
    <n v="3789740"/>
    <x v="2"/>
    <n v="3"/>
    <x v="2"/>
  </r>
  <r>
    <x v="142"/>
    <n v="3286960"/>
    <x v="2"/>
    <n v="4"/>
    <x v="5"/>
  </r>
  <r>
    <x v="143"/>
    <n v="2825020"/>
    <x v="2"/>
    <n v="3"/>
    <x v="2"/>
  </r>
  <r>
    <x v="144"/>
    <n v="2551080"/>
    <x v="1"/>
    <n v="4"/>
    <x v="2"/>
  </r>
  <r>
    <x v="145"/>
    <n v="3468660"/>
    <x v="2"/>
    <n v="5"/>
    <x v="6"/>
  </r>
  <r>
    <x v="146"/>
    <n v="3875360"/>
    <x v="0"/>
    <n v="3"/>
    <x v="5"/>
  </r>
  <r>
    <x v="147"/>
    <n v="5056000"/>
    <x v="0"/>
    <n v="5"/>
    <x v="0"/>
  </r>
  <r>
    <x v="148"/>
    <n v="2791820"/>
    <x v="1"/>
    <n v="4"/>
    <x v="2"/>
  </r>
  <r>
    <x v="149"/>
    <n v="4788800"/>
    <x v="0"/>
    <n v="6"/>
    <x v="3"/>
  </r>
  <r>
    <x v="150"/>
    <n v="4077900"/>
    <x v="0"/>
    <n v="4"/>
    <x v="6"/>
  </r>
  <r>
    <x v="151"/>
    <n v="5052300"/>
    <x v="3"/>
    <n v="5"/>
    <x v="3"/>
  </r>
  <r>
    <x v="152"/>
    <n v="5229800"/>
    <x v="0"/>
    <n v="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5EA8A-7792-4AB3-9EB0-51B986E76C4A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10" firstHeaderRow="1" firstDataRow="1" firstDataCol="1"/>
  <pivotFields count="5">
    <pivotField showAll="0">
      <items count="154">
        <item x="133"/>
        <item x="20"/>
        <item x="92"/>
        <item x="86"/>
        <item x="123"/>
        <item x="118"/>
        <item x="26"/>
        <item x="112"/>
        <item x="76"/>
        <item x="131"/>
        <item x="82"/>
        <item x="41"/>
        <item x="32"/>
        <item x="126"/>
        <item x="60"/>
        <item x="39"/>
        <item x="52"/>
        <item x="54"/>
        <item x="130"/>
        <item x="36"/>
        <item x="114"/>
        <item x="59"/>
        <item x="117"/>
        <item x="144"/>
        <item x="115"/>
        <item x="85"/>
        <item x="116"/>
        <item x="2"/>
        <item x="55"/>
        <item x="83"/>
        <item x="109"/>
        <item x="47"/>
        <item x="17"/>
        <item x="15"/>
        <item x="77"/>
        <item x="30"/>
        <item x="8"/>
        <item x="4"/>
        <item x="136"/>
        <item x="35"/>
        <item x="148"/>
        <item x="63"/>
        <item x="104"/>
        <item x="33"/>
        <item x="14"/>
        <item x="143"/>
        <item x="45"/>
        <item x="68"/>
        <item x="16"/>
        <item x="89"/>
        <item x="1"/>
        <item x="70"/>
        <item x="137"/>
        <item x="10"/>
        <item x="110"/>
        <item x="50"/>
        <item x="102"/>
        <item x="6"/>
        <item x="11"/>
        <item x="142"/>
        <item x="5"/>
        <item x="119"/>
        <item x="61"/>
        <item x="24"/>
        <item x="12"/>
        <item x="28"/>
        <item x="97"/>
        <item x="37"/>
        <item x="132"/>
        <item x="74"/>
        <item x="88"/>
        <item x="27"/>
        <item x="84"/>
        <item x="93"/>
        <item x="53"/>
        <item x="65"/>
        <item x="73"/>
        <item x="139"/>
        <item x="40"/>
        <item x="101"/>
        <item x="7"/>
        <item x="91"/>
        <item x="58"/>
        <item x="34"/>
        <item x="9"/>
        <item x="150"/>
        <item x="13"/>
        <item x="145"/>
        <item x="98"/>
        <item x="146"/>
        <item x="124"/>
        <item x="21"/>
        <item x="113"/>
        <item x="141"/>
        <item x="100"/>
        <item x="22"/>
        <item x="138"/>
        <item x="120"/>
        <item x="69"/>
        <item x="125"/>
        <item x="67"/>
        <item x="107"/>
        <item x="31"/>
        <item x="25"/>
        <item x="90"/>
        <item x="18"/>
        <item x="43"/>
        <item x="122"/>
        <item x="42"/>
        <item x="87"/>
        <item x="140"/>
        <item x="64"/>
        <item x="0"/>
        <item x="81"/>
        <item x="134"/>
        <item x="49"/>
        <item x="66"/>
        <item x="19"/>
        <item x="80"/>
        <item x="135"/>
        <item x="71"/>
        <item x="128"/>
        <item x="29"/>
        <item x="48"/>
        <item x="95"/>
        <item x="99"/>
        <item x="111"/>
        <item x="108"/>
        <item x="78"/>
        <item x="129"/>
        <item x="106"/>
        <item x="44"/>
        <item x="127"/>
        <item x="103"/>
        <item x="46"/>
        <item x="94"/>
        <item x="72"/>
        <item x="51"/>
        <item x="151"/>
        <item x="105"/>
        <item x="62"/>
        <item x="3"/>
        <item x="23"/>
        <item x="149"/>
        <item x="152"/>
        <item x="75"/>
        <item x="56"/>
        <item x="57"/>
        <item x="96"/>
        <item x="38"/>
        <item x="121"/>
        <item x="79"/>
        <item x="147"/>
        <item t="default"/>
      </items>
    </pivotField>
    <pivotField dataField="1" numFmtId="165" showAll="0"/>
    <pivotField showAll="0"/>
    <pivotField showAll="0"/>
    <pivotField axis="axisRow" multipleItemSelectionAllowed="1" showAll="0">
      <items count="11">
        <item x="9"/>
        <item x="7"/>
        <item x="4"/>
        <item x="1"/>
        <item x="2"/>
        <item x="5"/>
        <item x="6"/>
        <item x="0"/>
        <item x="3"/>
        <item x="8"/>
        <item t="default"/>
      </items>
    </pivotField>
  </pivotFields>
  <rowFields count="1">
    <field x="4"/>
  </rowFields>
  <rowItems count="7"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Среднее по полю Цена" fld="1" subtotal="average" baseField="0" baseItem="0" numFmtId="166"/>
  </dataFields>
  <formats count="2">
    <format dxfId="12">
      <pivotArea outline="0" collapsedLevelsAreSubtotals="1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4" type="captionGreaterThanOrEqual" evalOrder="-1" id="1" stringValue1="6">
      <autoFilter ref="A1">
        <filterColumn colId="0">
          <customFilters>
            <customFilter operator="greaterThanOrEqual" val="6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000B1-85D1-4A6F-8312-625219519E0F}" name="Сводная таблица3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4:A5" firstHeaderRow="1" firstDataRow="1" firstDataCol="0" rowPageCount="2" colPageCount="1"/>
  <pivotFields count="5">
    <pivotField dataField="1" showAll="0"/>
    <pivotField numFmtId="165" showAll="0"/>
    <pivotField axis="axisPage" multipleItemSelectionAllowed="1" showAll="0">
      <items count="6">
        <item h="1" x="4"/>
        <item h="1" x="1"/>
        <item x="2"/>
        <item x="0"/>
        <item x="3"/>
        <item t="default"/>
      </items>
    </pivotField>
    <pivotField showAll="0"/>
    <pivotField axis="axisPage" multipleItemSelectionAllowed="1" showAll="0">
      <items count="11">
        <item x="9"/>
        <item x="7"/>
        <item x="4"/>
        <item x="1"/>
        <item x="2"/>
        <item h="1" x="5"/>
        <item h="1" x="6"/>
        <item h="1" x="0"/>
        <item h="1" x="3"/>
        <item h="1" x="8"/>
        <item t="default"/>
      </items>
    </pivotField>
  </pivotFields>
  <rowItems count="1">
    <i/>
  </rowItems>
  <colItems count="1">
    <i/>
  </colItems>
  <pageFields count="2">
    <pageField fld="2" hier="-1"/>
    <pageField fld="4" hier="-1"/>
  </pageFields>
  <dataFields count="1">
    <dataField name="Количество по полю Площадь" fld="0" subtotal="count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0DE8B-32DF-4F9B-9DA1-D13B81B10021}" name="Сводная таблица4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4:A5" firstHeaderRow="1" firstDataRow="1" firstDataCol="0" rowPageCount="2" colPageCount="1"/>
  <pivotFields count="5">
    <pivotField axis="axisPage" multipleItemSelectionAllowed="1" showAll="0">
      <items count="154">
        <item x="133"/>
        <item x="20"/>
        <item x="92"/>
        <item x="86"/>
        <item x="123"/>
        <item x="118"/>
        <item x="26"/>
        <item x="112"/>
        <item x="76"/>
        <item x="131"/>
        <item x="82"/>
        <item x="41"/>
        <item x="32"/>
        <item x="126"/>
        <item x="60"/>
        <item x="39"/>
        <item x="52"/>
        <item x="54"/>
        <item x="130"/>
        <item x="36"/>
        <item x="114"/>
        <item x="59"/>
        <item x="117"/>
        <item x="144"/>
        <item x="115"/>
        <item x="85"/>
        <item x="116"/>
        <item x="2"/>
        <item x="55"/>
        <item x="83"/>
        <item x="109"/>
        <item x="47"/>
        <item x="17"/>
        <item x="15"/>
        <item x="77"/>
        <item x="30"/>
        <item x="8"/>
        <item x="4"/>
        <item x="136"/>
        <item x="35"/>
        <item x="148"/>
        <item x="63"/>
        <item x="104"/>
        <item x="33"/>
        <item x="14"/>
        <item x="143"/>
        <item x="45"/>
        <item x="68"/>
        <item x="16"/>
        <item x="89"/>
        <item x="1"/>
        <item x="70"/>
        <item x="137"/>
        <item x="10"/>
        <item x="110"/>
        <item x="50"/>
        <item x="102"/>
        <item x="6"/>
        <item x="11"/>
        <item x="142"/>
        <item x="5"/>
        <item x="119"/>
        <item x="61"/>
        <item x="24"/>
        <item x="12"/>
        <item x="28"/>
        <item h="1" x="97"/>
        <item h="1" x="37"/>
        <item h="1" x="132"/>
        <item h="1" x="74"/>
        <item h="1" x="88"/>
        <item h="1" x="27"/>
        <item h="1" x="84"/>
        <item h="1" x="93"/>
        <item h="1" x="53"/>
        <item h="1" x="65"/>
        <item h="1" x="73"/>
        <item h="1" x="139"/>
        <item h="1" x="40"/>
        <item h="1" x="101"/>
        <item h="1" x="7"/>
        <item h="1" x="91"/>
        <item h="1" x="58"/>
        <item h="1" x="34"/>
        <item h="1" x="9"/>
        <item h="1" x="150"/>
        <item h="1" x="13"/>
        <item h="1" x="145"/>
        <item h="1" x="98"/>
        <item h="1" x="146"/>
        <item h="1" x="124"/>
        <item h="1" x="21"/>
        <item h="1" x="113"/>
        <item h="1" x="141"/>
        <item h="1" x="100"/>
        <item h="1" x="22"/>
        <item h="1" x="138"/>
        <item h="1" x="120"/>
        <item h="1" x="69"/>
        <item h="1" x="125"/>
        <item h="1" x="67"/>
        <item h="1" x="107"/>
        <item h="1" x="31"/>
        <item h="1" x="25"/>
        <item h="1" x="90"/>
        <item h="1" x="18"/>
        <item h="1" x="43"/>
        <item h="1" x="122"/>
        <item h="1" x="42"/>
        <item h="1" x="87"/>
        <item h="1" x="140"/>
        <item h="1" x="64"/>
        <item h="1" x="0"/>
        <item h="1" x="81"/>
        <item h="1" x="134"/>
        <item h="1" x="49"/>
        <item h="1" x="66"/>
        <item h="1" x="19"/>
        <item h="1" x="80"/>
        <item h="1" x="135"/>
        <item h="1" x="71"/>
        <item h="1" x="128"/>
        <item h="1" x="29"/>
        <item h="1" x="48"/>
        <item h="1" x="95"/>
        <item h="1" x="99"/>
        <item h="1" x="111"/>
        <item h="1" x="108"/>
        <item h="1" x="78"/>
        <item h="1" x="129"/>
        <item h="1" x="106"/>
        <item h="1" x="44"/>
        <item h="1" x="127"/>
        <item h="1" x="103"/>
        <item h="1" x="46"/>
        <item h="1" x="94"/>
        <item h="1" x="72"/>
        <item h="1" x="51"/>
        <item h="1" x="151"/>
        <item h="1" x="105"/>
        <item h="1" x="62"/>
        <item h="1" x="3"/>
        <item h="1" x="23"/>
        <item h="1" x="149"/>
        <item h="1" x="152"/>
        <item h="1" x="75"/>
        <item h="1" x="56"/>
        <item h="1" x="57"/>
        <item h="1" x="96"/>
        <item h="1" x="38"/>
        <item h="1" x="121"/>
        <item h="1" x="79"/>
        <item h="1" x="147"/>
        <item t="default"/>
      </items>
    </pivotField>
    <pivotField dataField="1" numFmtId="165" showAll="0"/>
    <pivotField showAll="0"/>
    <pivotField showAll="0"/>
    <pivotField axis="axisPage" multipleItemSelectionAllowed="1" showAll="0">
      <items count="11">
        <item x="9"/>
        <item x="7"/>
        <item x="4"/>
        <item x="1"/>
        <item x="2"/>
        <item h="1" x="5"/>
        <item h="1" x="6"/>
        <item h="1" x="0"/>
        <item h="1" x="3"/>
        <item h="1" x="8"/>
        <item t="default"/>
      </items>
    </pivotField>
  </pivotFields>
  <rowItems count="1">
    <i/>
  </rowItems>
  <colItems count="1">
    <i/>
  </colItems>
  <pageFields count="2">
    <pageField fld="4" hier="-1"/>
    <pageField fld="0" hier="-1"/>
  </pageFields>
  <dataFields count="1">
    <dataField name="Максимум по полю Цена" fld="1" subtotal="max" baseField="0" baseItem="9" numFmtId="166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H160"/>
  <sheetViews>
    <sheetView topLeftCell="A5" workbookViewId="0">
      <selection activeCell="C5" sqref="C5:G160"/>
    </sheetView>
  </sheetViews>
  <sheetFormatPr defaultRowHeight="13.2" x14ac:dyDescent="0.25"/>
  <cols>
    <col min="3" max="3" width="12.88671875" customWidth="1"/>
    <col min="4" max="4" width="16.6640625" customWidth="1"/>
    <col min="5" max="5" width="11.6640625" customWidth="1"/>
    <col min="6" max="6" width="14" customWidth="1"/>
    <col min="7" max="7" width="19.21875" style="4" customWidth="1"/>
  </cols>
  <sheetData>
    <row r="5" spans="3:8" ht="26.4" x14ac:dyDescent="0.25">
      <c r="C5" s="3" t="s">
        <v>0</v>
      </c>
      <c r="D5" s="3" t="s">
        <v>1</v>
      </c>
      <c r="E5" s="3" t="s">
        <v>2</v>
      </c>
      <c r="F5" s="3" t="s">
        <v>3</v>
      </c>
      <c r="G5" s="8" t="s">
        <v>7</v>
      </c>
      <c r="H5" s="1"/>
    </row>
    <row r="6" spans="3:8" x14ac:dyDescent="0.25">
      <c r="C6">
        <v>40.159999999999997</v>
      </c>
      <c r="D6" s="2">
        <v>4536960</v>
      </c>
      <c r="E6">
        <v>4</v>
      </c>
      <c r="F6">
        <v>5</v>
      </c>
      <c r="G6" s="4">
        <f>E6+F6</f>
        <v>9</v>
      </c>
    </row>
    <row r="7" spans="3:8" x14ac:dyDescent="0.25">
      <c r="C7">
        <v>27.62</v>
      </c>
      <c r="D7" s="2">
        <v>2866760</v>
      </c>
      <c r="E7">
        <v>2</v>
      </c>
      <c r="F7">
        <v>3</v>
      </c>
      <c r="G7" s="4">
        <f t="shared" ref="G7:G70" si="0">E7+F7</f>
        <v>5</v>
      </c>
    </row>
    <row r="8" spans="3:8" x14ac:dyDescent="0.25">
      <c r="C8">
        <v>22.62</v>
      </c>
      <c r="D8" s="2">
        <v>2394140</v>
      </c>
      <c r="E8">
        <v>2</v>
      </c>
      <c r="F8">
        <v>4</v>
      </c>
      <c r="G8" s="4">
        <f t="shared" si="0"/>
        <v>6</v>
      </c>
    </row>
    <row r="9" spans="3:8" x14ac:dyDescent="0.25">
      <c r="C9">
        <v>46.26</v>
      </c>
      <c r="D9" s="2">
        <v>4992260</v>
      </c>
      <c r="E9">
        <v>4</v>
      </c>
      <c r="F9">
        <v>6</v>
      </c>
      <c r="G9" s="4">
        <f t="shared" si="0"/>
        <v>10</v>
      </c>
    </row>
    <row r="10" spans="3:8" x14ac:dyDescent="0.25">
      <c r="C10">
        <v>25.5</v>
      </c>
      <c r="D10" s="2">
        <v>2495000</v>
      </c>
      <c r="E10">
        <v>2</v>
      </c>
      <c r="F10">
        <v>4</v>
      </c>
      <c r="G10" s="4">
        <f t="shared" si="0"/>
        <v>6</v>
      </c>
    </row>
    <row r="11" spans="3:8" x14ac:dyDescent="0.25">
      <c r="C11">
        <v>29.57</v>
      </c>
      <c r="D11" s="2">
        <v>2979580</v>
      </c>
      <c r="E11">
        <v>2</v>
      </c>
      <c r="F11">
        <v>4</v>
      </c>
      <c r="G11" s="4">
        <f t="shared" si="0"/>
        <v>6</v>
      </c>
    </row>
    <row r="12" spans="3:8" x14ac:dyDescent="0.25">
      <c r="C12">
        <v>28.68</v>
      </c>
      <c r="D12" s="2">
        <v>3188760</v>
      </c>
      <c r="E12">
        <v>2</v>
      </c>
      <c r="F12">
        <v>2</v>
      </c>
      <c r="G12" s="4">
        <f t="shared" si="0"/>
        <v>4</v>
      </c>
    </row>
    <row r="13" spans="3:8" x14ac:dyDescent="0.25">
      <c r="C13">
        <v>33.56</v>
      </c>
      <c r="D13" s="2">
        <v>3757360</v>
      </c>
      <c r="E13">
        <v>4</v>
      </c>
      <c r="F13">
        <v>3</v>
      </c>
      <c r="G13" s="4">
        <f t="shared" si="0"/>
        <v>7</v>
      </c>
    </row>
    <row r="14" spans="3:8" x14ac:dyDescent="0.25">
      <c r="C14">
        <v>25.36</v>
      </c>
      <c r="D14" s="2">
        <v>2786720</v>
      </c>
      <c r="E14">
        <v>2</v>
      </c>
      <c r="F14">
        <v>4</v>
      </c>
      <c r="G14" s="4">
        <f t="shared" si="0"/>
        <v>6</v>
      </c>
    </row>
    <row r="15" spans="3:8" x14ac:dyDescent="0.25">
      <c r="C15">
        <v>34.51</v>
      </c>
      <c r="D15" s="2">
        <v>3489430</v>
      </c>
      <c r="E15">
        <v>4</v>
      </c>
      <c r="F15">
        <v>5</v>
      </c>
      <c r="G15" s="4">
        <f t="shared" si="0"/>
        <v>9</v>
      </c>
    </row>
    <row r="16" spans="3:8" x14ac:dyDescent="0.25">
      <c r="C16">
        <v>28.07</v>
      </c>
      <c r="D16" s="2">
        <v>3051210</v>
      </c>
      <c r="E16">
        <v>2</v>
      </c>
      <c r="F16">
        <v>3</v>
      </c>
      <c r="G16" s="4">
        <f t="shared" si="0"/>
        <v>5</v>
      </c>
    </row>
    <row r="17" spans="3:7" x14ac:dyDescent="0.25">
      <c r="C17">
        <v>28.91</v>
      </c>
      <c r="D17" s="2">
        <v>2819720</v>
      </c>
      <c r="E17">
        <v>2</v>
      </c>
      <c r="F17">
        <v>3</v>
      </c>
      <c r="G17" s="4">
        <f t="shared" si="0"/>
        <v>5</v>
      </c>
    </row>
    <row r="18" spans="3:7" x14ac:dyDescent="0.25">
      <c r="C18">
        <v>29.84</v>
      </c>
      <c r="D18" s="2">
        <v>2944960</v>
      </c>
      <c r="E18">
        <v>3</v>
      </c>
      <c r="F18">
        <v>2</v>
      </c>
      <c r="G18" s="4">
        <f t="shared" si="0"/>
        <v>5</v>
      </c>
    </row>
    <row r="19" spans="3:7" x14ac:dyDescent="0.25">
      <c r="C19">
        <v>35.06</v>
      </c>
      <c r="D19" s="2">
        <v>3635880</v>
      </c>
      <c r="E19">
        <v>4</v>
      </c>
      <c r="F19">
        <v>3</v>
      </c>
      <c r="G19" s="4">
        <f t="shared" si="0"/>
        <v>7</v>
      </c>
    </row>
    <row r="20" spans="3:7" x14ac:dyDescent="0.25">
      <c r="C20">
        <v>26.94</v>
      </c>
      <c r="D20" s="2">
        <v>2934820</v>
      </c>
      <c r="E20">
        <v>2</v>
      </c>
      <c r="F20">
        <v>3</v>
      </c>
      <c r="G20" s="4">
        <f t="shared" si="0"/>
        <v>5</v>
      </c>
    </row>
    <row r="21" spans="3:7" x14ac:dyDescent="0.25">
      <c r="C21">
        <v>24.55</v>
      </c>
      <c r="D21" s="2">
        <v>2492250</v>
      </c>
      <c r="E21">
        <v>2</v>
      </c>
      <c r="F21">
        <v>3</v>
      </c>
      <c r="G21" s="4">
        <f t="shared" si="0"/>
        <v>5</v>
      </c>
    </row>
    <row r="22" spans="3:7" x14ac:dyDescent="0.25">
      <c r="C22">
        <v>27.32</v>
      </c>
      <c r="D22" s="2">
        <v>3137880</v>
      </c>
      <c r="E22">
        <v>2</v>
      </c>
      <c r="F22">
        <v>3</v>
      </c>
      <c r="G22" s="4">
        <f t="shared" si="0"/>
        <v>5</v>
      </c>
    </row>
    <row r="23" spans="3:7" x14ac:dyDescent="0.25">
      <c r="C23">
        <v>24.36</v>
      </c>
      <c r="D23" s="2">
        <v>2726520</v>
      </c>
      <c r="E23">
        <v>2</v>
      </c>
      <c r="F23">
        <v>2</v>
      </c>
      <c r="G23" s="4">
        <f t="shared" si="0"/>
        <v>4</v>
      </c>
    </row>
    <row r="24" spans="3:7" x14ac:dyDescent="0.25">
      <c r="C24">
        <v>38.94</v>
      </c>
      <c r="D24" s="2">
        <v>3842480</v>
      </c>
      <c r="E24">
        <v>3</v>
      </c>
      <c r="F24">
        <v>5</v>
      </c>
      <c r="G24" s="4">
        <f t="shared" si="0"/>
        <v>8</v>
      </c>
    </row>
    <row r="25" spans="3:7" x14ac:dyDescent="0.25">
      <c r="C25">
        <v>40.93</v>
      </c>
      <c r="D25" s="2">
        <v>4352070</v>
      </c>
      <c r="E25">
        <v>5</v>
      </c>
      <c r="F25">
        <v>5</v>
      </c>
      <c r="G25" s="4">
        <f t="shared" si="0"/>
        <v>10</v>
      </c>
    </row>
    <row r="26" spans="3:7" x14ac:dyDescent="0.25">
      <c r="C26">
        <v>15.48</v>
      </c>
      <c r="D26" s="2">
        <v>1822800</v>
      </c>
      <c r="E26">
        <v>2</v>
      </c>
      <c r="F26">
        <v>2</v>
      </c>
      <c r="G26" s="4">
        <f t="shared" si="0"/>
        <v>4</v>
      </c>
    </row>
    <row r="27" spans="3:7" x14ac:dyDescent="0.25">
      <c r="C27">
        <v>35.479999999999997</v>
      </c>
      <c r="D27" s="2">
        <v>4031840</v>
      </c>
      <c r="E27">
        <v>4</v>
      </c>
      <c r="F27">
        <v>3</v>
      </c>
      <c r="G27" s="4">
        <f t="shared" si="0"/>
        <v>7</v>
      </c>
    </row>
    <row r="28" spans="3:7" x14ac:dyDescent="0.25">
      <c r="C28">
        <v>35.78</v>
      </c>
      <c r="D28" s="2">
        <v>4044240</v>
      </c>
      <c r="E28">
        <v>3</v>
      </c>
      <c r="F28">
        <v>3</v>
      </c>
      <c r="G28" s="4">
        <f t="shared" si="0"/>
        <v>6</v>
      </c>
    </row>
    <row r="29" spans="3:7" x14ac:dyDescent="0.25">
      <c r="C29">
        <v>46.27</v>
      </c>
      <c r="D29" s="2">
        <v>5158350</v>
      </c>
      <c r="E29">
        <v>5</v>
      </c>
      <c r="F29">
        <v>5</v>
      </c>
      <c r="G29" s="4">
        <f t="shared" si="0"/>
        <v>10</v>
      </c>
    </row>
    <row r="30" spans="3:7" x14ac:dyDescent="0.25">
      <c r="C30">
        <v>29.76</v>
      </c>
      <c r="D30" s="2">
        <v>2937440</v>
      </c>
      <c r="E30">
        <v>3</v>
      </c>
      <c r="F30">
        <v>2</v>
      </c>
      <c r="G30" s="4">
        <f t="shared" si="0"/>
        <v>5</v>
      </c>
    </row>
    <row r="31" spans="3:7" x14ac:dyDescent="0.25">
      <c r="C31">
        <v>37.799999999999997</v>
      </c>
      <c r="D31" s="2">
        <v>4115600</v>
      </c>
      <c r="E31">
        <v>3</v>
      </c>
      <c r="F31">
        <v>5</v>
      </c>
      <c r="G31" s="4">
        <f t="shared" si="0"/>
        <v>8</v>
      </c>
    </row>
    <row r="32" spans="3:7" x14ac:dyDescent="0.25">
      <c r="C32">
        <v>17.11</v>
      </c>
      <c r="D32" s="2">
        <v>1768340</v>
      </c>
      <c r="E32">
        <v>2</v>
      </c>
      <c r="F32">
        <v>3</v>
      </c>
      <c r="G32" s="4">
        <f t="shared" si="0"/>
        <v>5</v>
      </c>
    </row>
    <row r="33" spans="3:7" x14ac:dyDescent="0.25">
      <c r="C33">
        <v>31.24</v>
      </c>
      <c r="D33" s="2">
        <v>3261520</v>
      </c>
      <c r="E33">
        <v>4</v>
      </c>
      <c r="F33">
        <v>3</v>
      </c>
      <c r="G33" s="4">
        <f t="shared" si="0"/>
        <v>7</v>
      </c>
    </row>
    <row r="34" spans="3:7" x14ac:dyDescent="0.25">
      <c r="C34">
        <v>29.92</v>
      </c>
      <c r="D34" s="2">
        <v>3112000</v>
      </c>
      <c r="E34">
        <v>2</v>
      </c>
      <c r="F34">
        <v>2</v>
      </c>
      <c r="G34" s="4">
        <f t="shared" si="0"/>
        <v>4</v>
      </c>
    </row>
    <row r="35" spans="3:7" x14ac:dyDescent="0.25">
      <c r="C35">
        <v>42.77</v>
      </c>
      <c r="D35" s="2">
        <v>4725310</v>
      </c>
      <c r="E35">
        <v>4</v>
      </c>
      <c r="F35">
        <v>6</v>
      </c>
      <c r="G35" s="4">
        <f t="shared" si="0"/>
        <v>10</v>
      </c>
    </row>
    <row r="36" spans="3:7" x14ac:dyDescent="0.25">
      <c r="C36">
        <v>25.27</v>
      </c>
      <c r="D36" s="2">
        <v>2620650</v>
      </c>
      <c r="E36">
        <v>3</v>
      </c>
      <c r="F36">
        <v>4</v>
      </c>
      <c r="G36" s="4">
        <f t="shared" si="0"/>
        <v>7</v>
      </c>
    </row>
    <row r="37" spans="3:7" x14ac:dyDescent="0.25">
      <c r="C37">
        <v>37.479999999999997</v>
      </c>
      <c r="D37" s="2">
        <v>3953040</v>
      </c>
      <c r="E37">
        <v>4</v>
      </c>
      <c r="F37">
        <v>5</v>
      </c>
      <c r="G37" s="4">
        <f t="shared" si="0"/>
        <v>9</v>
      </c>
    </row>
    <row r="38" spans="3:7" x14ac:dyDescent="0.25">
      <c r="C38">
        <v>18.63</v>
      </c>
      <c r="D38" s="2">
        <v>1868480</v>
      </c>
      <c r="E38">
        <v>2</v>
      </c>
      <c r="F38">
        <v>1</v>
      </c>
      <c r="G38" s="4">
        <f t="shared" si="0"/>
        <v>3</v>
      </c>
    </row>
    <row r="39" spans="3:7" x14ac:dyDescent="0.25">
      <c r="C39">
        <v>26.82</v>
      </c>
      <c r="D39" s="2">
        <v>2855640</v>
      </c>
      <c r="E39">
        <v>2</v>
      </c>
      <c r="F39">
        <v>2</v>
      </c>
      <c r="G39" s="4">
        <f t="shared" si="0"/>
        <v>4</v>
      </c>
    </row>
    <row r="40" spans="3:7" x14ac:dyDescent="0.25">
      <c r="C40">
        <v>34.26</v>
      </c>
      <c r="D40" s="2">
        <v>3568960</v>
      </c>
      <c r="E40">
        <v>4</v>
      </c>
      <c r="F40">
        <v>5</v>
      </c>
      <c r="G40" s="4">
        <f t="shared" si="0"/>
        <v>9</v>
      </c>
    </row>
    <row r="41" spans="3:7" x14ac:dyDescent="0.25">
      <c r="C41">
        <v>25.54</v>
      </c>
      <c r="D41" s="2">
        <v>2549680</v>
      </c>
      <c r="E41">
        <v>2</v>
      </c>
      <c r="F41">
        <v>4</v>
      </c>
      <c r="G41" s="4">
        <f t="shared" si="0"/>
        <v>6</v>
      </c>
    </row>
    <row r="42" spans="3:7" x14ac:dyDescent="0.25">
      <c r="C42">
        <v>19.98</v>
      </c>
      <c r="D42" s="2">
        <v>2018140</v>
      </c>
      <c r="E42">
        <v>2</v>
      </c>
      <c r="F42">
        <v>3</v>
      </c>
      <c r="G42" s="4">
        <f t="shared" si="0"/>
        <v>5</v>
      </c>
    </row>
    <row r="43" spans="3:7" x14ac:dyDescent="0.25">
      <c r="C43">
        <v>30.38</v>
      </c>
      <c r="D43" s="2">
        <v>3339520</v>
      </c>
      <c r="E43">
        <v>3</v>
      </c>
      <c r="F43">
        <v>3</v>
      </c>
      <c r="G43" s="4">
        <f t="shared" si="0"/>
        <v>6</v>
      </c>
    </row>
    <row r="44" spans="3:7" x14ac:dyDescent="0.25">
      <c r="C44">
        <v>48.05</v>
      </c>
      <c r="D44" s="2">
        <v>4632550</v>
      </c>
      <c r="E44">
        <v>5</v>
      </c>
      <c r="F44">
        <v>4</v>
      </c>
      <c r="G44" s="4">
        <f t="shared" si="0"/>
        <v>9</v>
      </c>
    </row>
    <row r="45" spans="3:7" x14ac:dyDescent="0.25">
      <c r="C45">
        <v>19.48</v>
      </c>
      <c r="D45" s="2">
        <v>2185400</v>
      </c>
      <c r="E45">
        <v>1</v>
      </c>
      <c r="F45">
        <v>3</v>
      </c>
      <c r="G45" s="4">
        <f t="shared" si="0"/>
        <v>4</v>
      </c>
    </row>
    <row r="46" spans="3:7" x14ac:dyDescent="0.25">
      <c r="C46">
        <v>33.299999999999997</v>
      </c>
      <c r="D46" s="2">
        <v>3610000</v>
      </c>
      <c r="E46">
        <v>4</v>
      </c>
      <c r="F46">
        <v>5</v>
      </c>
      <c r="G46" s="4">
        <f t="shared" si="0"/>
        <v>9</v>
      </c>
    </row>
    <row r="47" spans="3:7" x14ac:dyDescent="0.25">
      <c r="C47">
        <v>18.2</v>
      </c>
      <c r="D47" s="2">
        <v>2047400</v>
      </c>
      <c r="E47">
        <v>1</v>
      </c>
      <c r="F47">
        <v>2</v>
      </c>
      <c r="G47" s="4">
        <f t="shared" si="0"/>
        <v>3</v>
      </c>
    </row>
    <row r="48" spans="3:7" x14ac:dyDescent="0.25">
      <c r="C48">
        <v>39.630000000000003</v>
      </c>
      <c r="D48" s="2">
        <v>3865960</v>
      </c>
      <c r="E48">
        <v>3</v>
      </c>
      <c r="F48">
        <v>4</v>
      </c>
      <c r="G48" s="4">
        <f t="shared" si="0"/>
        <v>7</v>
      </c>
    </row>
    <row r="49" spans="3:7" x14ac:dyDescent="0.25">
      <c r="C49">
        <v>39.03</v>
      </c>
      <c r="D49" s="2">
        <v>3887850</v>
      </c>
      <c r="E49">
        <v>3</v>
      </c>
      <c r="F49">
        <v>3</v>
      </c>
      <c r="G49" s="4">
        <f t="shared" si="0"/>
        <v>6</v>
      </c>
    </row>
    <row r="50" spans="3:7" x14ac:dyDescent="0.25">
      <c r="C50">
        <v>44.06</v>
      </c>
      <c r="D50" s="2">
        <v>4617880</v>
      </c>
      <c r="E50">
        <v>5</v>
      </c>
      <c r="F50">
        <v>5</v>
      </c>
      <c r="G50" s="4">
        <f t="shared" si="0"/>
        <v>10</v>
      </c>
    </row>
    <row r="51" spans="3:7" x14ac:dyDescent="0.25">
      <c r="C51">
        <v>27.21</v>
      </c>
      <c r="D51" s="2">
        <v>2568900</v>
      </c>
      <c r="E51">
        <v>2</v>
      </c>
      <c r="F51">
        <v>2</v>
      </c>
      <c r="G51" s="4">
        <f t="shared" si="0"/>
        <v>4</v>
      </c>
    </row>
    <row r="52" spans="3:7" x14ac:dyDescent="0.25">
      <c r="C52">
        <v>44.64</v>
      </c>
      <c r="D52" s="2">
        <v>4491520</v>
      </c>
      <c r="E52">
        <v>5</v>
      </c>
      <c r="F52">
        <v>6</v>
      </c>
      <c r="G52" s="4">
        <f t="shared" si="0"/>
        <v>11</v>
      </c>
    </row>
    <row r="53" spans="3:7" x14ac:dyDescent="0.25">
      <c r="C53">
        <v>24.01</v>
      </c>
      <c r="D53" s="2">
        <v>2541000</v>
      </c>
      <c r="E53">
        <v>3</v>
      </c>
      <c r="F53">
        <v>2</v>
      </c>
      <c r="G53" s="4">
        <f t="shared" si="0"/>
        <v>5</v>
      </c>
    </row>
    <row r="54" spans="3:7" x14ac:dyDescent="0.25">
      <c r="C54">
        <v>42.79</v>
      </c>
      <c r="D54" s="2">
        <v>4750160</v>
      </c>
      <c r="E54">
        <v>5</v>
      </c>
      <c r="F54">
        <v>5</v>
      </c>
      <c r="G54" s="4">
        <f t="shared" si="0"/>
        <v>10</v>
      </c>
    </row>
    <row r="55" spans="3:7" x14ac:dyDescent="0.25">
      <c r="C55">
        <v>40.76</v>
      </c>
      <c r="D55" s="2">
        <v>4232960</v>
      </c>
      <c r="E55">
        <v>4</v>
      </c>
      <c r="F55">
        <v>6</v>
      </c>
      <c r="G55" s="4">
        <f t="shared" si="0"/>
        <v>10</v>
      </c>
    </row>
    <row r="56" spans="3:7" x14ac:dyDescent="0.25">
      <c r="C56">
        <v>28.31</v>
      </c>
      <c r="D56" s="2">
        <v>3135930</v>
      </c>
      <c r="E56">
        <v>3</v>
      </c>
      <c r="F56">
        <v>4</v>
      </c>
      <c r="G56" s="4">
        <f t="shared" si="0"/>
        <v>7</v>
      </c>
    </row>
    <row r="57" spans="3:7" x14ac:dyDescent="0.25">
      <c r="C57">
        <v>45.08</v>
      </c>
      <c r="D57" s="2">
        <v>4923240</v>
      </c>
      <c r="E57">
        <v>4</v>
      </c>
      <c r="F57">
        <v>5</v>
      </c>
      <c r="G57" s="4">
        <f t="shared" si="0"/>
        <v>9</v>
      </c>
    </row>
    <row r="58" spans="3:7" x14ac:dyDescent="0.25">
      <c r="C58">
        <v>19.72</v>
      </c>
      <c r="D58" s="2">
        <v>1894520</v>
      </c>
      <c r="E58">
        <v>1</v>
      </c>
      <c r="F58">
        <v>2</v>
      </c>
      <c r="G58" s="4">
        <f t="shared" si="0"/>
        <v>3</v>
      </c>
    </row>
    <row r="59" spans="3:7" x14ac:dyDescent="0.25">
      <c r="C59">
        <v>32.36</v>
      </c>
      <c r="D59" s="2">
        <v>3281840</v>
      </c>
      <c r="E59">
        <v>4</v>
      </c>
      <c r="F59">
        <v>4</v>
      </c>
      <c r="G59" s="4">
        <f t="shared" si="0"/>
        <v>8</v>
      </c>
    </row>
    <row r="60" spans="3:7" x14ac:dyDescent="0.25">
      <c r="C60">
        <v>19.739999999999998</v>
      </c>
      <c r="D60" s="2">
        <v>2172180</v>
      </c>
      <c r="E60">
        <v>1</v>
      </c>
      <c r="F60">
        <v>1</v>
      </c>
      <c r="G60" s="4">
        <f t="shared" si="0"/>
        <v>2</v>
      </c>
    </row>
    <row r="61" spans="3:7" x14ac:dyDescent="0.25">
      <c r="C61">
        <v>22.81</v>
      </c>
      <c r="D61" s="2">
        <v>2466620</v>
      </c>
      <c r="E61">
        <v>3</v>
      </c>
      <c r="F61">
        <v>2</v>
      </c>
      <c r="G61" s="4">
        <f t="shared" si="0"/>
        <v>5</v>
      </c>
    </row>
    <row r="62" spans="3:7" x14ac:dyDescent="0.25">
      <c r="C62">
        <v>47.3</v>
      </c>
      <c r="D62" s="2">
        <v>4517000</v>
      </c>
      <c r="E62">
        <v>5</v>
      </c>
      <c r="F62">
        <v>4</v>
      </c>
      <c r="G62" s="4">
        <f t="shared" si="0"/>
        <v>9</v>
      </c>
    </row>
    <row r="63" spans="3:7" x14ac:dyDescent="0.25">
      <c r="C63">
        <v>47.42</v>
      </c>
      <c r="D63" s="2">
        <v>4907160</v>
      </c>
      <c r="E63">
        <v>5</v>
      </c>
      <c r="F63">
        <v>4</v>
      </c>
      <c r="G63" s="4">
        <f t="shared" si="0"/>
        <v>9</v>
      </c>
    </row>
    <row r="64" spans="3:7" x14ac:dyDescent="0.25">
      <c r="C64">
        <v>34.119999999999997</v>
      </c>
      <c r="D64" s="2">
        <v>3589640</v>
      </c>
      <c r="E64">
        <v>4</v>
      </c>
      <c r="F64">
        <v>5</v>
      </c>
      <c r="G64" s="4">
        <f t="shared" si="0"/>
        <v>9</v>
      </c>
    </row>
    <row r="65" spans="3:7" x14ac:dyDescent="0.25">
      <c r="C65">
        <v>21.12</v>
      </c>
      <c r="D65" s="2">
        <v>2335360</v>
      </c>
      <c r="E65">
        <v>2</v>
      </c>
      <c r="F65">
        <v>3</v>
      </c>
      <c r="G65" s="4">
        <f t="shared" si="0"/>
        <v>5</v>
      </c>
    </row>
    <row r="66" spans="3:7" x14ac:dyDescent="0.25">
      <c r="C66">
        <v>19.36</v>
      </c>
      <c r="D66" s="2">
        <v>2054080</v>
      </c>
      <c r="E66">
        <v>1</v>
      </c>
      <c r="F66">
        <v>1</v>
      </c>
      <c r="G66" s="4">
        <f t="shared" si="0"/>
        <v>2</v>
      </c>
    </row>
    <row r="67" spans="3:7" x14ac:dyDescent="0.25">
      <c r="C67">
        <v>29.6</v>
      </c>
      <c r="D67" s="2">
        <v>2981600</v>
      </c>
      <c r="E67">
        <v>3</v>
      </c>
      <c r="F67">
        <v>2</v>
      </c>
      <c r="G67" s="4">
        <f t="shared" si="0"/>
        <v>5</v>
      </c>
    </row>
    <row r="68" spans="3:7" x14ac:dyDescent="0.25">
      <c r="C68">
        <v>46</v>
      </c>
      <c r="D68" s="2">
        <v>4702000</v>
      </c>
      <c r="E68">
        <v>4</v>
      </c>
      <c r="F68">
        <v>4</v>
      </c>
      <c r="G68" s="4">
        <f t="shared" si="0"/>
        <v>8</v>
      </c>
    </row>
    <row r="69" spans="3:7" x14ac:dyDescent="0.25">
      <c r="C69">
        <v>26.62</v>
      </c>
      <c r="D69" s="2">
        <v>3034960</v>
      </c>
      <c r="E69">
        <v>2</v>
      </c>
      <c r="F69">
        <v>3</v>
      </c>
      <c r="G69" s="4">
        <f t="shared" si="0"/>
        <v>5</v>
      </c>
    </row>
    <row r="70" spans="3:7" x14ac:dyDescent="0.25">
      <c r="C70">
        <v>39.9</v>
      </c>
      <c r="D70" s="2">
        <v>4250000</v>
      </c>
      <c r="E70">
        <v>3</v>
      </c>
      <c r="F70">
        <v>5</v>
      </c>
      <c r="G70" s="4">
        <f t="shared" si="0"/>
        <v>8</v>
      </c>
    </row>
    <row r="71" spans="3:7" x14ac:dyDescent="0.25">
      <c r="C71">
        <v>32.619999999999997</v>
      </c>
      <c r="D71" s="2">
        <v>3376760</v>
      </c>
      <c r="E71">
        <v>3</v>
      </c>
      <c r="F71">
        <v>3</v>
      </c>
      <c r="G71" s="4">
        <f t="shared" ref="G71:G134" si="1">E71+F71</f>
        <v>6</v>
      </c>
    </row>
    <row r="72" spans="3:7" x14ac:dyDescent="0.25">
      <c r="C72">
        <v>40.909999999999997</v>
      </c>
      <c r="D72" s="2">
        <v>4799190</v>
      </c>
      <c r="E72">
        <v>5</v>
      </c>
      <c r="F72">
        <v>6</v>
      </c>
      <c r="G72" s="4">
        <f t="shared" si="1"/>
        <v>11</v>
      </c>
    </row>
    <row r="73" spans="3:7" x14ac:dyDescent="0.25">
      <c r="C73">
        <v>37.26</v>
      </c>
      <c r="D73" s="2">
        <v>4338600</v>
      </c>
      <c r="E73">
        <v>4</v>
      </c>
      <c r="F73">
        <v>4</v>
      </c>
      <c r="G73" s="4">
        <f t="shared" si="1"/>
        <v>8</v>
      </c>
    </row>
    <row r="74" spans="3:7" x14ac:dyDescent="0.25">
      <c r="C74">
        <v>27.31</v>
      </c>
      <c r="D74" s="2">
        <v>2692520</v>
      </c>
      <c r="E74">
        <v>3</v>
      </c>
      <c r="F74">
        <v>3</v>
      </c>
      <c r="G74" s="4">
        <f t="shared" si="1"/>
        <v>6</v>
      </c>
    </row>
    <row r="75" spans="3:7" x14ac:dyDescent="0.25">
      <c r="C75">
        <v>37.159999999999997</v>
      </c>
      <c r="D75" s="2">
        <v>3698720</v>
      </c>
      <c r="E75">
        <v>4</v>
      </c>
      <c r="F75">
        <v>5</v>
      </c>
      <c r="G75" s="4">
        <f t="shared" si="1"/>
        <v>9</v>
      </c>
    </row>
    <row r="76" spans="3:7" x14ac:dyDescent="0.25">
      <c r="C76">
        <v>27.94</v>
      </c>
      <c r="D76" s="2">
        <v>3049880</v>
      </c>
      <c r="E76">
        <v>2</v>
      </c>
      <c r="F76">
        <v>4</v>
      </c>
      <c r="G76" s="4">
        <f t="shared" si="1"/>
        <v>6</v>
      </c>
    </row>
    <row r="77" spans="3:7" x14ac:dyDescent="0.25">
      <c r="C77">
        <v>41.44</v>
      </c>
      <c r="D77" s="2">
        <v>4341120</v>
      </c>
      <c r="E77">
        <v>4</v>
      </c>
      <c r="F77">
        <v>5</v>
      </c>
      <c r="G77" s="4">
        <f t="shared" si="1"/>
        <v>9</v>
      </c>
    </row>
    <row r="78" spans="3:7" x14ac:dyDescent="0.25">
      <c r="C78">
        <v>44.7</v>
      </c>
      <c r="D78" s="2">
        <v>4497100</v>
      </c>
      <c r="E78">
        <v>5</v>
      </c>
      <c r="F78">
        <v>6</v>
      </c>
      <c r="G78" s="4">
        <f t="shared" si="1"/>
        <v>11</v>
      </c>
    </row>
    <row r="79" spans="3:7" x14ac:dyDescent="0.25">
      <c r="C79">
        <v>32.67</v>
      </c>
      <c r="D79" s="2">
        <v>3421660</v>
      </c>
      <c r="E79">
        <v>3</v>
      </c>
      <c r="F79">
        <v>4</v>
      </c>
      <c r="G79" s="4">
        <f t="shared" si="1"/>
        <v>7</v>
      </c>
    </row>
    <row r="80" spans="3:7" x14ac:dyDescent="0.25">
      <c r="C80">
        <v>31.12</v>
      </c>
      <c r="D80" s="2">
        <v>3465360</v>
      </c>
      <c r="E80">
        <v>3</v>
      </c>
      <c r="F80">
        <v>5</v>
      </c>
      <c r="G80" s="4">
        <f t="shared" si="1"/>
        <v>8</v>
      </c>
    </row>
    <row r="81" spans="3:7" x14ac:dyDescent="0.25">
      <c r="C81">
        <v>46.88</v>
      </c>
      <c r="D81" s="2">
        <v>4659840</v>
      </c>
      <c r="E81">
        <v>5</v>
      </c>
      <c r="F81">
        <v>5</v>
      </c>
      <c r="G81" s="4">
        <f t="shared" si="1"/>
        <v>10</v>
      </c>
    </row>
    <row r="82" spans="3:7" x14ac:dyDescent="0.25">
      <c r="C82">
        <v>17.64</v>
      </c>
      <c r="D82" s="2">
        <v>1888720</v>
      </c>
      <c r="E82">
        <v>2</v>
      </c>
      <c r="F82">
        <v>3</v>
      </c>
      <c r="G82" s="4">
        <f t="shared" si="1"/>
        <v>5</v>
      </c>
    </row>
    <row r="83" spans="3:7" x14ac:dyDescent="0.25">
      <c r="C83">
        <v>24.78</v>
      </c>
      <c r="D83" s="2">
        <v>2722780</v>
      </c>
      <c r="E83">
        <v>3</v>
      </c>
      <c r="F83">
        <v>4</v>
      </c>
      <c r="G83" s="4">
        <f t="shared" si="1"/>
        <v>7</v>
      </c>
    </row>
    <row r="84" spans="3:7" x14ac:dyDescent="0.25">
      <c r="C84">
        <v>43.45</v>
      </c>
      <c r="D84" s="2">
        <v>4882250</v>
      </c>
      <c r="E84">
        <v>4</v>
      </c>
      <c r="F84">
        <v>6</v>
      </c>
      <c r="G84" s="4">
        <f t="shared" si="1"/>
        <v>10</v>
      </c>
    </row>
    <row r="85" spans="3:7" x14ac:dyDescent="0.25">
      <c r="C85">
        <v>49.3</v>
      </c>
      <c r="D85" s="2">
        <v>5515100</v>
      </c>
      <c r="E85">
        <v>4</v>
      </c>
      <c r="F85">
        <v>4</v>
      </c>
      <c r="G85" s="4">
        <f t="shared" si="1"/>
        <v>8</v>
      </c>
    </row>
    <row r="86" spans="3:7" x14ac:dyDescent="0.25">
      <c r="C86">
        <v>41.03</v>
      </c>
      <c r="D86" s="2">
        <v>4299910</v>
      </c>
      <c r="E86">
        <v>4</v>
      </c>
      <c r="F86">
        <v>6</v>
      </c>
      <c r="G86" s="4">
        <f t="shared" si="1"/>
        <v>10</v>
      </c>
    </row>
    <row r="87" spans="3:7" x14ac:dyDescent="0.25">
      <c r="C87">
        <v>40.24</v>
      </c>
      <c r="D87" s="2">
        <v>3982080</v>
      </c>
      <c r="E87">
        <v>4</v>
      </c>
      <c r="F87">
        <v>5</v>
      </c>
      <c r="G87" s="4">
        <f t="shared" si="1"/>
        <v>9</v>
      </c>
    </row>
    <row r="88" spans="3:7" x14ac:dyDescent="0.25">
      <c r="C88">
        <v>17.899999999999999</v>
      </c>
      <c r="D88" s="2">
        <v>1921600</v>
      </c>
      <c r="E88">
        <v>1</v>
      </c>
      <c r="F88">
        <v>1</v>
      </c>
      <c r="G88" s="4">
        <f t="shared" si="1"/>
        <v>2</v>
      </c>
    </row>
    <row r="89" spans="3:7" x14ac:dyDescent="0.25">
      <c r="C89">
        <v>22.94</v>
      </c>
      <c r="D89" s="2">
        <v>2562820</v>
      </c>
      <c r="E89">
        <v>2</v>
      </c>
      <c r="F89">
        <v>4</v>
      </c>
      <c r="G89" s="4">
        <f t="shared" si="1"/>
        <v>6</v>
      </c>
    </row>
    <row r="90" spans="3:7" x14ac:dyDescent="0.25">
      <c r="C90">
        <v>31.77</v>
      </c>
      <c r="D90" s="2">
        <v>3619390</v>
      </c>
      <c r="E90">
        <v>3</v>
      </c>
      <c r="F90">
        <v>4</v>
      </c>
      <c r="G90" s="4">
        <f t="shared" si="1"/>
        <v>7</v>
      </c>
    </row>
    <row r="91" spans="3:7" x14ac:dyDescent="0.25">
      <c r="C91">
        <v>22.52</v>
      </c>
      <c r="D91" s="2">
        <v>2404440</v>
      </c>
      <c r="E91">
        <v>3</v>
      </c>
      <c r="F91">
        <v>4</v>
      </c>
      <c r="G91" s="4">
        <f t="shared" si="1"/>
        <v>7</v>
      </c>
    </row>
    <row r="92" spans="3:7" x14ac:dyDescent="0.25">
      <c r="C92">
        <v>46.27</v>
      </c>
      <c r="D92" s="2">
        <v>4701920</v>
      </c>
      <c r="E92">
        <v>5</v>
      </c>
      <c r="F92">
        <v>4</v>
      </c>
      <c r="G92" s="4">
        <f t="shared" si="1"/>
        <v>9</v>
      </c>
    </row>
    <row r="93" spans="3:7" x14ac:dyDescent="0.25">
      <c r="C93">
        <v>15.82</v>
      </c>
      <c r="D93" s="2">
        <v>1634540</v>
      </c>
      <c r="E93">
        <v>1</v>
      </c>
      <c r="F93">
        <v>2</v>
      </c>
      <c r="G93" s="4">
        <f t="shared" si="1"/>
        <v>3</v>
      </c>
    </row>
    <row r="94" spans="3:7" x14ac:dyDescent="0.25">
      <c r="C94">
        <v>39.68</v>
      </c>
      <c r="D94" s="2">
        <v>4287360</v>
      </c>
      <c r="E94">
        <v>4</v>
      </c>
      <c r="F94">
        <v>4</v>
      </c>
      <c r="G94" s="4">
        <f t="shared" si="1"/>
        <v>8</v>
      </c>
    </row>
    <row r="95" spans="3:7" x14ac:dyDescent="0.25">
      <c r="C95">
        <v>31.23</v>
      </c>
      <c r="D95" s="2">
        <v>3675300</v>
      </c>
      <c r="E95">
        <v>4</v>
      </c>
      <c r="F95">
        <v>4</v>
      </c>
      <c r="G95" s="4">
        <f t="shared" si="1"/>
        <v>8</v>
      </c>
    </row>
    <row r="96" spans="3:7" x14ac:dyDescent="0.25">
      <c r="C96">
        <v>27.61</v>
      </c>
      <c r="D96" s="2">
        <v>3091440</v>
      </c>
      <c r="E96">
        <v>3</v>
      </c>
      <c r="F96">
        <v>4</v>
      </c>
      <c r="G96" s="4">
        <f t="shared" si="1"/>
        <v>7</v>
      </c>
    </row>
    <row r="97" spans="3:7" x14ac:dyDescent="0.25">
      <c r="C97">
        <v>38.65</v>
      </c>
      <c r="D97" s="2">
        <v>3951750</v>
      </c>
      <c r="E97">
        <v>4</v>
      </c>
      <c r="F97">
        <v>5</v>
      </c>
      <c r="G97" s="4">
        <f t="shared" si="1"/>
        <v>9</v>
      </c>
    </row>
    <row r="98" spans="3:7" x14ac:dyDescent="0.25">
      <c r="C98">
        <v>33.71</v>
      </c>
      <c r="D98" s="2">
        <v>3348740</v>
      </c>
      <c r="E98">
        <v>3</v>
      </c>
      <c r="F98">
        <v>3</v>
      </c>
      <c r="G98" s="4">
        <f t="shared" si="1"/>
        <v>6</v>
      </c>
    </row>
    <row r="99" spans="3:7" x14ac:dyDescent="0.25">
      <c r="C99">
        <v>15.6</v>
      </c>
      <c r="D99" s="2">
        <v>1651200</v>
      </c>
      <c r="E99">
        <v>1</v>
      </c>
      <c r="F99">
        <v>1</v>
      </c>
      <c r="G99" s="4">
        <f t="shared" si="1"/>
        <v>2</v>
      </c>
    </row>
    <row r="100" spans="3:7" x14ac:dyDescent="0.25">
      <c r="C100">
        <v>32.15</v>
      </c>
      <c r="D100" s="2">
        <v>3125650</v>
      </c>
      <c r="E100">
        <v>4</v>
      </c>
      <c r="F100">
        <v>3</v>
      </c>
      <c r="G100" s="4">
        <f t="shared" si="1"/>
        <v>7</v>
      </c>
    </row>
    <row r="101" spans="3:7" x14ac:dyDescent="0.25">
      <c r="C101">
        <v>44.66</v>
      </c>
      <c r="D101" s="2">
        <v>4453380</v>
      </c>
      <c r="E101">
        <v>5</v>
      </c>
      <c r="F101">
        <v>5</v>
      </c>
      <c r="G101" s="4">
        <f t="shared" si="1"/>
        <v>10</v>
      </c>
    </row>
    <row r="102" spans="3:7" x14ac:dyDescent="0.25">
      <c r="C102">
        <v>42.94</v>
      </c>
      <c r="D102" s="2">
        <v>4616940</v>
      </c>
      <c r="E102">
        <v>4</v>
      </c>
      <c r="F102">
        <v>5</v>
      </c>
      <c r="G102" s="4">
        <f t="shared" si="1"/>
        <v>9</v>
      </c>
    </row>
    <row r="103" spans="3:7" x14ac:dyDescent="0.25">
      <c r="C103">
        <v>47.78</v>
      </c>
      <c r="D103" s="2">
        <v>5038000</v>
      </c>
      <c r="E103">
        <v>5</v>
      </c>
      <c r="F103">
        <v>4</v>
      </c>
      <c r="G103" s="4">
        <f t="shared" si="1"/>
        <v>9</v>
      </c>
    </row>
    <row r="104" spans="3:7" x14ac:dyDescent="0.25">
      <c r="C104">
        <v>30.36</v>
      </c>
      <c r="D104" s="2">
        <v>3216000</v>
      </c>
      <c r="E104">
        <v>3</v>
      </c>
      <c r="F104">
        <v>3</v>
      </c>
      <c r="G104" s="4">
        <f t="shared" si="1"/>
        <v>6</v>
      </c>
    </row>
    <row r="105" spans="3:7" x14ac:dyDescent="0.25">
      <c r="C105">
        <v>21.12</v>
      </c>
      <c r="D105" s="2">
        <v>2041920</v>
      </c>
      <c r="E105">
        <v>2</v>
      </c>
      <c r="F105">
        <v>2</v>
      </c>
      <c r="G105" s="4">
        <f t="shared" si="1"/>
        <v>4</v>
      </c>
    </row>
    <row r="106" spans="3:7" x14ac:dyDescent="0.25">
      <c r="C106">
        <v>35.29</v>
      </c>
      <c r="D106" s="2">
        <v>3703130</v>
      </c>
      <c r="E106">
        <v>4</v>
      </c>
      <c r="F106">
        <v>5</v>
      </c>
      <c r="G106" s="4">
        <f t="shared" si="1"/>
        <v>9</v>
      </c>
    </row>
    <row r="107" spans="3:7" x14ac:dyDescent="0.25">
      <c r="C107">
        <v>43.16</v>
      </c>
      <c r="D107" s="2">
        <v>4230720</v>
      </c>
      <c r="E107">
        <v>5</v>
      </c>
      <c r="F107">
        <v>4</v>
      </c>
      <c r="G107" s="4">
        <f t="shared" si="1"/>
        <v>9</v>
      </c>
    </row>
    <row r="108" spans="3:7" x14ac:dyDescent="0.25">
      <c r="C108">
        <v>35.770000000000003</v>
      </c>
      <c r="D108" s="2">
        <v>3642380</v>
      </c>
      <c r="E108">
        <v>4</v>
      </c>
      <c r="F108">
        <v>5</v>
      </c>
      <c r="G108" s="4">
        <f t="shared" si="1"/>
        <v>9</v>
      </c>
    </row>
    <row r="109" spans="3:7" x14ac:dyDescent="0.25">
      <c r="C109">
        <v>33.4</v>
      </c>
      <c r="D109" s="2">
        <v>3366200</v>
      </c>
      <c r="E109">
        <v>3</v>
      </c>
      <c r="F109">
        <v>5</v>
      </c>
      <c r="G109" s="4">
        <f t="shared" si="1"/>
        <v>8</v>
      </c>
    </row>
    <row r="110" spans="3:7" x14ac:dyDescent="0.25">
      <c r="C110">
        <v>28.65</v>
      </c>
      <c r="D110" s="2">
        <v>3045000</v>
      </c>
      <c r="E110">
        <v>3</v>
      </c>
      <c r="F110">
        <v>3</v>
      </c>
      <c r="G110" s="4">
        <f t="shared" si="1"/>
        <v>6</v>
      </c>
    </row>
    <row r="111" spans="3:7" x14ac:dyDescent="0.25">
      <c r="C111">
        <v>44.48</v>
      </c>
      <c r="D111" s="2">
        <v>5034880</v>
      </c>
      <c r="E111">
        <v>4</v>
      </c>
      <c r="F111">
        <v>6</v>
      </c>
      <c r="G111" s="4">
        <f t="shared" si="1"/>
        <v>10</v>
      </c>
    </row>
    <row r="112" spans="3:7" x14ac:dyDescent="0.25">
      <c r="C112">
        <v>26.75</v>
      </c>
      <c r="D112" s="2">
        <v>3055750</v>
      </c>
      <c r="E112">
        <v>3</v>
      </c>
      <c r="F112">
        <v>2</v>
      </c>
      <c r="G112" s="4">
        <f t="shared" si="1"/>
        <v>5</v>
      </c>
    </row>
    <row r="113" spans="3:7" x14ac:dyDescent="0.25">
      <c r="C113">
        <v>45.48</v>
      </c>
      <c r="D113" s="2">
        <v>4529640</v>
      </c>
      <c r="E113">
        <v>5</v>
      </c>
      <c r="F113">
        <v>5</v>
      </c>
      <c r="G113" s="4">
        <f t="shared" si="1"/>
        <v>10</v>
      </c>
    </row>
    <row r="114" spans="3:7" x14ac:dyDescent="0.25">
      <c r="C114">
        <v>43.63</v>
      </c>
      <c r="D114" s="2">
        <v>4357590</v>
      </c>
      <c r="E114">
        <v>5</v>
      </c>
      <c r="F114">
        <v>5</v>
      </c>
      <c r="G114" s="4">
        <f t="shared" si="1"/>
        <v>10</v>
      </c>
    </row>
    <row r="115" spans="3:7" x14ac:dyDescent="0.25">
      <c r="C115">
        <v>37.42</v>
      </c>
      <c r="D115" s="2">
        <v>3814900</v>
      </c>
      <c r="E115">
        <v>3</v>
      </c>
      <c r="F115">
        <v>5</v>
      </c>
      <c r="G115" s="4">
        <f t="shared" si="1"/>
        <v>8</v>
      </c>
    </row>
    <row r="116" spans="3:7" x14ac:dyDescent="0.25">
      <c r="C116">
        <v>43.26</v>
      </c>
      <c r="D116" s="2">
        <v>4392960</v>
      </c>
      <c r="E116">
        <v>4</v>
      </c>
      <c r="F116">
        <v>4</v>
      </c>
      <c r="G116" s="4">
        <f t="shared" si="1"/>
        <v>8</v>
      </c>
    </row>
    <row r="117" spans="3:7" x14ac:dyDescent="0.25">
      <c r="C117">
        <v>23.52</v>
      </c>
      <c r="D117" s="2">
        <v>2488480</v>
      </c>
      <c r="E117">
        <v>2</v>
      </c>
      <c r="F117">
        <v>3</v>
      </c>
      <c r="G117" s="4">
        <f t="shared" si="1"/>
        <v>5</v>
      </c>
    </row>
    <row r="118" spans="3:7" x14ac:dyDescent="0.25">
      <c r="C118">
        <v>28.16</v>
      </c>
      <c r="D118" s="2">
        <v>2923360</v>
      </c>
      <c r="E118">
        <v>3</v>
      </c>
      <c r="F118">
        <v>4</v>
      </c>
      <c r="G118" s="4">
        <f t="shared" si="1"/>
        <v>7</v>
      </c>
    </row>
    <row r="119" spans="3:7" x14ac:dyDescent="0.25">
      <c r="C119">
        <v>43.24</v>
      </c>
      <c r="D119" s="2">
        <v>4620760</v>
      </c>
      <c r="E119">
        <v>5</v>
      </c>
      <c r="F119">
        <v>6</v>
      </c>
      <c r="G119" s="4">
        <f t="shared" si="1"/>
        <v>11</v>
      </c>
    </row>
    <row r="120" spans="3:7" x14ac:dyDescent="0.25">
      <c r="C120">
        <v>17.3</v>
      </c>
      <c r="D120" s="2">
        <v>1933800</v>
      </c>
      <c r="E120">
        <v>1</v>
      </c>
      <c r="F120">
        <v>2</v>
      </c>
      <c r="G120" s="4">
        <f t="shared" si="1"/>
        <v>3</v>
      </c>
    </row>
    <row r="121" spans="3:7" x14ac:dyDescent="0.25">
      <c r="C121">
        <v>35.57</v>
      </c>
      <c r="D121" s="2">
        <v>4050420</v>
      </c>
      <c r="E121">
        <v>4</v>
      </c>
      <c r="F121">
        <v>5</v>
      </c>
      <c r="G121" s="4">
        <f t="shared" si="1"/>
        <v>9</v>
      </c>
    </row>
    <row r="122" spans="3:7" x14ac:dyDescent="0.25">
      <c r="C122">
        <v>20.8</v>
      </c>
      <c r="D122" s="2">
        <v>2054400</v>
      </c>
      <c r="E122">
        <v>2</v>
      </c>
      <c r="F122">
        <v>2</v>
      </c>
      <c r="G122" s="4">
        <f t="shared" si="1"/>
        <v>4</v>
      </c>
    </row>
    <row r="123" spans="3:7" x14ac:dyDescent="0.25">
      <c r="C123">
        <v>22.42</v>
      </c>
      <c r="D123" s="2">
        <v>2200220</v>
      </c>
      <c r="E123">
        <v>2</v>
      </c>
      <c r="F123">
        <v>3</v>
      </c>
      <c r="G123" s="4">
        <f t="shared" si="1"/>
        <v>5</v>
      </c>
    </row>
    <row r="124" spans="3:7" x14ac:dyDescent="0.25">
      <c r="C124">
        <v>22.53</v>
      </c>
      <c r="D124" s="2">
        <v>2170230</v>
      </c>
      <c r="E124">
        <v>2</v>
      </c>
      <c r="F124">
        <v>2</v>
      </c>
      <c r="G124" s="4">
        <f t="shared" si="1"/>
        <v>4</v>
      </c>
    </row>
    <row r="125" spans="3:7" x14ac:dyDescent="0.25">
      <c r="C125">
        <v>21.88</v>
      </c>
      <c r="D125" s="2">
        <v>2481160</v>
      </c>
      <c r="E125">
        <v>3</v>
      </c>
      <c r="F125">
        <v>2</v>
      </c>
      <c r="G125" s="4">
        <f t="shared" si="1"/>
        <v>5</v>
      </c>
    </row>
    <row r="126" spans="3:7" x14ac:dyDescent="0.25">
      <c r="C126">
        <v>16.32</v>
      </c>
      <c r="D126" s="2">
        <v>1581440</v>
      </c>
      <c r="E126">
        <v>2</v>
      </c>
      <c r="F126">
        <v>1</v>
      </c>
      <c r="G126" s="4">
        <f t="shared" si="1"/>
        <v>3</v>
      </c>
    </row>
    <row r="127" spans="3:7" x14ac:dyDescent="0.25">
      <c r="C127">
        <v>29.58</v>
      </c>
      <c r="D127" s="2">
        <v>3030100</v>
      </c>
      <c r="E127">
        <v>3</v>
      </c>
      <c r="F127">
        <v>4</v>
      </c>
      <c r="G127" s="4">
        <f t="shared" si="1"/>
        <v>7</v>
      </c>
    </row>
    <row r="128" spans="3:7" x14ac:dyDescent="0.25">
      <c r="C128">
        <v>36.92</v>
      </c>
      <c r="D128" s="2">
        <v>3653560</v>
      </c>
      <c r="E128">
        <v>3</v>
      </c>
      <c r="F128">
        <v>4</v>
      </c>
      <c r="G128" s="4">
        <f t="shared" si="1"/>
        <v>7</v>
      </c>
    </row>
    <row r="129" spans="3:7" x14ac:dyDescent="0.25">
      <c r="C129">
        <v>48.65</v>
      </c>
      <c r="D129" s="2">
        <v>5067700</v>
      </c>
      <c r="E129">
        <v>5</v>
      </c>
      <c r="F129">
        <v>5</v>
      </c>
      <c r="G129" s="4">
        <f t="shared" si="1"/>
        <v>10</v>
      </c>
    </row>
    <row r="130" spans="3:7" x14ac:dyDescent="0.25">
      <c r="C130">
        <v>39.229999999999997</v>
      </c>
      <c r="D130" s="2">
        <v>3908390</v>
      </c>
      <c r="E130">
        <v>3</v>
      </c>
      <c r="F130">
        <v>5</v>
      </c>
      <c r="G130" s="4">
        <f t="shared" si="1"/>
        <v>8</v>
      </c>
    </row>
    <row r="131" spans="3:7" x14ac:dyDescent="0.25">
      <c r="C131">
        <v>16</v>
      </c>
      <c r="D131" s="2">
        <v>1644000</v>
      </c>
      <c r="E131">
        <v>1</v>
      </c>
      <c r="F131">
        <v>1</v>
      </c>
      <c r="G131" s="4">
        <f t="shared" si="1"/>
        <v>2</v>
      </c>
    </row>
    <row r="132" spans="3:7" x14ac:dyDescent="0.25">
      <c r="C132">
        <v>35.35</v>
      </c>
      <c r="D132" s="2">
        <v>3861050</v>
      </c>
      <c r="E132">
        <v>3</v>
      </c>
      <c r="F132">
        <v>4</v>
      </c>
      <c r="G132" s="4">
        <f t="shared" si="1"/>
        <v>7</v>
      </c>
    </row>
    <row r="133" spans="3:7" x14ac:dyDescent="0.25">
      <c r="C133">
        <v>37.25</v>
      </c>
      <c r="D133" s="2">
        <v>4005000</v>
      </c>
      <c r="E133">
        <v>4</v>
      </c>
      <c r="F133">
        <v>5</v>
      </c>
      <c r="G133" s="4">
        <f t="shared" si="1"/>
        <v>9</v>
      </c>
    </row>
    <row r="134" spans="3:7" x14ac:dyDescent="0.25">
      <c r="C134">
        <v>18.86</v>
      </c>
      <c r="D134" s="2">
        <v>2059160</v>
      </c>
      <c r="E134">
        <v>1</v>
      </c>
      <c r="F134">
        <v>1</v>
      </c>
      <c r="G134" s="4">
        <f t="shared" si="1"/>
        <v>2</v>
      </c>
    </row>
    <row r="135" spans="3:7" x14ac:dyDescent="0.25">
      <c r="C135">
        <v>44.41</v>
      </c>
      <c r="D135" s="2">
        <v>4874230</v>
      </c>
      <c r="E135">
        <v>5</v>
      </c>
      <c r="F135">
        <v>5</v>
      </c>
      <c r="G135" s="4">
        <f t="shared" ref="G135:G160" si="2">E135+F135</f>
        <v>10</v>
      </c>
    </row>
    <row r="136" spans="3:7" x14ac:dyDescent="0.25">
      <c r="C136">
        <v>42.61</v>
      </c>
      <c r="D136" s="2">
        <v>4373170</v>
      </c>
      <c r="E136">
        <v>4</v>
      </c>
      <c r="F136">
        <v>4</v>
      </c>
      <c r="G136" s="4">
        <f t="shared" si="2"/>
        <v>8</v>
      </c>
    </row>
    <row r="137" spans="3:7" x14ac:dyDescent="0.25">
      <c r="C137">
        <v>43.59</v>
      </c>
      <c r="D137" s="2">
        <v>4330280</v>
      </c>
      <c r="E137">
        <v>4</v>
      </c>
      <c r="F137">
        <v>6</v>
      </c>
      <c r="G137" s="4">
        <f t="shared" si="2"/>
        <v>10</v>
      </c>
    </row>
    <row r="138" spans="3:7" x14ac:dyDescent="0.25">
      <c r="C138">
        <v>19.8</v>
      </c>
      <c r="D138" s="2">
        <v>1941200</v>
      </c>
      <c r="E138">
        <v>2</v>
      </c>
      <c r="F138">
        <v>1</v>
      </c>
      <c r="G138" s="4">
        <f t="shared" si="2"/>
        <v>3</v>
      </c>
    </row>
    <row r="139" spans="3:7" x14ac:dyDescent="0.25">
      <c r="C139">
        <v>17.73</v>
      </c>
      <c r="D139" s="2">
        <v>1928460</v>
      </c>
      <c r="E139">
        <v>2</v>
      </c>
      <c r="F139">
        <v>2</v>
      </c>
      <c r="G139" s="4">
        <f t="shared" si="2"/>
        <v>4</v>
      </c>
    </row>
    <row r="140" spans="3:7" x14ac:dyDescent="0.25">
      <c r="C140">
        <v>30.91</v>
      </c>
      <c r="D140" s="2">
        <v>3229180</v>
      </c>
      <c r="E140">
        <v>4</v>
      </c>
      <c r="F140">
        <v>3</v>
      </c>
      <c r="G140" s="4">
        <f t="shared" si="2"/>
        <v>7</v>
      </c>
    </row>
    <row r="141" spans="3:7" x14ac:dyDescent="0.25">
      <c r="C141">
        <v>15.2</v>
      </c>
      <c r="D141" s="2">
        <v>1468000</v>
      </c>
      <c r="E141">
        <v>1</v>
      </c>
      <c r="F141">
        <v>2</v>
      </c>
      <c r="G141" s="4">
        <f t="shared" si="2"/>
        <v>3</v>
      </c>
    </row>
    <row r="142" spans="3:7" x14ac:dyDescent="0.25">
      <c r="C142">
        <v>40.299999999999997</v>
      </c>
      <c r="D142" s="2">
        <v>4612100</v>
      </c>
      <c r="E142">
        <v>5</v>
      </c>
      <c r="F142">
        <v>5</v>
      </c>
      <c r="G142" s="4">
        <f t="shared" si="2"/>
        <v>10</v>
      </c>
    </row>
    <row r="143" spans="3:7" x14ac:dyDescent="0.25">
      <c r="C143">
        <v>41.08</v>
      </c>
      <c r="D143" s="2">
        <v>4409080</v>
      </c>
      <c r="E143">
        <v>5</v>
      </c>
      <c r="F143">
        <v>4</v>
      </c>
      <c r="G143" s="4">
        <f t="shared" si="2"/>
        <v>9</v>
      </c>
    </row>
    <row r="144" spans="3:7" x14ac:dyDescent="0.25">
      <c r="C144">
        <v>25.53</v>
      </c>
      <c r="D144" s="2">
        <v>2519820</v>
      </c>
      <c r="E144">
        <v>2</v>
      </c>
      <c r="F144">
        <v>2</v>
      </c>
      <c r="G144" s="4">
        <f t="shared" si="2"/>
        <v>4</v>
      </c>
    </row>
    <row r="145" spans="3:7" x14ac:dyDescent="0.25">
      <c r="C145">
        <v>28.04</v>
      </c>
      <c r="D145" s="2">
        <v>3276360</v>
      </c>
      <c r="E145">
        <v>3</v>
      </c>
      <c r="F145">
        <v>4</v>
      </c>
      <c r="G145" s="4">
        <f t="shared" si="2"/>
        <v>7</v>
      </c>
    </row>
    <row r="146" spans="3:7" x14ac:dyDescent="0.25">
      <c r="C146">
        <v>36.520000000000003</v>
      </c>
      <c r="D146" s="2">
        <v>3895480</v>
      </c>
      <c r="E146">
        <v>4</v>
      </c>
      <c r="F146">
        <v>5</v>
      </c>
      <c r="G146" s="4">
        <f t="shared" si="2"/>
        <v>9</v>
      </c>
    </row>
    <row r="147" spans="3:7" x14ac:dyDescent="0.25">
      <c r="C147">
        <v>33.229999999999997</v>
      </c>
      <c r="D147" s="2">
        <v>3802380</v>
      </c>
      <c r="E147">
        <v>4</v>
      </c>
      <c r="F147">
        <v>5</v>
      </c>
      <c r="G147" s="4">
        <f t="shared" si="2"/>
        <v>9</v>
      </c>
    </row>
    <row r="148" spans="3:7" x14ac:dyDescent="0.25">
      <c r="C148">
        <v>39.72</v>
      </c>
      <c r="D148" s="2">
        <v>3774800</v>
      </c>
      <c r="E148">
        <v>4</v>
      </c>
      <c r="F148">
        <v>3</v>
      </c>
      <c r="G148" s="4">
        <f t="shared" si="2"/>
        <v>7</v>
      </c>
    </row>
    <row r="149" spans="3:7" x14ac:dyDescent="0.25">
      <c r="C149">
        <v>35.74</v>
      </c>
      <c r="D149" s="2">
        <v>3789740</v>
      </c>
      <c r="E149">
        <v>3</v>
      </c>
      <c r="F149">
        <v>3</v>
      </c>
      <c r="G149" s="4">
        <f t="shared" si="2"/>
        <v>6</v>
      </c>
    </row>
    <row r="150" spans="3:7" x14ac:dyDescent="0.25">
      <c r="C150">
        <v>29.49</v>
      </c>
      <c r="D150" s="2">
        <v>3286960</v>
      </c>
      <c r="E150">
        <v>3</v>
      </c>
      <c r="F150">
        <v>4</v>
      </c>
      <c r="G150" s="4">
        <f t="shared" si="2"/>
        <v>7</v>
      </c>
    </row>
    <row r="151" spans="3:7" x14ac:dyDescent="0.25">
      <c r="C151">
        <v>26.99</v>
      </c>
      <c r="D151" s="2">
        <v>2825020</v>
      </c>
      <c r="E151">
        <v>3</v>
      </c>
      <c r="F151">
        <v>3</v>
      </c>
      <c r="G151" s="4">
        <f t="shared" si="2"/>
        <v>6</v>
      </c>
    </row>
    <row r="152" spans="3:7" x14ac:dyDescent="0.25">
      <c r="C152">
        <v>22.18</v>
      </c>
      <c r="D152" s="2">
        <v>2551080</v>
      </c>
      <c r="E152">
        <v>2</v>
      </c>
      <c r="F152">
        <v>4</v>
      </c>
      <c r="G152" s="4">
        <f t="shared" si="2"/>
        <v>6</v>
      </c>
    </row>
    <row r="153" spans="3:7" x14ac:dyDescent="0.25">
      <c r="C153">
        <v>35.26</v>
      </c>
      <c r="D153" s="2">
        <v>3468660</v>
      </c>
      <c r="E153">
        <v>3</v>
      </c>
      <c r="F153">
        <v>5</v>
      </c>
      <c r="G153" s="4">
        <f t="shared" si="2"/>
        <v>8</v>
      </c>
    </row>
    <row r="154" spans="3:7" x14ac:dyDescent="0.25">
      <c r="C154">
        <v>35.340000000000003</v>
      </c>
      <c r="D154" s="2">
        <v>3875360</v>
      </c>
      <c r="E154">
        <v>4</v>
      </c>
      <c r="F154">
        <v>3</v>
      </c>
      <c r="G154" s="4">
        <f t="shared" si="2"/>
        <v>7</v>
      </c>
    </row>
    <row r="155" spans="3:7" x14ac:dyDescent="0.25">
      <c r="C155">
        <v>49.75</v>
      </c>
      <c r="D155" s="2">
        <v>5056000</v>
      </c>
      <c r="E155">
        <v>4</v>
      </c>
      <c r="F155">
        <v>5</v>
      </c>
      <c r="G155" s="4">
        <f t="shared" si="2"/>
        <v>9</v>
      </c>
    </row>
    <row r="156" spans="3:7" x14ac:dyDescent="0.25">
      <c r="C156">
        <v>26.18</v>
      </c>
      <c r="D156" s="2">
        <v>2791820</v>
      </c>
      <c r="E156">
        <v>2</v>
      </c>
      <c r="F156">
        <v>4</v>
      </c>
      <c r="G156" s="4">
        <f t="shared" si="2"/>
        <v>6</v>
      </c>
    </row>
    <row r="157" spans="3:7" x14ac:dyDescent="0.25">
      <c r="C157">
        <v>46.55</v>
      </c>
      <c r="D157" s="2">
        <v>4788800</v>
      </c>
      <c r="E157">
        <v>4</v>
      </c>
      <c r="F157">
        <v>6</v>
      </c>
      <c r="G157" s="4">
        <f t="shared" si="2"/>
        <v>10</v>
      </c>
    </row>
    <row r="158" spans="3:7" x14ac:dyDescent="0.25">
      <c r="C158">
        <v>34.89</v>
      </c>
      <c r="D158" s="2">
        <v>4077900</v>
      </c>
      <c r="E158">
        <v>4</v>
      </c>
      <c r="F158">
        <v>4</v>
      </c>
      <c r="G158" s="4">
        <f t="shared" si="2"/>
        <v>8</v>
      </c>
    </row>
    <row r="159" spans="3:7" x14ac:dyDescent="0.25">
      <c r="C159">
        <v>45.26</v>
      </c>
      <c r="D159" s="2">
        <v>5052300</v>
      </c>
      <c r="E159">
        <v>5</v>
      </c>
      <c r="F159">
        <v>5</v>
      </c>
      <c r="G159" s="4">
        <f t="shared" si="2"/>
        <v>10</v>
      </c>
    </row>
    <row r="160" spans="3:7" x14ac:dyDescent="0.25">
      <c r="C160">
        <v>46.76</v>
      </c>
      <c r="D160" s="2">
        <v>5229800</v>
      </c>
      <c r="E160">
        <v>4</v>
      </c>
      <c r="F160">
        <v>6</v>
      </c>
      <c r="G160" s="4">
        <f t="shared" si="2"/>
        <v>10</v>
      </c>
    </row>
  </sheetData>
  <autoFilter ref="C5:G160" xr:uid="{00000000-0001-0000-0000-000000000000}"/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BD0E-9A5D-4483-B20E-16C1273422F9}">
  <dimension ref="A3:K10"/>
  <sheetViews>
    <sheetView tabSelected="1" workbookViewId="0">
      <selection activeCell="A4" sqref="A4"/>
    </sheetView>
  </sheetViews>
  <sheetFormatPr defaultRowHeight="13.2" x14ac:dyDescent="0.25"/>
  <cols>
    <col min="1" max="1" width="17.6640625" bestFit="1" customWidth="1"/>
    <col min="2" max="2" width="22.5546875" bestFit="1" customWidth="1"/>
    <col min="11" max="11" width="13.33203125" bestFit="1" customWidth="1"/>
  </cols>
  <sheetData>
    <row r="3" spans="1:11" x14ac:dyDescent="0.25">
      <c r="A3" s="5" t="s">
        <v>4</v>
      </c>
      <c r="B3" s="7" t="s">
        <v>6</v>
      </c>
    </row>
    <row r="4" spans="1:11" x14ac:dyDescent="0.25">
      <c r="A4" s="6">
        <v>6</v>
      </c>
      <c r="B4" s="7">
        <v>3038216.3157894737</v>
      </c>
    </row>
    <row r="5" spans="1:11" x14ac:dyDescent="0.25">
      <c r="A5" s="6">
        <v>7</v>
      </c>
      <c r="B5" s="7">
        <v>3345692.2727272729</v>
      </c>
      <c r="D5" s="9" t="s">
        <v>9</v>
      </c>
      <c r="E5" s="10"/>
      <c r="F5" s="10"/>
      <c r="G5" s="10"/>
      <c r="H5" s="10"/>
      <c r="I5" s="10"/>
      <c r="J5" s="10"/>
      <c r="K5" s="11">
        <f>GETPIVOTDATA("Цена",$A$3)</f>
        <v>3912573.5779816513</v>
      </c>
    </row>
    <row r="6" spans="1:11" x14ac:dyDescent="0.25">
      <c r="A6" s="6">
        <v>8</v>
      </c>
      <c r="B6" s="7">
        <v>4051518.8235294116</v>
      </c>
    </row>
    <row r="7" spans="1:11" x14ac:dyDescent="0.25">
      <c r="A7" s="6">
        <v>9</v>
      </c>
      <c r="B7" s="7">
        <v>4186657.6923076925</v>
      </c>
    </row>
    <row r="8" spans="1:11" x14ac:dyDescent="0.25">
      <c r="A8" s="6">
        <v>10</v>
      </c>
      <c r="B8" s="7">
        <v>4714366.1904761903</v>
      </c>
    </row>
    <row r="9" spans="1:11" x14ac:dyDescent="0.25">
      <c r="A9" s="6">
        <v>11</v>
      </c>
      <c r="B9" s="7">
        <v>4602142.5</v>
      </c>
    </row>
    <row r="10" spans="1:11" x14ac:dyDescent="0.25">
      <c r="A10" s="6" t="s">
        <v>5</v>
      </c>
      <c r="B10" s="7">
        <v>3912573.5779816513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1A5F-F8B0-4A67-8E3C-90C83A50ED59}">
  <dimension ref="A1:B5"/>
  <sheetViews>
    <sheetView workbookViewId="0">
      <selection activeCell="A5" sqref="A5"/>
    </sheetView>
  </sheetViews>
  <sheetFormatPr defaultRowHeight="13.2" x14ac:dyDescent="0.25"/>
  <cols>
    <col min="1" max="1" width="29.88671875" bestFit="1" customWidth="1"/>
    <col min="2" max="2" width="23.21875" bestFit="1" customWidth="1"/>
  </cols>
  <sheetData>
    <row r="1" spans="1:2" x14ac:dyDescent="0.25">
      <c r="A1" s="5" t="s">
        <v>2</v>
      </c>
      <c r="B1" t="s">
        <v>8</v>
      </c>
    </row>
    <row r="2" spans="1:2" x14ac:dyDescent="0.25">
      <c r="A2" s="5" t="s">
        <v>7</v>
      </c>
      <c r="B2" t="s">
        <v>8</v>
      </c>
    </row>
    <row r="4" spans="1:2" x14ac:dyDescent="0.25">
      <c r="A4" t="s">
        <v>10</v>
      </c>
    </row>
    <row r="5" spans="1:2" x14ac:dyDescent="0.25">
      <c r="A5" s="4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C746-7DFC-48A9-AD1A-87F4AD7039FE}">
  <dimension ref="A1:B5"/>
  <sheetViews>
    <sheetView workbookViewId="0">
      <selection activeCell="A4" sqref="A4"/>
    </sheetView>
  </sheetViews>
  <sheetFormatPr defaultRowHeight="13.2" x14ac:dyDescent="0.25"/>
  <cols>
    <col min="1" max="1" width="26.21875" bestFit="1" customWidth="1"/>
    <col min="2" max="2" width="23.21875" bestFit="1" customWidth="1"/>
  </cols>
  <sheetData>
    <row r="1" spans="1:2" x14ac:dyDescent="0.25">
      <c r="A1" s="5" t="s">
        <v>7</v>
      </c>
      <c r="B1" t="s">
        <v>8</v>
      </c>
    </row>
    <row r="2" spans="1:2" x14ac:dyDescent="0.25">
      <c r="A2" s="5" t="s">
        <v>0</v>
      </c>
      <c r="B2" t="s">
        <v>8</v>
      </c>
    </row>
    <row r="4" spans="1:2" x14ac:dyDescent="0.25">
      <c r="A4" t="s">
        <v>11</v>
      </c>
    </row>
    <row r="5" spans="1:2" x14ac:dyDescent="0.25">
      <c r="A5" s="7">
        <v>3188760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96C007-0B6E-48A2-8994-8B6C31AB568A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DE7710A0-3E47-4582-AEA5-39F1D0DC4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93500E59-78EE-48D4-AA52-7DA38FAD0A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Данные</vt:lpstr>
      <vt:lpstr>СТ1</vt:lpstr>
      <vt:lpstr>СТ2</vt:lpstr>
      <vt:lpstr>СТ3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Irene Zernova</dc:creator>
  <cp:keywords/>
  <dc:description/>
  <cp:lastModifiedBy>Андрей</cp:lastModifiedBy>
  <cp:revision/>
  <dcterms:created xsi:type="dcterms:W3CDTF">2007-02-23T00:23:02Z</dcterms:created>
  <dcterms:modified xsi:type="dcterms:W3CDTF">2023-06-04T05:00:47Z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